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NSOLIDADO" sheetId="1" state="visible" r:id="rId1"/>
    <sheet name="DASHBOARD" sheetId="2" state="visible" r:id="rId2"/>
    <sheet name="AMEX 4100" sheetId="3" state="visible" r:id="rId3"/>
    <sheet name="AMEX SANTANDER" sheetId="4" state="visible" r:id="rId4"/>
    <sheet name="VISA 2473" sheetId="5" state="visible" r:id="rId5"/>
    <sheet name="CUOTAS ACTIVAS" sheetId="6" state="visible" r:id="rId6"/>
    <sheet name="SERVICIOS FIJOS" sheetId="7" state="visible" r:id="rId7"/>
  </sheets>
  <definedNames>
    <definedName name="_xlnm._FilterDatabase" localSheetId="2" hidden="1">'AMEX 4100'!$A$2:$H$34</definedName>
    <definedName name="_xlnm._FilterDatabase" localSheetId="3" hidden="1">'AMEX SANTANDER'!$A$2:$H$21</definedName>
    <definedName name="_xlnm._FilterDatabase" localSheetId="4" hidden="1">'VISA 2473'!$A$2:$H$108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U$S #,##0.00"/>
  </numFmts>
  <fonts count="1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BBDEFB"/>
      <sz val="10"/>
    </font>
    <font>
      <b val="1"/>
      <color rgb="00FFFFFF"/>
      <sz val="8"/>
    </font>
    <font>
      <b val="1"/>
      <color rgb="00FFFFFF"/>
      <sz val="12"/>
    </font>
    <font>
      <color rgb="00E3F2FD"/>
      <sz val="8"/>
    </font>
    <font>
      <b val="1"/>
      <sz val="8"/>
    </font>
    <font>
      <sz val="8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color rgb="00FFFFFF"/>
      <sz val="13"/>
    </font>
    <font>
      <b val="1"/>
      <sz val="9"/>
    </font>
  </fonts>
  <fills count="3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212121"/>
      </patternFill>
    </fill>
    <fill>
      <patternFill patternType="solid">
        <fgColor rgb="00546E7A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607D8B"/>
      </patternFill>
    </fill>
    <fill>
      <patternFill patternType="solid">
        <fgColor rgb="00E91E63"/>
      </patternFill>
    </fill>
    <fill>
      <patternFill patternType="solid">
        <fgColor rgb="00795548"/>
      </patternFill>
    </fill>
    <fill>
      <patternFill patternType="solid">
        <fgColor rgb="009E9E9E"/>
      </patternFill>
    </fill>
    <fill>
      <patternFill patternType="solid">
        <fgColor rgb="00FF6B35"/>
      </patternFill>
    </fill>
    <fill>
      <patternFill patternType="solid">
        <fgColor rgb="00009688"/>
      </patternFill>
    </fill>
    <fill>
      <patternFill patternType="solid">
        <fgColor rgb="009C27B0"/>
      </patternFill>
    </fill>
    <fill>
      <patternFill patternType="solid">
        <fgColor rgb="00F44336"/>
      </patternFill>
    </fill>
    <fill>
      <patternFill patternType="solid">
        <fgColor rgb="00673AB7"/>
      </patternFill>
    </fill>
    <fill>
      <patternFill patternType="solid">
        <fgColor rgb="0000BCD4"/>
      </patternFill>
    </fill>
    <fill>
      <patternFill patternType="solid">
        <fgColor rgb="00FF9800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4" fontId="1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left" vertical="center"/>
    </xf>
    <xf numFmtId="0" fontId="11" fillId="10" borderId="1" pivotButton="0" quotePrefix="0" xfId="0"/>
    <xf numFmtId="4" fontId="11" fillId="10" borderId="1" applyAlignment="1" pivotButton="0" quotePrefix="0" xfId="0">
      <alignment horizontal="right"/>
    </xf>
    <xf numFmtId="165" fontId="11" fillId="10" borderId="1" applyAlignment="1" pivotButton="0" quotePrefix="0" xfId="0">
      <alignment horizontal="right"/>
    </xf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2" fillId="11" borderId="1" applyAlignment="1" pivotButton="0" quotePrefix="0" xfId="0">
      <alignment horizontal="center" vertical="center" wrapText="1"/>
    </xf>
    <xf numFmtId="0" fontId="12" fillId="12" borderId="1" pivotButton="0" quotePrefix="0" xfId="0"/>
    <xf numFmtId="4" fontId="13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12" fillId="13" borderId="1" pivotButton="0" quotePrefix="0" xfId="0"/>
    <xf numFmtId="0" fontId="12" fillId="14" borderId="1" pivotButton="0" quotePrefix="0" xfId="0"/>
    <xf numFmtId="0" fontId="12" fillId="15" borderId="1" pivotButton="0" quotePrefix="0" xfId="0"/>
    <xf numFmtId="0" fontId="12" fillId="16" borderId="1" pivotButton="0" quotePrefix="0" xfId="0"/>
    <xf numFmtId="0" fontId="12" fillId="17" borderId="1" pivotButton="0" quotePrefix="0" xfId="0"/>
    <xf numFmtId="0" fontId="12" fillId="18" borderId="1" pivotButton="0" quotePrefix="0" xfId="0"/>
    <xf numFmtId="0" fontId="12" fillId="19" borderId="1" pivotButton="0" quotePrefix="0" xfId="0"/>
    <xf numFmtId="0" fontId="12" fillId="20" borderId="1" pivotButton="0" quotePrefix="0" xfId="0"/>
    <xf numFmtId="0" fontId="12" fillId="21" borderId="1" pivotButton="0" quotePrefix="0" xfId="0"/>
    <xf numFmtId="0" fontId="12" fillId="22" borderId="1" pivotButton="0" quotePrefix="0" xfId="0"/>
    <xf numFmtId="0" fontId="12" fillId="23" borderId="1" pivotButton="0" quotePrefix="0" xfId="0"/>
    <xf numFmtId="0" fontId="12" fillId="24" borderId="1" pivotButton="0" quotePrefix="0" xfId="0"/>
    <xf numFmtId="0" fontId="12" fillId="25" borderId="1" pivotButton="0" quotePrefix="0" xfId="0"/>
    <xf numFmtId="0" fontId="12" fillId="26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4" fillId="4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4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right"/>
    </xf>
    <xf numFmtId="4" fontId="9" fillId="4" borderId="0" applyAlignment="1" pivotButton="0" quotePrefix="0" xfId="0">
      <alignment horizontal="right"/>
    </xf>
    <xf numFmtId="0" fontId="14" fillId="5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right"/>
    </xf>
    <xf numFmtId="4" fontId="9" fillId="5" borderId="0" applyAlignment="1" pivotButton="0" quotePrefix="0" xfId="0">
      <alignment horizontal="right"/>
    </xf>
    <xf numFmtId="0" fontId="12" fillId="5" borderId="0" pivotButton="0" quotePrefix="0" xfId="0"/>
    <xf numFmtId="0" fontId="14" fillId="6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right"/>
    </xf>
    <xf numFmtId="4" fontId="9" fillId="6" borderId="0" applyAlignment="1" pivotButton="0" quotePrefix="0" xfId="0">
      <alignment horizontal="right"/>
    </xf>
    <xf numFmtId="0" fontId="12" fillId="6" borderId="0" pivotButton="0" quotePrefix="0" xfId="0"/>
    <xf numFmtId="0" fontId="14" fillId="7" borderId="0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right"/>
    </xf>
    <xf numFmtId="4" fontId="9" fillId="7" borderId="1" applyAlignment="1" pivotButton="0" quotePrefix="0" xfId="0">
      <alignment horizontal="right"/>
    </xf>
    <xf numFmtId="0" fontId="11" fillId="29" borderId="0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/>
    </xf>
    <xf numFmtId="0" fontId="12" fillId="22" borderId="1" applyAlignment="1" pivotButton="0" quotePrefix="0" xfId="0">
      <alignment horizontal="center"/>
    </xf>
    <xf numFmtId="0" fontId="12" fillId="16" borderId="1" applyAlignment="1" pivotButton="0" quotePrefix="0" xfId="0">
      <alignment horizontal="center"/>
    </xf>
    <xf numFmtId="0" fontId="12" fillId="20" borderId="1" applyAlignment="1" pivotButton="0" quotePrefix="0" xfId="0">
      <alignment horizontal="center"/>
    </xf>
    <xf numFmtId="0" fontId="9" fillId="29" borderId="1" applyAlignment="1" pivotButton="0" quotePrefix="0" xfId="0">
      <alignment horizontal="right"/>
    </xf>
    <xf numFmtId="4" fontId="9" fillId="2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Categoría (ARS)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'DASHBOARD'!$A$9:$A$20</f>
            </numRef>
          </cat>
          <val>
            <numRef>
              <f>'DASHBOARD'!$B$9:$B$20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por Tarjeta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565C0"/>
              </a:solidFill>
              <a:ln>
                <a:prstDash val="solid"/>
              </a:ln>
            </spPr>
          </dPt>
          <dPt>
            <idx val="1"/>
            <spPr>
              <a:solidFill>
                <a:srgbClr val="6A1B9A"/>
              </a:solidFill>
              <a:ln>
                <a:prstDash val="solid"/>
              </a:ln>
            </spPr>
          </dPt>
          <dPt>
            <idx val="2"/>
            <spPr>
              <a:solidFill>
                <a:srgbClr val="1B5E20"/>
              </a:solidFill>
              <a:ln>
                <a:prstDash val="solid"/>
              </a:ln>
            </spPr>
          </dPt>
          <cat>
            <numRef>
              <f>'DASHBOARD'!$N$9:$N$11</f>
            </numRef>
          </cat>
          <val>
            <numRef>
              <f>'DASHBOARD'!$O$9:$O$11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8</row>
      <rowOff>0</rowOff>
    </from>
    <ext cx="36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ANÁLISIS DE GASTOS — 3 TARJETAS DE CRÉDITO — ABRIL 2026</t>
        </is>
      </c>
    </row>
    <row r="2" ht="4" customHeight="1"/>
    <row r="3" ht="18" customHeight="1">
      <c r="A3" s="2" t="inlineStr">
        <is>
          <t>Tarjeta</t>
        </is>
      </c>
      <c r="B3" s="2" t="inlineStr">
        <is>
          <t>Gastos ARS</t>
        </is>
      </c>
      <c r="C3" s="2" t="inlineStr">
        <is>
          <t>Gastos USD</t>
        </is>
      </c>
      <c r="D3" s="2" t="inlineStr">
        <is>
          <t>N° Transacciones</t>
        </is>
      </c>
      <c r="E3" s="2" t="inlineStr">
        <is>
          <t>% del Total</t>
        </is>
      </c>
    </row>
    <row r="4" ht="18" customHeight="1">
      <c r="A4" s="3" t="inlineStr">
        <is>
          <t>AMEX 4100</t>
        </is>
      </c>
      <c r="B4" s="4" t="n">
        <v>607925.9799999999</v>
      </c>
      <c r="C4" s="5" t="inlineStr">
        <is>
          <t>—</t>
        </is>
      </c>
      <c r="D4" s="6" t="n">
        <v>32</v>
      </c>
      <c r="E4" s="7" t="n">
        <v>0.2108517267069827</v>
      </c>
    </row>
    <row r="5" ht="18" customHeight="1">
      <c r="A5" s="8" t="inlineStr">
        <is>
          <t>AMEX SANTANDER</t>
        </is>
      </c>
      <c r="B5" s="4" t="n">
        <v>700152.41</v>
      </c>
      <c r="C5" s="9" t="n">
        <v>3.52</v>
      </c>
      <c r="D5" s="6" t="n">
        <v>19</v>
      </c>
      <c r="E5" s="7" t="n">
        <v>0.2428393414056022</v>
      </c>
    </row>
    <row r="6" ht="18" customHeight="1">
      <c r="A6" s="10" t="inlineStr">
        <is>
          <t>VISA 2473</t>
        </is>
      </c>
      <c r="B6" s="4" t="n">
        <v>1575113.460000001</v>
      </c>
      <c r="C6" s="9" t="n">
        <v>25.98</v>
      </c>
      <c r="D6" s="6" t="n">
        <v>106</v>
      </c>
      <c r="E6" s="7" t="n">
        <v>0.5463089318874151</v>
      </c>
    </row>
    <row r="7" ht="22" customHeight="1">
      <c r="A7" s="11" t="inlineStr">
        <is>
          <t>TOTAL GENERAL</t>
        </is>
      </c>
      <c r="B7" s="12" t="n">
        <v>2883191.850000001</v>
      </c>
      <c r="C7" s="13" t="n">
        <v>29.5</v>
      </c>
      <c r="D7" s="14" t="n">
        <v>157</v>
      </c>
      <c r="E7" s="15" t="n">
        <v>1</v>
      </c>
    </row>
    <row r="9" ht="20" customHeight="1">
      <c r="A9" s="16" t="inlineStr">
        <is>
          <t>DESGLOSE POR CATEGORÍA</t>
        </is>
      </c>
    </row>
    <row r="10" ht="16" customHeight="1">
      <c r="A10" s="17" t="inlineStr">
        <is>
          <t>Categoría</t>
        </is>
      </c>
      <c r="B10" s="17" t="inlineStr">
        <is>
          <t>Total ARS</t>
        </is>
      </c>
      <c r="C10" s="17" t="inlineStr">
        <is>
          <t>% del Total</t>
        </is>
      </c>
      <c r="D10" s="17" t="inlineStr">
        <is>
          <t>N° Tx</t>
        </is>
      </c>
      <c r="E10" s="17" t="inlineStr">
        <is>
          <t>Ticket Promedio</t>
        </is>
      </c>
    </row>
    <row r="11" ht="15" customHeight="1">
      <c r="A11" s="18" t="inlineStr">
        <is>
          <t>SUPERMERCADO</t>
        </is>
      </c>
      <c r="B11" s="19" t="n">
        <v>447533.43</v>
      </c>
      <c r="C11" s="7" t="n">
        <v>0.1552215229798183</v>
      </c>
      <c r="D11" s="6" t="n">
        <v>3</v>
      </c>
      <c r="E11" s="20" t="n">
        <v>149177.81</v>
      </c>
    </row>
    <row r="12" ht="15" customHeight="1">
      <c r="A12" s="21" t="inlineStr">
        <is>
          <t>AUTOMÓVIL</t>
        </is>
      </c>
      <c r="B12" s="19" t="n">
        <v>340286.01</v>
      </c>
      <c r="C12" s="7" t="n">
        <v>0.1180240607297776</v>
      </c>
      <c r="D12" s="6" t="n">
        <v>18</v>
      </c>
      <c r="E12" s="20" t="n">
        <v>18904.77833333334</v>
      </c>
    </row>
    <row r="13" ht="15" customHeight="1">
      <c r="A13" s="22" t="inlineStr">
        <is>
          <t>SERVICIO DOMÉSTICO</t>
        </is>
      </c>
      <c r="B13" s="19" t="n">
        <v>336911.51</v>
      </c>
      <c r="C13" s="7" t="n">
        <v>0.1168536564779759</v>
      </c>
      <c r="D13" s="6" t="n">
        <v>10</v>
      </c>
      <c r="E13" s="20" t="n">
        <v>33691.151</v>
      </c>
    </row>
    <row r="14" ht="15" customHeight="1">
      <c r="A14" s="23" t="inlineStr">
        <is>
          <t>RESTAURANTES</t>
        </is>
      </c>
      <c r="B14" s="19" t="n">
        <v>331080</v>
      </c>
      <c r="C14" s="7" t="n">
        <v>0.1148310682135148</v>
      </c>
      <c r="D14" s="6" t="n">
        <v>20</v>
      </c>
      <c r="E14" s="20" t="n">
        <v>16554</v>
      </c>
    </row>
    <row r="15" ht="15" customHeight="1">
      <c r="A15" s="24" t="inlineStr">
        <is>
          <t>SEGUROS</t>
        </is>
      </c>
      <c r="B15" s="19" t="n">
        <v>264813.45</v>
      </c>
      <c r="C15" s="7" t="n">
        <v>0.09184732191858823</v>
      </c>
      <c r="D15" s="6" t="n">
        <v>2</v>
      </c>
      <c r="E15" s="20" t="n">
        <v>132406.725</v>
      </c>
    </row>
    <row r="16" ht="15" customHeight="1">
      <c r="A16" s="25" t="inlineStr">
        <is>
          <t>OTROS</t>
        </is>
      </c>
      <c r="B16" s="19" t="n">
        <v>246714.28</v>
      </c>
      <c r="C16" s="7" t="n">
        <v>0.08556984510066507</v>
      </c>
      <c r="D16" s="6" t="n">
        <v>19</v>
      </c>
      <c r="E16" s="20" t="n">
        <v>12984.96210526316</v>
      </c>
    </row>
    <row r="17" ht="15" customHeight="1">
      <c r="A17" s="26" t="inlineStr">
        <is>
          <t>CUOTAS</t>
        </is>
      </c>
      <c r="B17" s="19" t="n">
        <v>234186.14</v>
      </c>
      <c r="C17" s="7" t="n">
        <v>0.08122461222967176</v>
      </c>
      <c r="D17" s="6" t="n">
        <v>16</v>
      </c>
      <c r="E17" s="20" t="n">
        <v>14636.63375</v>
      </c>
    </row>
    <row r="18" ht="15" customHeight="1">
      <c r="A18" s="27" t="inlineStr">
        <is>
          <t>SALUD</t>
        </is>
      </c>
      <c r="B18" s="19" t="n">
        <v>223709.36</v>
      </c>
      <c r="C18" s="7" t="n">
        <v>0.07759086860626356</v>
      </c>
      <c r="D18" s="6" t="n">
        <v>4</v>
      </c>
      <c r="E18" s="20" t="n">
        <v>55927.34</v>
      </c>
    </row>
    <row r="19" ht="15" customHeight="1">
      <c r="A19" s="28" t="inlineStr">
        <is>
          <t>SERVICIOS FIJOS</t>
        </is>
      </c>
      <c r="B19" s="19" t="n">
        <v>142628.31</v>
      </c>
      <c r="C19" s="7" t="n">
        <v>0.04946889330309392</v>
      </c>
      <c r="D19" s="6" t="n">
        <v>2</v>
      </c>
      <c r="E19" s="20" t="n">
        <v>71314.155</v>
      </c>
    </row>
    <row r="20" ht="15" customHeight="1">
      <c r="A20" s="29" t="inlineStr">
        <is>
          <t>IMPUESTOS Y CARGOS</t>
        </is>
      </c>
      <c r="B20" s="19" t="n">
        <v>136084.96</v>
      </c>
      <c r="C20" s="7" t="n">
        <v>0.04719941199889281</v>
      </c>
      <c r="D20" s="6" t="n">
        <v>12</v>
      </c>
      <c r="E20" s="20" t="n">
        <v>11340.41333333333</v>
      </c>
    </row>
    <row r="21" ht="15" customHeight="1">
      <c r="A21" s="30" t="inlineStr">
        <is>
          <t>ENTRETENIMIENTO</t>
        </is>
      </c>
      <c r="B21" s="19" t="n">
        <v>62164.98</v>
      </c>
      <c r="C21" s="7" t="n">
        <v>0.02156116666325898</v>
      </c>
      <c r="D21" s="6" t="n">
        <v>7</v>
      </c>
      <c r="E21" s="20" t="n">
        <v>8880.711428571429</v>
      </c>
    </row>
    <row r="22" ht="15" customHeight="1">
      <c r="A22" s="31" t="inlineStr">
        <is>
          <t>TRANSPORTE</t>
        </is>
      </c>
      <c r="B22" s="19" t="n">
        <v>39450.92000000001</v>
      </c>
      <c r="C22" s="7" t="n">
        <v>0.01368307141961434</v>
      </c>
      <c r="D22" s="6" t="n">
        <v>34</v>
      </c>
      <c r="E22" s="20" t="n">
        <v>1160.321176470588</v>
      </c>
    </row>
    <row r="23" ht="15" customHeight="1">
      <c r="A23" s="32" t="inlineStr">
        <is>
          <t>DELIVERY</t>
        </is>
      </c>
      <c r="B23" s="19" t="n">
        <v>37208.5</v>
      </c>
      <c r="C23" s="7" t="n">
        <v>0.01290531533654272</v>
      </c>
      <c r="D23" s="6" t="n">
        <v>3</v>
      </c>
      <c r="E23" s="20" t="n">
        <v>12402.83333333333</v>
      </c>
    </row>
    <row r="24" ht="15" customHeight="1">
      <c r="A24" s="33" t="inlineStr">
        <is>
          <t>TECNOLOGÍA</t>
        </is>
      </c>
      <c r="B24" s="19" t="n">
        <v>32140</v>
      </c>
      <c r="C24" s="7" t="n">
        <v>0.01114736780349875</v>
      </c>
      <c r="D24" s="6" t="n">
        <v>2</v>
      </c>
      <c r="E24" s="20" t="n">
        <v>16070</v>
      </c>
    </row>
    <row r="25" ht="15" customHeight="1">
      <c r="A25" s="34" t="inlineStr">
        <is>
          <t>VIAJES</t>
        </is>
      </c>
      <c r="B25" s="19" t="n">
        <v>8280</v>
      </c>
      <c r="C25" s="7" t="n">
        <v>0.002871817218822951</v>
      </c>
      <c r="D25" s="6" t="n">
        <v>1</v>
      </c>
      <c r="E25" s="20" t="n">
        <v>8280</v>
      </c>
    </row>
  </sheetData>
  <mergeCells count="3">
    <mergeCell ref="A1:E1"/>
    <mergeCell ref="A9:E9"/>
    <mergeCell ref="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6" customHeight="1">
      <c r="A1" s="35" t="inlineStr">
        <is>
          <t>DASHBOARD EJECUTIVO — GASTOS TARJETAS ABRIL 2026</t>
        </is>
      </c>
    </row>
    <row r="2" ht="18" customHeight="1">
      <c r="A2" s="36" t="inlineStr">
        <is>
          <t>Titular: DARIO STIRPARO  |  Cierre: Abril 2026  |  3 Tarjetas Analizadas</t>
        </is>
      </c>
    </row>
    <row r="3" ht="8" customHeight="1"/>
    <row r="4" ht="18" customHeight="1">
      <c r="A4" s="37" t="inlineStr">
        <is>
          <t>TOTAL GENERAL ARS</t>
        </is>
      </c>
      <c r="D4" s="38" t="inlineStr">
        <is>
          <t>AMEX 4100</t>
        </is>
      </c>
      <c r="F4" s="39" t="inlineStr">
        <is>
          <t>AMEX SANTANDER</t>
        </is>
      </c>
      <c r="H4" s="40" t="inlineStr">
        <is>
          <t>VISA 2473</t>
        </is>
      </c>
      <c r="J4" s="41" t="inlineStr">
        <is>
          <t>CUOTAS MES</t>
        </is>
      </c>
      <c r="L4" s="42" t="inlineStr">
        <is>
          <t>USD TOTAL</t>
        </is>
      </c>
      <c r="N4" s="43" t="inlineStr">
        <is>
          <t>TICKET PROM.</t>
        </is>
      </c>
    </row>
    <row r="5" ht="26" customHeight="1">
      <c r="A5" s="44" t="inlineStr">
        <is>
          <t>$ 2,883,192</t>
        </is>
      </c>
      <c r="D5" s="45" t="inlineStr">
        <is>
          <t>$ 607,926</t>
        </is>
      </c>
      <c r="F5" s="46" t="inlineStr">
        <is>
          <t>$ 700,152</t>
        </is>
      </c>
      <c r="H5" s="47" t="inlineStr">
        <is>
          <t>$ 1,575,113</t>
        </is>
      </c>
      <c r="J5" s="48" t="inlineStr">
        <is>
          <t>$ 234,186</t>
        </is>
      </c>
      <c r="L5" s="49" t="inlineStr">
        <is>
          <t>U$S 29.50</t>
        </is>
      </c>
      <c r="N5" s="50" t="inlineStr">
        <is>
          <t>$ 18,364</t>
        </is>
      </c>
    </row>
    <row r="6" ht="16" customHeight="1">
      <c r="A6" s="51" t="inlineStr">
        <is>
          <t>157 transacciones</t>
        </is>
      </c>
      <c r="D6" s="52" t="inlineStr">
        <is>
          <t>32 tx</t>
        </is>
      </c>
      <c r="F6" s="53" t="inlineStr">
        <is>
          <t>19 tx</t>
        </is>
      </c>
      <c r="H6" s="54" t="inlineStr">
        <is>
          <t>106 tx</t>
        </is>
      </c>
      <c r="J6" s="55" t="inlineStr">
        <is>
          <t>16 planes activos</t>
        </is>
      </c>
      <c r="L6" s="56" t="inlineStr">
        <is>
          <t>Apple + Splice</t>
        </is>
      </c>
      <c r="N6" s="57" t="inlineStr">
        <is>
          <t>por transacción</t>
        </is>
      </c>
    </row>
    <row r="7" ht="10" customHeight="1"/>
    <row r="8">
      <c r="A8" s="58" t="inlineStr">
        <is>
          <t>Categoría</t>
        </is>
      </c>
      <c r="B8" s="58" t="inlineStr">
        <is>
          <t>Monto</t>
        </is>
      </c>
      <c r="C8" s="58" t="inlineStr">
        <is>
          <t>%</t>
        </is>
      </c>
      <c r="N8" s="58" t="inlineStr">
        <is>
          <t>Tarjeta</t>
        </is>
      </c>
      <c r="O8" s="58" t="inlineStr">
        <is>
          <t>ARS</t>
        </is>
      </c>
    </row>
    <row r="9" ht="14" customHeight="1">
      <c r="A9" s="59" t="inlineStr">
        <is>
          <t>SUPERMERCADO</t>
        </is>
      </c>
      <c r="B9" s="60" t="n">
        <v>447533.43</v>
      </c>
      <c r="C9" s="61" t="n">
        <v>0.1552215229798183</v>
      </c>
      <c r="N9" s="59" t="inlineStr">
        <is>
          <t>AMEX 4100</t>
        </is>
      </c>
      <c r="O9" s="60" t="n">
        <v>607925.9799999999</v>
      </c>
    </row>
    <row r="10" ht="14" customHeight="1">
      <c r="A10" s="59" t="inlineStr">
        <is>
          <t>AUTOMÓVIL</t>
        </is>
      </c>
      <c r="B10" s="60" t="n">
        <v>340286.01</v>
      </c>
      <c r="C10" s="61" t="n">
        <v>0.1180240607297777</v>
      </c>
      <c r="N10" s="59" t="inlineStr">
        <is>
          <t>AMEX SANTANDER</t>
        </is>
      </c>
      <c r="O10" s="60" t="n">
        <v>700152.41</v>
      </c>
    </row>
    <row r="11" ht="14" customHeight="1">
      <c r="A11" s="59" t="inlineStr">
        <is>
          <t>SERVICIO DOMÉSTICO</t>
        </is>
      </c>
      <c r="B11" s="60" t="n">
        <v>336911.51</v>
      </c>
      <c r="C11" s="61" t="n">
        <v>0.116853656477976</v>
      </c>
      <c r="N11" s="59" t="inlineStr">
        <is>
          <t>VISA 2473</t>
        </is>
      </c>
      <c r="O11" s="60" t="n">
        <v>1575113.460000001</v>
      </c>
    </row>
    <row r="12" ht="14" customHeight="1">
      <c r="A12" s="59" t="inlineStr">
        <is>
          <t>RESTAURANTES</t>
        </is>
      </c>
      <c r="B12" s="60" t="n">
        <v>331080</v>
      </c>
      <c r="C12" s="61" t="n">
        <v>0.1148310682135148</v>
      </c>
    </row>
    <row r="13" ht="14" customHeight="1">
      <c r="A13" s="59" t="inlineStr">
        <is>
          <t>SEGUROS</t>
        </is>
      </c>
      <c r="B13" s="60" t="n">
        <v>264813.45</v>
      </c>
      <c r="C13" s="61" t="n">
        <v>0.09184732191858824</v>
      </c>
    </row>
    <row r="14" ht="14" customHeight="1">
      <c r="A14" s="59" t="inlineStr">
        <is>
          <t>OTROS</t>
        </is>
      </c>
      <c r="B14" s="60" t="n">
        <v>246714.28</v>
      </c>
      <c r="C14" s="61" t="n">
        <v>0.08556984510066508</v>
      </c>
    </row>
    <row r="15" ht="14" customHeight="1">
      <c r="A15" s="59" t="inlineStr">
        <is>
          <t>CUOTAS</t>
        </is>
      </c>
      <c r="B15" s="60" t="n">
        <v>234186.14</v>
      </c>
      <c r="C15" s="61" t="n">
        <v>0.08122461222967177</v>
      </c>
    </row>
    <row r="16" ht="14" customHeight="1">
      <c r="A16" s="59" t="inlineStr">
        <is>
          <t>SALUD</t>
        </is>
      </c>
      <c r="B16" s="60" t="n">
        <v>223709.36</v>
      </c>
      <c r="C16" s="61" t="n">
        <v>0.07759086860626357</v>
      </c>
    </row>
    <row r="17" ht="14" customHeight="1">
      <c r="A17" s="59" t="inlineStr">
        <is>
          <t>SERVICIOS FIJOS</t>
        </is>
      </c>
      <c r="B17" s="60" t="n">
        <v>142628.31</v>
      </c>
      <c r="C17" s="61" t="n">
        <v>0.04946889330309392</v>
      </c>
    </row>
    <row r="18" ht="14" customHeight="1">
      <c r="A18" s="59" t="inlineStr">
        <is>
          <t>IMPUESTOS Y CARGOS</t>
        </is>
      </c>
      <c r="B18" s="60" t="n">
        <v>136084.96</v>
      </c>
      <c r="C18" s="61" t="n">
        <v>0.04719941199889282</v>
      </c>
    </row>
    <row r="19" ht="14" customHeight="1">
      <c r="A19" s="59" t="inlineStr">
        <is>
          <t>ENTRETENIMIENTO</t>
        </is>
      </c>
      <c r="B19" s="60" t="n">
        <v>62164.98</v>
      </c>
      <c r="C19" s="61" t="n">
        <v>0.02156116666325898</v>
      </c>
    </row>
    <row r="20" ht="14" customHeight="1">
      <c r="A20" s="59" t="inlineStr">
        <is>
          <t>TRANSPORTE</t>
        </is>
      </c>
      <c r="B20" s="60" t="n">
        <v>39450.92000000001</v>
      </c>
      <c r="C20" s="61" t="n">
        <v>0.01368307141961434</v>
      </c>
    </row>
  </sheetData>
  <mergeCells count="23">
    <mergeCell ref="F4:G4"/>
    <mergeCell ref="J5:K5"/>
    <mergeCell ref="F6:G6"/>
    <mergeCell ref="H4:I4"/>
    <mergeCell ref="D6:E6"/>
    <mergeCell ref="A2:O2"/>
    <mergeCell ref="H6:I6"/>
    <mergeCell ref="A5:C5"/>
    <mergeCell ref="J6:K6"/>
    <mergeCell ref="F5:G5"/>
    <mergeCell ref="L5:M5"/>
    <mergeCell ref="N5:O5"/>
    <mergeCell ref="A4:C4"/>
    <mergeCell ref="J4:K4"/>
    <mergeCell ref="L4:M4"/>
    <mergeCell ref="D4:E4"/>
    <mergeCell ref="L6:M6"/>
    <mergeCell ref="N6:O6"/>
    <mergeCell ref="A6:C6"/>
    <mergeCell ref="D5:E5"/>
    <mergeCell ref="A1:O1"/>
    <mergeCell ref="H5:I5"/>
    <mergeCell ref="N4:O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4" customWidth="1" min="4" max="4"/>
    <col width="8" customWidth="1" min="5" max="5"/>
    <col width="20" customWidth="1" min="6" max="6"/>
    <col width="16" customWidth="1" min="7" max="7"/>
    <col width="8" customWidth="1" min="8" max="8"/>
  </cols>
  <sheetData>
    <row r="1" ht="28" customHeight="1">
      <c r="A1" s="62" t="inlineStr">
        <is>
          <t>DETALLE DE GASTOS — AMEX 4100</t>
        </is>
      </c>
    </row>
    <row r="2" ht="20" customHeight="1">
      <c r="A2" s="63" t="inlineStr">
        <is>
          <t>Fecha</t>
        </is>
      </c>
      <c r="B2" s="63" t="inlineStr">
        <is>
          <t>Descripción</t>
        </is>
      </c>
      <c r="C2" s="63" t="inlineStr">
        <is>
          <t>Subcuenta</t>
        </is>
      </c>
      <c r="D2" s="63" t="inlineStr">
        <is>
          <t>Importe</t>
        </is>
      </c>
      <c r="E2" s="63" t="inlineStr">
        <is>
          <t>Moneda</t>
        </is>
      </c>
      <c r="F2" s="63" t="inlineStr">
        <is>
          <t>Categoría</t>
        </is>
      </c>
      <c r="G2" s="63" t="inlineStr">
        <is>
          <t>Info Cuotas</t>
        </is>
      </c>
      <c r="H2" s="63" t="inlineStr">
        <is>
          <t>¿Cuota?</t>
        </is>
      </c>
    </row>
    <row r="3">
      <c r="A3" s="64" t="inlineStr">
        <is>
          <t>27/09/2025</t>
        </is>
      </c>
      <c r="B3" s="64" t="inlineStr">
        <is>
          <t>Merpago*montagne</t>
        </is>
      </c>
      <c r="C3" s="64" t="inlineStr">
        <is>
          <t>Dario F. Stirparo (4100)</t>
        </is>
      </c>
      <c r="D3" s="65" t="n">
        <v>14736.41</v>
      </c>
      <c r="E3" s="66" t="inlineStr">
        <is>
          <t>$</t>
        </is>
      </c>
      <c r="F3" s="67" t="inlineStr">
        <is>
          <t>CUOTAS</t>
        </is>
      </c>
      <c r="G3" s="64" t="inlineStr">
        <is>
          <t>Cuota 8 de 12</t>
        </is>
      </c>
      <c r="H3" s="68" t="inlineStr">
        <is>
          <t>Sí</t>
        </is>
      </c>
    </row>
    <row r="4">
      <c r="A4" s="64" t="inlineStr">
        <is>
          <t>13/12/2025</t>
        </is>
      </c>
      <c r="B4" s="64" t="inlineStr">
        <is>
          <t>Diego perfumes</t>
        </is>
      </c>
      <c r="C4" s="64" t="inlineStr">
        <is>
          <t>Dario F. Stirparo (4100)</t>
        </is>
      </c>
      <c r="D4" s="65" t="n">
        <v>18112</v>
      </c>
      <c r="E4" s="66" t="inlineStr">
        <is>
          <t>$</t>
        </is>
      </c>
      <c r="F4" s="67" t="inlineStr">
        <is>
          <t>CUOTAS</t>
        </is>
      </c>
      <c r="G4" s="64" t="inlineStr">
        <is>
          <t>Cuota 5 de 6</t>
        </is>
      </c>
      <c r="H4" s="68" t="inlineStr">
        <is>
          <t>Sí</t>
        </is>
      </c>
    </row>
    <row r="5">
      <c r="A5" s="64" t="inlineStr">
        <is>
          <t>13/12/2025</t>
        </is>
      </c>
      <c r="B5" s="64" t="inlineStr">
        <is>
          <t>Marroquineria doga p</t>
        </is>
      </c>
      <c r="C5" s="64" t="inlineStr">
        <is>
          <t>Dario F. Stirparo (4100)</t>
        </is>
      </c>
      <c r="D5" s="65" t="n">
        <v>21650</v>
      </c>
      <c r="E5" s="66" t="inlineStr">
        <is>
          <t>$</t>
        </is>
      </c>
      <c r="F5" s="67" t="inlineStr">
        <is>
          <t>CUOTAS</t>
        </is>
      </c>
      <c r="G5" s="64" t="inlineStr">
        <is>
          <t>Cuota 5 de 6</t>
        </is>
      </c>
      <c r="H5" s="68" t="inlineStr">
        <is>
          <t>Sí</t>
        </is>
      </c>
    </row>
    <row r="6">
      <c r="A6" s="64" t="inlineStr">
        <is>
          <t>28/03/2026</t>
        </is>
      </c>
      <c r="B6" s="64" t="inlineStr">
        <is>
          <t>Merpago*appypfcomb 152320714078</t>
        </is>
      </c>
      <c r="C6" s="64" t="inlineStr">
        <is>
          <t>Dario F. Stirparo (4100)</t>
        </is>
      </c>
      <c r="D6" s="65" t="n">
        <v>19500.06</v>
      </c>
      <c r="E6" s="66" t="inlineStr">
        <is>
          <t>$</t>
        </is>
      </c>
      <c r="F6" s="69" t="inlineStr">
        <is>
          <t>AUTOMÓVIL</t>
        </is>
      </c>
      <c r="G6" s="64" t="inlineStr"/>
      <c r="H6" s="66" t="inlineStr">
        <is>
          <t>No</t>
        </is>
      </c>
    </row>
    <row r="7">
      <c r="A7" s="64" t="inlineStr">
        <is>
          <t>29/03/2026</t>
        </is>
      </c>
      <c r="B7" s="64" t="inlineStr">
        <is>
          <t>Coto 129 digital</t>
        </is>
      </c>
      <c r="C7" s="64" t="inlineStr">
        <is>
          <t>Dario F. Stirparo (4100)</t>
        </is>
      </c>
      <c r="D7" s="65" t="n">
        <v>297570.55</v>
      </c>
      <c r="E7" s="66" t="inlineStr">
        <is>
          <t>$</t>
        </is>
      </c>
      <c r="F7" s="70" t="inlineStr">
        <is>
          <t>SUPERMERCADO</t>
        </is>
      </c>
      <c r="G7" s="64" t="inlineStr"/>
      <c r="H7" s="66" t="inlineStr">
        <is>
          <t>No</t>
        </is>
      </c>
    </row>
    <row r="8">
      <c r="A8" s="64" t="inlineStr">
        <is>
          <t>30/03/2026</t>
        </is>
      </c>
      <c r="B8" s="64" t="inlineStr">
        <is>
          <t>Coto 129 digital</t>
        </is>
      </c>
      <c r="C8" s="64" t="inlineStr">
        <is>
          <t>Dario F. Stirparo (4100)</t>
        </is>
      </c>
      <c r="D8" s="65" t="n">
        <v>722.49</v>
      </c>
      <c r="E8" s="66" t="inlineStr">
        <is>
          <t>$</t>
        </is>
      </c>
      <c r="F8" s="70" t="inlineStr">
        <is>
          <t>SUPERMERCADO</t>
        </is>
      </c>
      <c r="G8" s="64" t="inlineStr"/>
      <c r="H8" s="66" t="inlineStr">
        <is>
          <t>No</t>
        </is>
      </c>
    </row>
    <row r="9">
      <c r="A9" s="64" t="inlineStr">
        <is>
          <t>31/03/2026</t>
        </is>
      </c>
      <c r="B9" s="64" t="inlineStr">
        <is>
          <t>Merpago*emovasubte 151976733833</t>
        </is>
      </c>
      <c r="C9" s="64" t="inlineStr">
        <is>
          <t>Dario F. Stirparo (4100)</t>
        </is>
      </c>
      <c r="D9" s="65" t="n">
        <v>1363</v>
      </c>
      <c r="E9" s="66" t="inlineStr">
        <is>
          <t>$</t>
        </is>
      </c>
      <c r="F9" s="71" t="inlineStr">
        <is>
          <t>TRANSPORTE</t>
        </is>
      </c>
      <c r="G9" s="64" t="inlineStr"/>
      <c r="H9" s="66" t="inlineStr">
        <is>
          <t>No</t>
        </is>
      </c>
    </row>
    <row r="10">
      <c r="A10" s="64" t="inlineStr">
        <is>
          <t>05/04/2026</t>
        </is>
      </c>
      <c r="B10" s="64" t="inlineStr">
        <is>
          <t>Merpago*appypftiend 152647828349</t>
        </is>
      </c>
      <c r="C10" s="64" t="inlineStr">
        <is>
          <t>Dario F. Stirparo (4100)</t>
        </is>
      </c>
      <c r="D10" s="65" t="n">
        <v>22600</v>
      </c>
      <c r="E10" s="66" t="inlineStr">
        <is>
          <t>$</t>
        </is>
      </c>
      <c r="F10" s="69" t="inlineStr">
        <is>
          <t>AUTOMÓVIL</t>
        </is>
      </c>
      <c r="G10" s="64" t="inlineStr"/>
      <c r="H10" s="66" t="inlineStr">
        <is>
          <t>No</t>
        </is>
      </c>
    </row>
    <row r="11">
      <c r="A11" s="64" t="inlineStr">
        <is>
          <t>06/04/2026</t>
        </is>
      </c>
      <c r="B11" s="64" t="inlineStr">
        <is>
          <t>Merpago*appypftiend 152774512207</t>
        </is>
      </c>
      <c r="C11" s="64" t="inlineStr">
        <is>
          <t>Dario F. Stirparo (4100)</t>
        </is>
      </c>
      <c r="D11" s="65" t="n">
        <v>5180</v>
      </c>
      <c r="E11" s="66" t="inlineStr">
        <is>
          <t>$</t>
        </is>
      </c>
      <c r="F11" s="69" t="inlineStr">
        <is>
          <t>AUTOMÓVIL</t>
        </is>
      </c>
      <c r="G11" s="64" t="inlineStr"/>
      <c r="H11" s="66" t="inlineStr">
        <is>
          <t>No</t>
        </is>
      </c>
    </row>
    <row r="12">
      <c r="A12" s="64" t="inlineStr">
        <is>
          <t>06/04/2026</t>
        </is>
      </c>
      <c r="B12" s="64" t="inlineStr">
        <is>
          <t>Merpago*appypfcomb 152770162291</t>
        </is>
      </c>
      <c r="C12" s="64" t="inlineStr">
        <is>
          <t>Dario F. Stirparo (4100)</t>
        </is>
      </c>
      <c r="D12" s="65" t="n">
        <v>19499.95</v>
      </c>
      <c r="E12" s="66" t="inlineStr">
        <is>
          <t>$</t>
        </is>
      </c>
      <c r="F12" s="69" t="inlineStr">
        <is>
          <t>AUTOMÓVIL</t>
        </is>
      </c>
      <c r="G12" s="64" t="inlineStr"/>
      <c r="H12" s="66" t="inlineStr">
        <is>
          <t>No</t>
        </is>
      </c>
    </row>
    <row r="13">
      <c r="A13" s="64" t="inlineStr">
        <is>
          <t>07/04/2026</t>
        </is>
      </c>
      <c r="B13" s="64" t="inlineStr">
        <is>
          <t>Merpago*emovasubte 153691836514</t>
        </is>
      </c>
      <c r="C13" s="64" t="inlineStr">
        <is>
          <t>Dario F. Stirparo (4100)</t>
        </is>
      </c>
      <c r="D13" s="65" t="n">
        <v>1414</v>
      </c>
      <c r="E13" s="66" t="inlineStr">
        <is>
          <t>$</t>
        </is>
      </c>
      <c r="F13" s="71" t="inlineStr">
        <is>
          <t>TRANSPORTE</t>
        </is>
      </c>
      <c r="G13" s="64" t="inlineStr"/>
      <c r="H13" s="66" t="inlineStr">
        <is>
          <t>No</t>
        </is>
      </c>
    </row>
    <row r="14">
      <c r="A14" s="64" t="inlineStr">
        <is>
          <t>08/04/2026</t>
        </is>
      </c>
      <c r="B14" s="64" t="inlineStr">
        <is>
          <t>Merpago*emovasubte 153853723504</t>
        </is>
      </c>
      <c r="C14" s="64" t="inlineStr">
        <is>
          <t>Dario F. Stirparo (4100)</t>
        </is>
      </c>
      <c r="D14" s="65" t="n">
        <v>1414</v>
      </c>
      <c r="E14" s="66" t="inlineStr">
        <is>
          <t>$</t>
        </is>
      </c>
      <c r="F14" s="71" t="inlineStr">
        <is>
          <t>TRANSPORTE</t>
        </is>
      </c>
      <c r="G14" s="64" t="inlineStr"/>
      <c r="H14" s="66" t="inlineStr">
        <is>
          <t>No</t>
        </is>
      </c>
    </row>
    <row r="15">
      <c r="A15" s="64" t="inlineStr">
        <is>
          <t>09/04/2026</t>
        </is>
      </c>
      <c r="B15" s="64" t="inlineStr">
        <is>
          <t>Merpago*emovasubte 153273608543</t>
        </is>
      </c>
      <c r="C15" s="64" t="inlineStr">
        <is>
          <t>Dario F. Stirparo (4100)</t>
        </is>
      </c>
      <c r="D15" s="65" t="n">
        <v>1414</v>
      </c>
      <c r="E15" s="66" t="inlineStr">
        <is>
          <t>$</t>
        </is>
      </c>
      <c r="F15" s="71" t="inlineStr">
        <is>
          <t>TRANSPORTE</t>
        </is>
      </c>
      <c r="G15" s="64" t="inlineStr"/>
      <c r="H15" s="66" t="inlineStr">
        <is>
          <t>No</t>
        </is>
      </c>
    </row>
    <row r="16">
      <c r="A16" s="64" t="inlineStr">
        <is>
          <t>09/04/2026</t>
        </is>
      </c>
      <c r="B16" s="64" t="inlineStr">
        <is>
          <t>Merpago*emovasubte 153233041681</t>
        </is>
      </c>
      <c r="C16" s="64" t="inlineStr">
        <is>
          <t>Dario F. Stirparo (4100)</t>
        </is>
      </c>
      <c r="D16" s="65" t="n">
        <v>1414</v>
      </c>
      <c r="E16" s="66" t="inlineStr">
        <is>
          <t>$</t>
        </is>
      </c>
      <c r="F16" s="71" t="inlineStr">
        <is>
          <t>TRANSPORTE</t>
        </is>
      </c>
      <c r="G16" s="64" t="inlineStr"/>
      <c r="H16" s="66" t="inlineStr">
        <is>
          <t>No</t>
        </is>
      </c>
    </row>
    <row r="17">
      <c r="A17" s="64" t="inlineStr">
        <is>
          <t>09/04/2026</t>
        </is>
      </c>
      <c r="B17" s="64" t="inlineStr">
        <is>
          <t>Merpago*emovasubte 153237031409</t>
        </is>
      </c>
      <c r="C17" s="64" t="inlineStr">
        <is>
          <t>Dario F. Stirparo (4100)</t>
        </is>
      </c>
      <c r="D17" s="65" t="n">
        <v>1414</v>
      </c>
      <c r="E17" s="66" t="inlineStr">
        <is>
          <t>$</t>
        </is>
      </c>
      <c r="F17" s="71" t="inlineStr">
        <is>
          <t>TRANSPORTE</t>
        </is>
      </c>
      <c r="G17" s="64" t="inlineStr"/>
      <c r="H17" s="66" t="inlineStr">
        <is>
          <t>No</t>
        </is>
      </c>
    </row>
    <row r="18">
      <c r="A18" s="64" t="inlineStr">
        <is>
          <t>10/04/2026</t>
        </is>
      </c>
      <c r="B18" s="64" t="inlineStr">
        <is>
          <t>Merpago*norcelstore</t>
        </is>
      </c>
      <c r="C18" s="64" t="inlineStr">
        <is>
          <t>Dario F. Stirparo (4100)</t>
        </is>
      </c>
      <c r="D18" s="65" t="n">
        <v>17140</v>
      </c>
      <c r="E18" s="66" t="inlineStr">
        <is>
          <t>$</t>
        </is>
      </c>
      <c r="F18" s="72" t="inlineStr">
        <is>
          <t>TECNOLOGÍA</t>
        </is>
      </c>
      <c r="G18" s="64" t="inlineStr"/>
      <c r="H18" s="66" t="inlineStr">
        <is>
          <t>No</t>
        </is>
      </c>
    </row>
    <row r="19">
      <c r="A19" s="64" t="inlineStr">
        <is>
          <t>12/04/2026</t>
        </is>
      </c>
      <c r="B19" s="64" t="inlineStr">
        <is>
          <t>Merpago*appypfcomb 154503691354</t>
        </is>
      </c>
      <c r="C19" s="64" t="inlineStr">
        <is>
          <t>Dario F. Stirparo (4100)</t>
        </is>
      </c>
      <c r="D19" s="65" t="n">
        <v>19500.06</v>
      </c>
      <c r="E19" s="66" t="inlineStr">
        <is>
          <t>$</t>
        </is>
      </c>
      <c r="F19" s="69" t="inlineStr">
        <is>
          <t>AUTOMÓVIL</t>
        </is>
      </c>
      <c r="G19" s="64" t="inlineStr"/>
      <c r="H19" s="66" t="inlineStr">
        <is>
          <t>No</t>
        </is>
      </c>
    </row>
    <row r="20">
      <c r="A20" s="64" t="inlineStr">
        <is>
          <t>14/04/2026</t>
        </is>
      </c>
      <c r="B20" s="64" t="inlineStr">
        <is>
          <t>Merpago*emovasubte 154768241594</t>
        </is>
      </c>
      <c r="C20" s="64" t="inlineStr">
        <is>
          <t>Dario F. Stirparo (4100)</t>
        </is>
      </c>
      <c r="D20" s="65" t="n">
        <v>1414</v>
      </c>
      <c r="E20" s="66" t="inlineStr">
        <is>
          <t>$</t>
        </is>
      </c>
      <c r="F20" s="71" t="inlineStr">
        <is>
          <t>TRANSPORTE</t>
        </is>
      </c>
      <c r="G20" s="64" t="inlineStr"/>
      <c r="H20" s="66" t="inlineStr">
        <is>
          <t>No</t>
        </is>
      </c>
    </row>
    <row r="21">
      <c r="A21" s="64" t="inlineStr">
        <is>
          <t>15/04/2026</t>
        </is>
      </c>
      <c r="B21" s="64" t="inlineStr">
        <is>
          <t>Merpago*emovasubte 154175128187</t>
        </is>
      </c>
      <c r="C21" s="64" t="inlineStr">
        <is>
          <t>Dario F. Stirparo (4100)</t>
        </is>
      </c>
      <c r="D21" s="65" t="n">
        <v>1414</v>
      </c>
      <c r="E21" s="66" t="inlineStr">
        <is>
          <t>$</t>
        </is>
      </c>
      <c r="F21" s="71" t="inlineStr">
        <is>
          <t>TRANSPORTE</t>
        </is>
      </c>
      <c r="G21" s="64" t="inlineStr"/>
      <c r="H21" s="66" t="inlineStr">
        <is>
          <t>No</t>
        </is>
      </c>
    </row>
    <row r="22">
      <c r="A22" s="64" t="inlineStr">
        <is>
          <t>16/04/2026</t>
        </is>
      </c>
      <c r="B22" s="64" t="inlineStr">
        <is>
          <t>Merpago*emovasubte 154335303049</t>
        </is>
      </c>
      <c r="C22" s="64" t="inlineStr">
        <is>
          <t>Dario F. Stirparo (4100)</t>
        </is>
      </c>
      <c r="D22" s="65" t="n">
        <v>1414</v>
      </c>
      <c r="E22" s="66" t="inlineStr">
        <is>
          <t>$</t>
        </is>
      </c>
      <c r="F22" s="71" t="inlineStr">
        <is>
          <t>TRANSPORTE</t>
        </is>
      </c>
      <c r="G22" s="64" t="inlineStr"/>
      <c r="H22" s="66" t="inlineStr">
        <is>
          <t>No</t>
        </is>
      </c>
    </row>
    <row r="23">
      <c r="A23" s="64" t="inlineStr">
        <is>
          <t>17/04/2026</t>
        </is>
      </c>
      <c r="B23" s="64" t="inlineStr">
        <is>
          <t>Merpago*emovasubte 154483983471</t>
        </is>
      </c>
      <c r="C23" s="64" t="inlineStr">
        <is>
          <t>Dario F. Stirparo (4100)</t>
        </is>
      </c>
      <c r="D23" s="65" t="n">
        <v>1414</v>
      </c>
      <c r="E23" s="66" t="inlineStr">
        <is>
          <t>$</t>
        </is>
      </c>
      <c r="F23" s="71" t="inlineStr">
        <is>
          <t>TRANSPORTE</t>
        </is>
      </c>
      <c r="G23" s="64" t="inlineStr"/>
      <c r="H23" s="66" t="inlineStr">
        <is>
          <t>No</t>
        </is>
      </c>
    </row>
    <row r="24">
      <c r="A24" s="64" t="inlineStr">
        <is>
          <t>17/04/2026</t>
        </is>
      </c>
      <c r="B24" s="64" t="inlineStr">
        <is>
          <t>Sancor cooperativa 3100--624801</t>
        </is>
      </c>
      <c r="C24" s="64" t="inlineStr">
        <is>
          <t>Dario F. Stirparo (4100)</t>
        </is>
      </c>
      <c r="D24" s="65" t="n">
        <v>60467</v>
      </c>
      <c r="E24" s="66" t="inlineStr">
        <is>
          <t>$</t>
        </is>
      </c>
      <c r="F24" s="73" t="inlineStr">
        <is>
          <t>SALUD</t>
        </is>
      </c>
      <c r="G24" s="64" t="inlineStr"/>
      <c r="H24" s="66" t="inlineStr">
        <is>
          <t>No</t>
        </is>
      </c>
    </row>
    <row r="25">
      <c r="A25" s="64" t="inlineStr">
        <is>
          <t>18/04/2026</t>
        </is>
      </c>
      <c r="B25" s="64" t="inlineStr">
        <is>
          <t>Merpago*appypfcomb 154658528561</t>
        </is>
      </c>
      <c r="C25" s="64" t="inlineStr">
        <is>
          <t>Dario F. Stirparo (4100)</t>
        </is>
      </c>
      <c r="D25" s="65" t="n">
        <v>19499.95</v>
      </c>
      <c r="E25" s="66" t="inlineStr">
        <is>
          <t>$</t>
        </is>
      </c>
      <c r="F25" s="69" t="inlineStr">
        <is>
          <t>AUTOMÓVIL</t>
        </is>
      </c>
      <c r="G25" s="64" t="inlineStr"/>
      <c r="H25" s="66" t="inlineStr">
        <is>
          <t>No</t>
        </is>
      </c>
    </row>
    <row r="26">
      <c r="A26" s="64" t="inlineStr">
        <is>
          <t>21/04/2026</t>
        </is>
      </c>
      <c r="B26" s="64" t="inlineStr">
        <is>
          <t>Merpago*emovasubte 155059302855</t>
        </is>
      </c>
      <c r="C26" s="64" t="inlineStr">
        <is>
          <t>Dario F. Stirparo (4100)</t>
        </is>
      </c>
      <c r="D26" s="65" t="n">
        <v>1414</v>
      </c>
      <c r="E26" s="66" t="inlineStr">
        <is>
          <t>$</t>
        </is>
      </c>
      <c r="F26" s="71" t="inlineStr">
        <is>
          <t>TRANSPORTE</t>
        </is>
      </c>
      <c r="G26" s="64" t="inlineStr"/>
      <c r="H26" s="66" t="inlineStr">
        <is>
          <t>No</t>
        </is>
      </c>
    </row>
    <row r="27">
      <c r="A27" s="64" t="inlineStr">
        <is>
          <t>22/04/2026</t>
        </is>
      </c>
      <c r="B27" s="64" t="inlineStr">
        <is>
          <t>Merpago*emovasubte 155965488188</t>
        </is>
      </c>
      <c r="C27" s="64" t="inlineStr">
        <is>
          <t>Dario F. Stirparo (4100)</t>
        </is>
      </c>
      <c r="D27" s="65" t="n">
        <v>1414</v>
      </c>
      <c r="E27" s="66" t="inlineStr">
        <is>
          <t>$</t>
        </is>
      </c>
      <c r="F27" s="71" t="inlineStr">
        <is>
          <t>TRANSPORTE</t>
        </is>
      </c>
      <c r="G27" s="64" t="inlineStr"/>
      <c r="H27" s="66" t="inlineStr">
        <is>
          <t>No</t>
        </is>
      </c>
    </row>
    <row r="28">
      <c r="A28" s="64" t="inlineStr">
        <is>
          <t>23/04/2026</t>
        </is>
      </c>
      <c r="B28" s="64" t="inlineStr">
        <is>
          <t>Merpago*emovasubte 155343264375</t>
        </is>
      </c>
      <c r="C28" s="64" t="inlineStr">
        <is>
          <t>Dario F. Stirparo (4100)</t>
        </is>
      </c>
      <c r="D28" s="65" t="n">
        <v>1414</v>
      </c>
      <c r="E28" s="66" t="inlineStr">
        <is>
          <t>$</t>
        </is>
      </c>
      <c r="F28" s="71" t="inlineStr">
        <is>
          <t>TRANSPORTE</t>
        </is>
      </c>
      <c r="G28" s="64" t="inlineStr"/>
      <c r="H28" s="66" t="inlineStr">
        <is>
          <t>No</t>
        </is>
      </c>
    </row>
    <row r="29">
      <c r="A29" s="64" t="inlineStr">
        <is>
          <t>24/04/2026</t>
        </is>
      </c>
      <c r="B29" s="64" t="inlineStr">
        <is>
          <t>Merpago*emovasubte 155516221985</t>
        </is>
      </c>
      <c r="C29" s="64" t="inlineStr">
        <is>
          <t>Dario F. Stirparo (4100)</t>
        </is>
      </c>
      <c r="D29" s="65" t="n">
        <v>1414</v>
      </c>
      <c r="E29" s="66" t="inlineStr">
        <is>
          <t>$</t>
        </is>
      </c>
      <c r="F29" s="71" t="inlineStr">
        <is>
          <t>TRANSPORTE</t>
        </is>
      </c>
      <c r="G29" s="64" t="inlineStr"/>
      <c r="H29" s="66" t="inlineStr">
        <is>
          <t>No</t>
        </is>
      </c>
    </row>
    <row r="30">
      <c r="A30" s="64" t="inlineStr">
        <is>
          <t>25/04/2026</t>
        </is>
      </c>
      <c r="B30" s="64" t="inlineStr">
        <is>
          <t>Merpago*appypfcomb 155614571779</t>
        </is>
      </c>
      <c r="C30" s="64" t="inlineStr">
        <is>
          <t>Dario F. Stirparo (4100)</t>
        </is>
      </c>
      <c r="D30" s="65" t="n">
        <v>19499.95</v>
      </c>
      <c r="E30" s="66" t="inlineStr">
        <is>
          <t>$</t>
        </is>
      </c>
      <c r="F30" s="69" t="inlineStr">
        <is>
          <t>AUTOMÓVIL</t>
        </is>
      </c>
      <c r="G30" s="64" t="inlineStr"/>
      <c r="H30" s="66" t="inlineStr">
        <is>
          <t>No</t>
        </is>
      </c>
    </row>
    <row r="31">
      <c r="A31" s="64" t="inlineStr">
        <is>
          <t>27/04/2026</t>
        </is>
      </c>
      <c r="B31" s="64" t="inlineStr">
        <is>
          <t>Merpago*appypfcomb 156649224334</t>
        </is>
      </c>
      <c r="C31" s="64" t="inlineStr">
        <is>
          <t>Dario F. Stirparo (4100)</t>
        </is>
      </c>
      <c r="D31" s="65" t="n">
        <v>19499.95</v>
      </c>
      <c r="E31" s="66" t="inlineStr">
        <is>
          <t>$</t>
        </is>
      </c>
      <c r="F31" s="69" t="inlineStr">
        <is>
          <t>AUTOMÓVIL</t>
        </is>
      </c>
      <c r="G31" s="64" t="inlineStr"/>
      <c r="H31" s="66" t="inlineStr">
        <is>
          <t>No</t>
        </is>
      </c>
    </row>
    <row r="32">
      <c r="A32" s="64" t="inlineStr">
        <is>
          <t>27/04/2026</t>
        </is>
      </c>
      <c r="B32" s="64" t="inlineStr">
        <is>
          <t>Merpago*appypftiend 156649996302</t>
        </is>
      </c>
      <c r="C32" s="64" t="inlineStr">
        <is>
          <t>Dario F. Stirparo (4100)</t>
        </is>
      </c>
      <c r="D32" s="65" t="n">
        <v>4380</v>
      </c>
      <c r="E32" s="66" t="inlineStr">
        <is>
          <t>$</t>
        </is>
      </c>
      <c r="F32" s="69" t="inlineStr">
        <is>
          <t>AUTOMÓVIL</t>
        </is>
      </c>
      <c r="G32" s="64" t="inlineStr"/>
      <c r="H32" s="66" t="inlineStr">
        <is>
          <t>No</t>
        </is>
      </c>
    </row>
    <row r="33">
      <c r="A33" s="64" t="inlineStr">
        <is>
          <t>28/04/2026</t>
        </is>
      </c>
      <c r="B33" s="64" t="inlineStr">
        <is>
          <t>Merpago*emovasubte 156824538132</t>
        </is>
      </c>
      <c r="C33" s="64" t="inlineStr">
        <is>
          <t>Dario F. Stirparo (4100)</t>
        </is>
      </c>
      <c r="D33" s="65" t="n">
        <v>1414</v>
      </c>
      <c r="E33" s="66" t="inlineStr">
        <is>
          <t>$</t>
        </is>
      </c>
      <c r="F33" s="71" t="inlineStr">
        <is>
          <t>TRANSPORTE</t>
        </is>
      </c>
      <c r="G33" s="64" t="inlineStr"/>
      <c r="H33" s="66" t="inlineStr">
        <is>
          <t>No</t>
        </is>
      </c>
    </row>
    <row r="34">
      <c r="A34" s="64" t="inlineStr">
        <is>
          <t>28/04/2026</t>
        </is>
      </c>
      <c r="B34" s="64" t="inlineStr">
        <is>
          <t>Impuesto de sellos $</t>
        </is>
      </c>
      <c r="C34" s="64" t="inlineStr">
        <is>
          <t>Dario F. Stirparo (4100)</t>
        </is>
      </c>
      <c r="D34" s="65" t="n">
        <v>7208.61</v>
      </c>
      <c r="E34" s="66" t="inlineStr">
        <is>
          <t>$</t>
        </is>
      </c>
      <c r="F34" s="74" t="inlineStr">
        <is>
          <t>IMPUESTOS Y CARGOS</t>
        </is>
      </c>
      <c r="G34" s="64" t="inlineStr"/>
      <c r="H34" s="66" t="inlineStr">
        <is>
          <t>No</t>
        </is>
      </c>
    </row>
    <row r="35">
      <c r="A35" s="75" t="inlineStr">
        <is>
          <t>TOTAL</t>
        </is>
      </c>
      <c r="D35" s="76" t="n">
        <v>607925.9799999999</v>
      </c>
    </row>
  </sheetData>
  <autoFilter ref="A2:H34"/>
  <mergeCells count="2">
    <mergeCell ref="A35:C3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4" customWidth="1" min="4" max="4"/>
    <col width="8" customWidth="1" min="5" max="5"/>
    <col width="20" customWidth="1" min="6" max="6"/>
    <col width="16" customWidth="1" min="7" max="7"/>
    <col width="8" customWidth="1" min="8" max="8"/>
  </cols>
  <sheetData>
    <row r="1" ht="28" customHeight="1">
      <c r="A1" s="77" t="inlineStr">
        <is>
          <t>DETALLE DE GASTOS — AMEX SANTANDER</t>
        </is>
      </c>
    </row>
    <row r="2" ht="20" customHeight="1">
      <c r="A2" s="78" t="inlineStr">
        <is>
          <t>Fecha</t>
        </is>
      </c>
      <c r="B2" s="78" t="inlineStr">
        <is>
          <t>Descripción</t>
        </is>
      </c>
      <c r="C2" s="78" t="inlineStr">
        <is>
          <t>Subcuenta</t>
        </is>
      </c>
      <c r="D2" s="78" t="inlineStr">
        <is>
          <t>Importe</t>
        </is>
      </c>
      <c r="E2" s="78" t="inlineStr">
        <is>
          <t>Moneda</t>
        </is>
      </c>
      <c r="F2" s="78" t="inlineStr">
        <is>
          <t>Categoría</t>
        </is>
      </c>
      <c r="G2" s="78" t="inlineStr">
        <is>
          <t>Info Cuotas</t>
        </is>
      </c>
      <c r="H2" s="78" t="inlineStr">
        <is>
          <t>¿Cuota?</t>
        </is>
      </c>
    </row>
    <row r="3">
      <c r="A3" s="64" t="inlineStr">
        <is>
          <t>22/10/2025</t>
        </is>
      </c>
      <c r="B3" s="64" t="inlineStr">
        <is>
          <t>MERPAGO*NTOMAC</t>
        </is>
      </c>
      <c r="C3" s="64" t="inlineStr">
        <is>
          <t>Dario Stirparo (3766)</t>
        </is>
      </c>
      <c r="D3" s="65" t="n">
        <v>16004.77</v>
      </c>
      <c r="E3" s="66" t="inlineStr">
        <is>
          <t>$</t>
        </is>
      </c>
      <c r="F3" s="67" t="inlineStr">
        <is>
          <t>CUOTAS</t>
        </is>
      </c>
      <c r="G3" s="64" t="inlineStr">
        <is>
          <t>Cuota 7 de 9</t>
        </is>
      </c>
      <c r="H3" s="68" t="inlineStr">
        <is>
          <t>Sí</t>
        </is>
      </c>
    </row>
    <row r="4">
      <c r="A4" s="64" t="inlineStr">
        <is>
          <t>01/04/2026</t>
        </is>
      </c>
      <c r="B4" s="64" t="inlineStr">
        <is>
          <t>ZURICH MB</t>
        </is>
      </c>
      <c r="C4" s="64" t="inlineStr">
        <is>
          <t>Dario Stirparo (3766)</t>
        </is>
      </c>
      <c r="D4" s="65" t="n">
        <v>6255.15</v>
      </c>
      <c r="E4" s="66" t="inlineStr">
        <is>
          <t>$</t>
        </is>
      </c>
      <c r="F4" s="79" t="inlineStr">
        <is>
          <t>SEGUROS</t>
        </is>
      </c>
      <c r="G4" s="64" t="inlineStr"/>
      <c r="H4" s="66" t="inlineStr">
        <is>
          <t>No</t>
        </is>
      </c>
    </row>
    <row r="5">
      <c r="A5" s="64" t="inlineStr">
        <is>
          <t>01/04/2026</t>
        </is>
      </c>
      <c r="B5" s="64" t="inlineStr">
        <is>
          <t>S P S</t>
        </is>
      </c>
      <c r="C5" s="64" t="inlineStr">
        <is>
          <t>Dario Stirparo (3766)</t>
        </is>
      </c>
      <c r="D5" s="65" t="n">
        <v>126311.9</v>
      </c>
      <c r="E5" s="66" t="inlineStr">
        <is>
          <t>$</t>
        </is>
      </c>
      <c r="F5" s="73" t="inlineStr">
        <is>
          <t>SALUD</t>
        </is>
      </c>
      <c r="G5" s="64" t="inlineStr"/>
      <c r="H5" s="66" t="inlineStr">
        <is>
          <t>No</t>
        </is>
      </c>
    </row>
    <row r="6">
      <c r="A6" s="64" t="inlineStr">
        <is>
          <t>01/04/2026</t>
        </is>
      </c>
      <c r="B6" s="64" t="inlineStr">
        <is>
          <t>ZURICH SEGUROS</t>
        </is>
      </c>
      <c r="C6" s="64" t="inlineStr">
        <is>
          <t>Dario Stirparo (3766)</t>
        </is>
      </c>
      <c r="D6" s="65" t="n">
        <v>258558.3</v>
      </c>
      <c r="E6" s="66" t="inlineStr">
        <is>
          <t>$</t>
        </is>
      </c>
      <c r="F6" s="79" t="inlineStr">
        <is>
          <t>SEGUROS</t>
        </is>
      </c>
      <c r="G6" s="64" t="inlineStr"/>
      <c r="H6" s="66" t="inlineStr">
        <is>
          <t>No</t>
        </is>
      </c>
    </row>
    <row r="7">
      <c r="A7" s="64" t="inlineStr">
        <is>
          <t>07/04/2026</t>
        </is>
      </c>
      <c r="B7" s="64" t="inlineStr">
        <is>
          <t>AUTOPISTAS DEL SOL S.A.</t>
        </is>
      </c>
      <c r="C7" s="64" t="inlineStr">
        <is>
          <t>Dario Stirparo (3766)</t>
        </is>
      </c>
      <c r="D7" s="65" t="n">
        <v>3181.3</v>
      </c>
      <c r="E7" s="66" t="inlineStr">
        <is>
          <t>$</t>
        </is>
      </c>
      <c r="F7" s="69" t="inlineStr">
        <is>
          <t>AUTOMÓVIL</t>
        </is>
      </c>
      <c r="G7" s="64" t="inlineStr"/>
      <c r="H7" s="66" t="inlineStr">
        <is>
          <t>No</t>
        </is>
      </c>
    </row>
    <row r="8">
      <c r="A8" s="64" t="inlineStr">
        <is>
          <t>08/04/2026</t>
        </is>
      </c>
      <c r="B8" s="64" t="inlineStr">
        <is>
          <t>DLO*SPOTIFY 99999999</t>
        </is>
      </c>
      <c r="C8" s="64" t="inlineStr">
        <is>
          <t>Dario Stirparo (3766)</t>
        </is>
      </c>
      <c r="D8" s="65" t="n">
        <v>6642.49</v>
      </c>
      <c r="E8" s="66" t="inlineStr">
        <is>
          <t>$</t>
        </is>
      </c>
      <c r="F8" s="80" t="inlineStr">
        <is>
          <t>ENTRETENIMIENTO</t>
        </is>
      </c>
      <c r="G8" s="64" t="inlineStr"/>
      <c r="H8" s="66" t="inlineStr">
        <is>
          <t>No</t>
        </is>
      </c>
    </row>
    <row r="9">
      <c r="A9" s="64" t="inlineStr">
        <is>
          <t>12/04/2026</t>
        </is>
      </c>
      <c r="B9" s="64">
        <f>NETFLIX_COM</f>
        <v/>
      </c>
      <c r="C9" s="64" t="inlineStr">
        <is>
          <t>Dario Stirparo (3766)</t>
        </is>
      </c>
      <c r="D9" s="65" t="n">
        <v>30198.49</v>
      </c>
      <c r="E9" s="66" t="inlineStr">
        <is>
          <t>$</t>
        </is>
      </c>
      <c r="F9" s="80" t="inlineStr">
        <is>
          <t>ENTRETENIMIENTO</t>
        </is>
      </c>
      <c r="G9" s="64" t="inlineStr"/>
      <c r="H9" s="66" t="inlineStr">
        <is>
          <t>No</t>
        </is>
      </c>
    </row>
    <row r="10">
      <c r="A10" s="64" t="inlineStr">
        <is>
          <t>13/04/2026</t>
        </is>
      </c>
      <c r="B10" s="64" t="inlineStr">
        <is>
          <t>APPLUS ITEUVE ARGENT</t>
        </is>
      </c>
      <c r="C10" s="64" t="inlineStr">
        <is>
          <t>Dario Stirparo (3766)</t>
        </is>
      </c>
      <c r="D10" s="65" t="n">
        <v>97057.64999999999</v>
      </c>
      <c r="E10" s="66" t="inlineStr">
        <is>
          <t>$</t>
        </is>
      </c>
      <c r="F10" s="69" t="inlineStr">
        <is>
          <t>AUTOMÓVIL</t>
        </is>
      </c>
      <c r="G10" s="64" t="inlineStr"/>
      <c r="H10" s="66" t="inlineStr">
        <is>
          <t>No</t>
        </is>
      </c>
    </row>
    <row r="11">
      <c r="A11" s="64" t="inlineStr">
        <is>
          <t>21/04/2026</t>
        </is>
      </c>
      <c r="B11" s="64" t="inlineStr">
        <is>
          <t>AUTOPISTAS DEL SOL S.A.</t>
        </is>
      </c>
      <c r="C11" s="64" t="inlineStr">
        <is>
          <t>Dario Stirparo (3766)</t>
        </is>
      </c>
      <c r="D11" s="65" t="n">
        <v>2187.14</v>
      </c>
      <c r="E11" s="66" t="inlineStr">
        <is>
          <t>$</t>
        </is>
      </c>
      <c r="F11" s="69" t="inlineStr">
        <is>
          <t>AUTOMÓVIL</t>
        </is>
      </c>
      <c r="G11" s="64" t="inlineStr"/>
      <c r="H11" s="66" t="inlineStr">
        <is>
          <t>No</t>
        </is>
      </c>
    </row>
    <row r="12">
      <c r="A12" s="64" t="inlineStr">
        <is>
          <t>22/04/2026</t>
        </is>
      </c>
      <c r="B12" s="64" t="inlineStr">
        <is>
          <t>CLARO</t>
        </is>
      </c>
      <c r="C12" s="64" t="inlineStr">
        <is>
          <t>Dario Stirparo (3766)</t>
        </is>
      </c>
      <c r="D12" s="65" t="n">
        <v>69538.31</v>
      </c>
      <c r="E12" s="66" t="inlineStr">
        <is>
          <t>$</t>
        </is>
      </c>
      <c r="F12" s="81" t="inlineStr">
        <is>
          <t>SERVICIOS FIJOS</t>
        </is>
      </c>
      <c r="G12" s="64" t="inlineStr"/>
      <c r="H12" s="66" t="inlineStr">
        <is>
          <t>No</t>
        </is>
      </c>
    </row>
    <row r="13">
      <c r="A13" s="64" t="inlineStr">
        <is>
          <t>27/04/2026</t>
        </is>
      </c>
      <c r="B13" s="64" t="inlineStr">
        <is>
          <t>ANTINA</t>
        </is>
      </c>
      <c r="C13" s="64" t="inlineStr">
        <is>
          <t>Dario Stirparo (3766)</t>
        </is>
      </c>
      <c r="D13" s="65" t="n">
        <v>73090</v>
      </c>
      <c r="E13" s="66" t="inlineStr">
        <is>
          <t>$</t>
        </is>
      </c>
      <c r="F13" s="81" t="inlineStr">
        <is>
          <t>SERVICIOS FIJOS</t>
        </is>
      </c>
      <c r="G13" s="64" t="inlineStr"/>
      <c r="H13" s="66" t="inlineStr">
        <is>
          <t>No</t>
        </is>
      </c>
    </row>
    <row r="14">
      <c r="A14" s="64" t="inlineStr">
        <is>
          <t>28/04/2026</t>
        </is>
      </c>
      <c r="B14" s="64" t="inlineStr">
        <is>
          <t>INTERESES FINANCIEROS</t>
        </is>
      </c>
      <c r="C14" s="64" t="inlineStr">
        <is>
          <t>Dario Stirparo (3766)</t>
        </is>
      </c>
      <c r="D14" s="65" t="n">
        <v>93.73</v>
      </c>
      <c r="E14" s="66" t="inlineStr">
        <is>
          <t>$</t>
        </is>
      </c>
      <c r="F14" s="74" t="inlineStr">
        <is>
          <t>IMPUESTOS Y CARGOS</t>
        </is>
      </c>
      <c r="G14" s="64" t="inlineStr"/>
      <c r="H14" s="66" t="inlineStr">
        <is>
          <t>No</t>
        </is>
      </c>
    </row>
    <row r="15">
      <c r="A15" s="64" t="inlineStr">
        <is>
          <t>28/04/2026</t>
        </is>
      </c>
      <c r="B15" s="64" t="inlineStr">
        <is>
          <t>PERCEPCION RG 5617</t>
        </is>
      </c>
      <c r="C15" s="64" t="inlineStr">
        <is>
          <t>Dario Stirparo (3766)</t>
        </is>
      </c>
      <c r="D15" s="65" t="n">
        <v>1520.64</v>
      </c>
      <c r="E15" s="66" t="inlineStr">
        <is>
          <t>$</t>
        </is>
      </c>
      <c r="F15" s="74" t="inlineStr">
        <is>
          <t>IMPUESTOS Y CARGOS</t>
        </is>
      </c>
      <c r="G15" s="64" t="inlineStr"/>
      <c r="H15" s="66" t="inlineStr">
        <is>
          <t>No</t>
        </is>
      </c>
    </row>
    <row r="16">
      <c r="A16" s="64" t="inlineStr">
        <is>
          <t>28/04/2026</t>
        </is>
      </c>
      <c r="B16" s="64" t="inlineStr">
        <is>
          <t>Imp. Sellos BS AS</t>
        </is>
      </c>
      <c r="C16" s="64" t="inlineStr">
        <is>
          <t>Dario Stirparo (3766)</t>
        </is>
      </c>
      <c r="D16" s="65" t="n">
        <v>8327.030000000001</v>
      </c>
      <c r="E16" s="66" t="inlineStr">
        <is>
          <t>$</t>
        </is>
      </c>
      <c r="F16" s="74" t="inlineStr">
        <is>
          <t>IMPUESTOS Y CARGOS</t>
        </is>
      </c>
      <c r="G16" s="64" t="inlineStr"/>
      <c r="H16" s="66" t="inlineStr">
        <is>
          <t>No</t>
        </is>
      </c>
    </row>
    <row r="17">
      <c r="A17" s="64" t="inlineStr">
        <is>
          <t>28/04/2026</t>
        </is>
      </c>
      <c r="B17" s="64" t="inlineStr">
        <is>
          <t>IVA 21%</t>
        </is>
      </c>
      <c r="C17" s="64" t="inlineStr">
        <is>
          <t>Dario Stirparo (3766)</t>
        </is>
      </c>
      <c r="D17" s="65" t="n">
        <v>19.68</v>
      </c>
      <c r="E17" s="66" t="inlineStr">
        <is>
          <t>$</t>
        </is>
      </c>
      <c r="F17" s="74" t="inlineStr">
        <is>
          <t>IMPUESTOS Y CARGOS</t>
        </is>
      </c>
      <c r="G17" s="64" t="inlineStr"/>
      <c r="H17" s="66" t="inlineStr">
        <is>
          <t>No</t>
        </is>
      </c>
    </row>
    <row r="18">
      <c r="A18" s="64" t="inlineStr">
        <is>
          <t>28/04/2026</t>
        </is>
      </c>
      <c r="B18" s="64" t="inlineStr">
        <is>
          <t>PERCEP IVA SERV DIGITALES LEY</t>
        </is>
      </c>
      <c r="C18" s="64" t="inlineStr">
        <is>
          <t>Dario Stirparo (3766)</t>
        </is>
      </c>
      <c r="D18" s="65" t="n">
        <v>1064.45</v>
      </c>
      <c r="E18" s="66" t="inlineStr">
        <is>
          <t>$</t>
        </is>
      </c>
      <c r="F18" s="74" t="inlineStr">
        <is>
          <t>IMPUESTOS Y CARGOS</t>
        </is>
      </c>
      <c r="G18" s="64" t="inlineStr"/>
      <c r="H18" s="66" t="inlineStr">
        <is>
          <t>No</t>
        </is>
      </c>
    </row>
    <row r="19">
      <c r="A19" s="64" t="inlineStr">
        <is>
          <t>28/04/2026</t>
        </is>
      </c>
      <c r="B19" s="64" t="inlineStr">
        <is>
          <t>PERC IIBB BS AS SERV DIG</t>
        </is>
      </c>
      <c r="C19" s="64" t="inlineStr">
        <is>
          <t>Dario Stirparo (3766)</t>
        </is>
      </c>
      <c r="D19" s="65" t="n">
        <v>101.38</v>
      </c>
      <c r="E19" s="66" t="inlineStr">
        <is>
          <t>$</t>
        </is>
      </c>
      <c r="F19" s="74" t="inlineStr">
        <is>
          <t>IMPUESTOS Y CARGOS</t>
        </is>
      </c>
      <c r="G19" s="64" t="inlineStr"/>
      <c r="H19" s="66" t="inlineStr">
        <is>
          <t>No</t>
        </is>
      </c>
    </row>
    <row r="20">
      <c r="A20" s="64" t="inlineStr">
        <is>
          <t>05/04/2026</t>
        </is>
      </c>
      <c r="B20" s="64" t="inlineStr">
        <is>
          <t>APPLE.COM/BILL</t>
        </is>
      </c>
      <c r="C20" s="64" t="inlineStr">
        <is>
          <t>Dario Stirparo (3766)</t>
        </is>
      </c>
      <c r="D20" s="82" t="n">
        <v>0.99</v>
      </c>
      <c r="E20" s="66" t="inlineStr">
        <is>
          <t>U$S</t>
        </is>
      </c>
      <c r="F20" s="80" t="inlineStr">
        <is>
          <t>ENTRETENIMIENTO</t>
        </is>
      </c>
      <c r="G20" s="64" t="inlineStr"/>
      <c r="H20" s="66" t="inlineStr">
        <is>
          <t>No</t>
        </is>
      </c>
    </row>
    <row r="21">
      <c r="A21" s="64" t="inlineStr">
        <is>
          <t>22/04/2026</t>
        </is>
      </c>
      <c r="B21" s="64" t="inlineStr">
        <is>
          <t>APPLE.COM/BILL</t>
        </is>
      </c>
      <c r="C21" s="64" t="inlineStr">
        <is>
          <t>Dario Stirparo (3766)</t>
        </is>
      </c>
      <c r="D21" s="82" t="n">
        <v>2.53</v>
      </c>
      <c r="E21" s="66" t="inlineStr">
        <is>
          <t>U$S</t>
        </is>
      </c>
      <c r="F21" s="80" t="inlineStr">
        <is>
          <t>ENTRETENIMIENTO</t>
        </is>
      </c>
      <c r="G21" s="64" t="inlineStr"/>
      <c r="H21" s="66" t="inlineStr">
        <is>
          <t>No</t>
        </is>
      </c>
    </row>
    <row r="22">
      <c r="A22" s="83" t="inlineStr">
        <is>
          <t>TOTAL</t>
        </is>
      </c>
      <c r="D22" s="84" t="n">
        <v>700152.41</v>
      </c>
      <c r="E22" s="85" t="inlineStr">
        <is>
          <t>U$S 3.52</t>
        </is>
      </c>
    </row>
  </sheetData>
  <autoFilter ref="A2:H21"/>
  <mergeCells count="2">
    <mergeCell ref="A22:C2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4" customWidth="1" min="4" max="4"/>
    <col width="8" customWidth="1" min="5" max="5"/>
    <col width="20" customWidth="1" min="6" max="6"/>
    <col width="16" customWidth="1" min="7" max="7"/>
    <col width="8" customWidth="1" min="8" max="8"/>
  </cols>
  <sheetData>
    <row r="1" ht="28" customHeight="1">
      <c r="A1" s="86" t="inlineStr">
        <is>
          <t>DETALLE DE GASTOS — VISA 2473</t>
        </is>
      </c>
    </row>
    <row r="2" ht="20" customHeight="1">
      <c r="A2" s="87" t="inlineStr">
        <is>
          <t>Fecha</t>
        </is>
      </c>
      <c r="B2" s="87" t="inlineStr">
        <is>
          <t>Descripción</t>
        </is>
      </c>
      <c r="C2" s="87" t="inlineStr">
        <is>
          <t>Subcuenta</t>
        </is>
      </c>
      <c r="D2" s="87" t="inlineStr">
        <is>
          <t>Importe</t>
        </is>
      </c>
      <c r="E2" s="87" t="inlineStr">
        <is>
          <t>Moneda</t>
        </is>
      </c>
      <c r="F2" s="87" t="inlineStr">
        <is>
          <t>Categoría</t>
        </is>
      </c>
      <c r="G2" s="87" t="inlineStr">
        <is>
          <t>Info Cuotas</t>
        </is>
      </c>
      <c r="H2" s="87" t="inlineStr">
        <is>
          <t>¿Cuota?</t>
        </is>
      </c>
    </row>
    <row r="3">
      <c r="A3" s="64" t="inlineStr">
        <is>
          <t>22/03/2026</t>
        </is>
      </c>
      <c r="B3" s="64" t="inlineStr">
        <is>
          <t>Merpago*superdia</t>
        </is>
      </c>
      <c r="C3" s="64" t="inlineStr">
        <is>
          <t>Lautaro Stirparo (9368)</t>
        </is>
      </c>
      <c r="D3" s="65" t="n">
        <v>13469.16</v>
      </c>
      <c r="E3" s="66" t="inlineStr">
        <is>
          <t>$</t>
        </is>
      </c>
      <c r="F3" s="67" t="inlineStr">
        <is>
          <t>CUOTAS</t>
        </is>
      </c>
      <c r="G3" s="64" t="inlineStr">
        <is>
          <t>Cuota 2 de 3</t>
        </is>
      </c>
      <c r="H3" s="68" t="inlineStr">
        <is>
          <t>Sí</t>
        </is>
      </c>
    </row>
    <row r="4">
      <c r="A4" s="64" t="inlineStr">
        <is>
          <t>26/03/2026</t>
        </is>
      </c>
      <c r="B4" s="64" t="inlineStr">
        <is>
          <t>Splice.com* spli 5951</t>
        </is>
      </c>
      <c r="C4" s="64" t="inlineStr">
        <is>
          <t>Lautaro Stirparo (9368)</t>
        </is>
      </c>
      <c r="D4" s="82" t="n">
        <v>12.99</v>
      </c>
      <c r="E4" s="66" t="inlineStr">
        <is>
          <t>U$S</t>
        </is>
      </c>
      <c r="F4" s="80" t="inlineStr">
        <is>
          <t>ENTRETENIMIENTO</t>
        </is>
      </c>
      <c r="G4" s="64" t="inlineStr"/>
      <c r="H4" s="66" t="inlineStr">
        <is>
          <t>No</t>
        </is>
      </c>
    </row>
    <row r="5">
      <c r="A5" s="64" t="inlineStr">
        <is>
          <t>27/03/2026</t>
        </is>
      </c>
      <c r="B5" s="64" t="inlineStr">
        <is>
          <t>Merpago*monardoalejandroj</t>
        </is>
      </c>
      <c r="C5" s="64" t="inlineStr">
        <is>
          <t>Lautaro Stirparo (9368)</t>
        </is>
      </c>
      <c r="D5" s="65" t="n">
        <v>2139.8</v>
      </c>
      <c r="E5" s="66" t="inlineStr">
        <is>
          <t>$</t>
        </is>
      </c>
      <c r="F5" s="88" t="inlineStr">
        <is>
          <t>OTROS</t>
        </is>
      </c>
      <c r="G5" s="64" t="inlineStr"/>
      <c r="H5" s="66" t="inlineStr">
        <is>
          <t>No</t>
        </is>
      </c>
    </row>
    <row r="6">
      <c r="A6" s="64" t="inlineStr">
        <is>
          <t>27/03/2026</t>
        </is>
      </c>
      <c r="B6" s="64" t="inlineStr">
        <is>
          <t>Merpago*elgransabor</t>
        </is>
      </c>
      <c r="C6" s="64" t="inlineStr">
        <is>
          <t>Lautaro Stirparo (9368)</t>
        </is>
      </c>
      <c r="D6" s="65" t="n">
        <v>31000</v>
      </c>
      <c r="E6" s="66" t="inlineStr">
        <is>
          <t>$</t>
        </is>
      </c>
      <c r="F6" s="89" t="inlineStr">
        <is>
          <t>RESTAURANTES</t>
        </is>
      </c>
      <c r="G6" s="64" t="inlineStr"/>
      <c r="H6" s="66" t="inlineStr">
        <is>
          <t>No</t>
        </is>
      </c>
    </row>
    <row r="7">
      <c r="A7" s="64" t="inlineStr">
        <is>
          <t>28/03/2026</t>
        </is>
      </c>
      <c r="B7" s="64" t="inlineStr">
        <is>
          <t>Merpago*subeviajes</t>
        </is>
      </c>
      <c r="C7" s="64" t="inlineStr">
        <is>
          <t>Lautaro Stirparo (9368)</t>
        </is>
      </c>
      <c r="D7" s="65" t="n">
        <v>927.48</v>
      </c>
      <c r="E7" s="66" t="inlineStr">
        <is>
          <t>$</t>
        </is>
      </c>
      <c r="F7" s="71" t="inlineStr">
        <is>
          <t>TRANSPORTE</t>
        </is>
      </c>
      <c r="G7" s="64" t="inlineStr"/>
      <c r="H7" s="66" t="inlineStr">
        <is>
          <t>No</t>
        </is>
      </c>
    </row>
    <row r="8">
      <c r="A8" s="64" t="inlineStr">
        <is>
          <t>29/03/2026</t>
        </is>
      </c>
      <c r="B8" s="64" t="inlineStr">
        <is>
          <t>Merpago*ebanxsa</t>
        </is>
      </c>
      <c r="C8" s="64" t="inlineStr">
        <is>
          <t>Lautaro Stirparo (9368)</t>
        </is>
      </c>
      <c r="D8" s="65" t="n">
        <v>5344</v>
      </c>
      <c r="E8" s="66" t="inlineStr">
        <is>
          <t>$</t>
        </is>
      </c>
      <c r="F8" s="80" t="inlineStr">
        <is>
          <t>ENTRETENIMIENTO</t>
        </is>
      </c>
      <c r="G8" s="64" t="inlineStr"/>
      <c r="H8" s="66" t="inlineStr">
        <is>
          <t>No</t>
        </is>
      </c>
    </row>
    <row r="9">
      <c r="A9" s="64" t="inlineStr">
        <is>
          <t>29/03/2026</t>
        </is>
      </c>
      <c r="B9" s="64" t="inlineStr">
        <is>
          <t>Merpago*ivanagustincruz</t>
        </is>
      </c>
      <c r="C9" s="64" t="inlineStr">
        <is>
          <t>Lautaro Stirparo (9368)</t>
        </is>
      </c>
      <c r="D9" s="65" t="n">
        <v>1925.82</v>
      </c>
      <c r="E9" s="66" t="inlineStr">
        <is>
          <t>$</t>
        </is>
      </c>
      <c r="F9" s="88" t="inlineStr">
        <is>
          <t>OTROS</t>
        </is>
      </c>
      <c r="G9" s="64" t="inlineStr"/>
      <c r="H9" s="66" t="inlineStr">
        <is>
          <t>No</t>
        </is>
      </c>
    </row>
    <row r="10">
      <c r="A10" s="64" t="inlineStr">
        <is>
          <t>29/03/2026</t>
        </is>
      </c>
      <c r="B10" s="64" t="inlineStr">
        <is>
          <t>Merpago*lucianoagustinabu</t>
        </is>
      </c>
      <c r="C10" s="64" t="inlineStr">
        <is>
          <t>Lautaro Stirparo (9368)</t>
        </is>
      </c>
      <c r="D10" s="65" t="n">
        <v>6525.32</v>
      </c>
      <c r="E10" s="66" t="inlineStr">
        <is>
          <t>$</t>
        </is>
      </c>
      <c r="F10" s="67" t="inlineStr">
        <is>
          <t>CUOTAS</t>
        </is>
      </c>
      <c r="G10" s="64" t="inlineStr">
        <is>
          <t>Cuota 1 de 2</t>
        </is>
      </c>
      <c r="H10" s="68" t="inlineStr">
        <is>
          <t>Sí</t>
        </is>
      </c>
    </row>
    <row r="11">
      <c r="A11" s="64" t="inlineStr">
        <is>
          <t>29/03/2026</t>
        </is>
      </c>
      <c r="B11" s="64" t="inlineStr">
        <is>
          <t>Dlo*pedidosya market</t>
        </is>
      </c>
      <c r="C11" s="64" t="inlineStr">
        <is>
          <t>Lautaro Stirparo (9368)</t>
        </is>
      </c>
      <c r="D11" s="65" t="n">
        <v>7881.5</v>
      </c>
      <c r="E11" s="66" t="inlineStr">
        <is>
          <t>$</t>
        </is>
      </c>
      <c r="F11" s="90" t="inlineStr">
        <is>
          <t>DELIVERY</t>
        </is>
      </c>
      <c r="G11" s="64" t="inlineStr"/>
      <c r="H11" s="66" t="inlineStr">
        <is>
          <t>No</t>
        </is>
      </c>
    </row>
    <row r="12">
      <c r="A12" s="64" t="inlineStr">
        <is>
          <t>29/03/2026</t>
        </is>
      </c>
      <c r="B12" s="64" t="inlineStr">
        <is>
          <t>Dlo*pedidosya propina</t>
        </is>
      </c>
      <c r="C12" s="64" t="inlineStr">
        <is>
          <t>Lautaro Stirparo (9368)</t>
        </is>
      </c>
      <c r="D12" s="65" t="n">
        <v>450</v>
      </c>
      <c r="E12" s="66" t="inlineStr">
        <is>
          <t>$</t>
        </is>
      </c>
      <c r="F12" s="90" t="inlineStr">
        <is>
          <t>DELIVERY</t>
        </is>
      </c>
      <c r="G12" s="64" t="inlineStr"/>
      <c r="H12" s="66" t="inlineStr">
        <is>
          <t>No</t>
        </is>
      </c>
    </row>
    <row r="13">
      <c r="A13" s="64" t="inlineStr">
        <is>
          <t>30/03/2026</t>
        </is>
      </c>
      <c r="B13" s="64" t="inlineStr">
        <is>
          <t>Merpago*ebanxsa</t>
        </is>
      </c>
      <c r="C13" s="64" t="inlineStr">
        <is>
          <t>Lautaro Stirparo (9368)</t>
        </is>
      </c>
      <c r="D13" s="65" t="n">
        <v>6397</v>
      </c>
      <c r="E13" s="66" t="inlineStr">
        <is>
          <t>$</t>
        </is>
      </c>
      <c r="F13" s="80" t="inlineStr">
        <is>
          <t>ENTRETENIMIENTO</t>
        </is>
      </c>
      <c r="G13" s="64" t="inlineStr"/>
      <c r="H13" s="66" t="inlineStr">
        <is>
          <t>No</t>
        </is>
      </c>
    </row>
    <row r="14">
      <c r="A14" s="64" t="inlineStr">
        <is>
          <t>01/04/2026</t>
        </is>
      </c>
      <c r="B14" s="64" t="inlineStr">
        <is>
          <t>Merpago*subeviajes</t>
        </is>
      </c>
      <c r="C14" s="64" t="inlineStr">
        <is>
          <t>Lautaro Stirparo (9368)</t>
        </is>
      </c>
      <c r="D14" s="65" t="n">
        <v>1194.56</v>
      </c>
      <c r="E14" s="66" t="inlineStr">
        <is>
          <t>$</t>
        </is>
      </c>
      <c r="F14" s="71" t="inlineStr">
        <is>
          <t>TRANSPORTE</t>
        </is>
      </c>
      <c r="G14" s="64" t="inlineStr"/>
      <c r="H14" s="66" t="inlineStr">
        <is>
          <t>No</t>
        </is>
      </c>
    </row>
    <row r="15">
      <c r="A15" s="64" t="inlineStr">
        <is>
          <t>01/04/2026</t>
        </is>
      </c>
      <c r="B15" s="64" t="inlineStr">
        <is>
          <t>Ypf bosch</t>
        </is>
      </c>
      <c r="C15" s="64" t="inlineStr">
        <is>
          <t>Lautaro Stirparo (9368)</t>
        </is>
      </c>
      <c r="D15" s="65" t="n">
        <v>15000</v>
      </c>
      <c r="E15" s="66" t="inlineStr">
        <is>
          <t>$</t>
        </is>
      </c>
      <c r="F15" s="69" t="inlineStr">
        <is>
          <t>AUTOMÓVIL</t>
        </is>
      </c>
      <c r="G15" s="64" t="inlineStr"/>
      <c r="H15" s="66" t="inlineStr">
        <is>
          <t>No</t>
        </is>
      </c>
    </row>
    <row r="16">
      <c r="A16" s="64" t="inlineStr">
        <is>
          <t>03/04/2026</t>
        </is>
      </c>
      <c r="B16" s="64" t="inlineStr">
        <is>
          <t>Ypf bosch</t>
        </is>
      </c>
      <c r="C16" s="64" t="inlineStr">
        <is>
          <t>Lautaro Stirparo (9368)</t>
        </is>
      </c>
      <c r="D16" s="65" t="n">
        <v>15000</v>
      </c>
      <c r="E16" s="66" t="inlineStr">
        <is>
          <t>$</t>
        </is>
      </c>
      <c r="F16" s="69" t="inlineStr">
        <is>
          <t>AUTOMÓVIL</t>
        </is>
      </c>
      <c r="G16" s="64" t="inlineStr"/>
      <c r="H16" s="66" t="inlineStr">
        <is>
          <t>No</t>
        </is>
      </c>
    </row>
    <row r="17">
      <c r="A17" s="64" t="inlineStr">
        <is>
          <t>05/04/2026</t>
        </is>
      </c>
      <c r="B17" s="64" t="inlineStr">
        <is>
          <t>Ypf bosch</t>
        </is>
      </c>
      <c r="C17" s="64" t="inlineStr">
        <is>
          <t>Lautaro Stirparo (9368)</t>
        </is>
      </c>
      <c r="D17" s="65" t="n">
        <v>20000</v>
      </c>
      <c r="E17" s="66" t="inlineStr">
        <is>
          <t>$</t>
        </is>
      </c>
      <c r="F17" s="69" t="inlineStr">
        <is>
          <t>AUTOMÓVIL</t>
        </is>
      </c>
      <c r="G17" s="64" t="inlineStr"/>
      <c r="H17" s="66" t="inlineStr">
        <is>
          <t>No</t>
        </is>
      </c>
    </row>
    <row r="18">
      <c r="A18" s="64" t="inlineStr">
        <is>
          <t>07/04/2026</t>
        </is>
      </c>
      <c r="B18" s="64" t="inlineStr">
        <is>
          <t>Merpago*subeviajes</t>
        </is>
      </c>
      <c r="C18" s="64" t="inlineStr">
        <is>
          <t>Lautaro Stirparo (9368)</t>
        </is>
      </c>
      <c r="D18" s="65" t="n">
        <v>970.63</v>
      </c>
      <c r="E18" s="66" t="inlineStr">
        <is>
          <t>$</t>
        </is>
      </c>
      <c r="F18" s="71" t="inlineStr">
        <is>
          <t>TRANSPORTE</t>
        </is>
      </c>
      <c r="G18" s="64" t="inlineStr"/>
      <c r="H18" s="66" t="inlineStr">
        <is>
          <t>No</t>
        </is>
      </c>
    </row>
    <row r="19">
      <c r="A19" s="64" t="inlineStr">
        <is>
          <t>07/04/2026</t>
        </is>
      </c>
      <c r="B19" s="64" t="inlineStr">
        <is>
          <t>Merpago*subeviajes</t>
        </is>
      </c>
      <c r="C19" s="64" t="inlineStr">
        <is>
          <t>Lautaro Stirparo (9368)</t>
        </is>
      </c>
      <c r="D19" s="65" t="n">
        <v>839.86</v>
      </c>
      <c r="E19" s="66" t="inlineStr">
        <is>
          <t>$</t>
        </is>
      </c>
      <c r="F19" s="71" t="inlineStr">
        <is>
          <t>TRANSPORTE</t>
        </is>
      </c>
      <c r="G19" s="64" t="inlineStr"/>
      <c r="H19" s="66" t="inlineStr">
        <is>
          <t>No</t>
        </is>
      </c>
    </row>
    <row r="20">
      <c r="A20" s="64" t="inlineStr">
        <is>
          <t>08/04/2026</t>
        </is>
      </c>
      <c r="B20" s="64" t="inlineStr">
        <is>
          <t>Merpago*victoriabelenflor</t>
        </is>
      </c>
      <c r="C20" s="64" t="inlineStr">
        <is>
          <t>Lautaro Stirparo (9368)</t>
        </is>
      </c>
      <c r="D20" s="65" t="n">
        <v>3209.7</v>
      </c>
      <c r="E20" s="66" t="inlineStr">
        <is>
          <t>$</t>
        </is>
      </c>
      <c r="F20" s="88" t="inlineStr">
        <is>
          <t>OTROS</t>
        </is>
      </c>
      <c r="G20" s="64" t="inlineStr"/>
      <c r="H20" s="66" t="inlineStr">
        <is>
          <t>No</t>
        </is>
      </c>
    </row>
    <row r="21">
      <c r="A21" s="64" t="inlineStr">
        <is>
          <t>09/04/2026</t>
        </is>
      </c>
      <c r="B21" s="64" t="inlineStr">
        <is>
          <t>Merpago*subeviajes</t>
        </is>
      </c>
      <c r="C21" s="64" t="inlineStr">
        <is>
          <t>Lautaro Stirparo (9368)</t>
        </is>
      </c>
      <c r="D21" s="65" t="n">
        <v>1045.4</v>
      </c>
      <c r="E21" s="66" t="inlineStr">
        <is>
          <t>$</t>
        </is>
      </c>
      <c r="F21" s="71" t="inlineStr">
        <is>
          <t>TRANSPORTE</t>
        </is>
      </c>
      <c r="G21" s="64" t="inlineStr"/>
      <c r="H21" s="66" t="inlineStr">
        <is>
          <t>No</t>
        </is>
      </c>
    </row>
    <row r="22">
      <c r="A22" s="64" t="inlineStr">
        <is>
          <t>11/04/2026</t>
        </is>
      </c>
      <c r="B22" s="64" t="inlineStr">
        <is>
          <t>Merpago*subeviajes</t>
        </is>
      </c>
      <c r="C22" s="64" t="inlineStr">
        <is>
          <t>Lautaro Stirparo (9368)</t>
        </is>
      </c>
      <c r="D22" s="65" t="n">
        <v>899.99</v>
      </c>
      <c r="E22" s="66" t="inlineStr">
        <is>
          <t>$</t>
        </is>
      </c>
      <c r="F22" s="71" t="inlineStr">
        <is>
          <t>TRANSPORTE</t>
        </is>
      </c>
      <c r="G22" s="64" t="inlineStr"/>
      <c r="H22" s="66" t="inlineStr">
        <is>
          <t>No</t>
        </is>
      </c>
    </row>
    <row r="23">
      <c r="A23" s="64" t="inlineStr">
        <is>
          <t>11/04/2026</t>
        </is>
      </c>
      <c r="B23" s="64" t="inlineStr">
        <is>
          <t>Merpago*subeviajes</t>
        </is>
      </c>
      <c r="C23" s="64" t="inlineStr">
        <is>
          <t>Lautaro Stirparo (9368)</t>
        </is>
      </c>
      <c r="D23" s="65" t="n">
        <v>899.99</v>
      </c>
      <c r="E23" s="66" t="inlineStr">
        <is>
          <t>$</t>
        </is>
      </c>
      <c r="F23" s="71" t="inlineStr">
        <is>
          <t>TRANSPORTE</t>
        </is>
      </c>
      <c r="G23" s="64" t="inlineStr"/>
      <c r="H23" s="66" t="inlineStr">
        <is>
          <t>No</t>
        </is>
      </c>
    </row>
    <row r="24">
      <c r="A24" s="64" t="inlineStr">
        <is>
          <t>12/04/2026</t>
        </is>
      </c>
      <c r="B24" s="64" t="inlineStr">
        <is>
          <t>Merpago*ebanxsa</t>
        </is>
      </c>
      <c r="C24" s="64" t="inlineStr">
        <is>
          <t>Lautaro Stirparo (9368)</t>
        </is>
      </c>
      <c r="D24" s="65" t="n">
        <v>3231</v>
      </c>
      <c r="E24" s="66" t="inlineStr">
        <is>
          <t>$</t>
        </is>
      </c>
      <c r="F24" s="80" t="inlineStr">
        <is>
          <t>ENTRETENIMIENTO</t>
        </is>
      </c>
      <c r="G24" s="64" t="inlineStr"/>
      <c r="H24" s="66" t="inlineStr">
        <is>
          <t>No</t>
        </is>
      </c>
    </row>
    <row r="25">
      <c r="A25" s="64" t="inlineStr">
        <is>
          <t>12/04/2026</t>
        </is>
      </c>
      <c r="B25" s="64" t="inlineStr">
        <is>
          <t>Merpago*subeviajes</t>
        </is>
      </c>
      <c r="C25" s="64" t="inlineStr">
        <is>
          <t>Lautaro Stirparo (9368)</t>
        </is>
      </c>
      <c r="D25" s="65" t="n">
        <v>970.63</v>
      </c>
      <c r="E25" s="66" t="inlineStr">
        <is>
          <t>$</t>
        </is>
      </c>
      <c r="F25" s="71" t="inlineStr">
        <is>
          <t>TRANSPORTE</t>
        </is>
      </c>
      <c r="G25" s="64" t="inlineStr"/>
      <c r="H25" s="66" t="inlineStr">
        <is>
          <t>No</t>
        </is>
      </c>
    </row>
    <row r="26">
      <c r="A26" s="64" t="inlineStr">
        <is>
          <t>12/04/2026</t>
        </is>
      </c>
      <c r="B26" s="64" t="inlineStr">
        <is>
          <t>Merpago*frieraclaudioad</t>
        </is>
      </c>
      <c r="C26" s="64" t="inlineStr">
        <is>
          <t>Lautaro Stirparo (9368)</t>
        </is>
      </c>
      <c r="D26" s="65" t="n">
        <v>5648.64</v>
      </c>
      <c r="E26" s="66" t="inlineStr">
        <is>
          <t>$</t>
        </is>
      </c>
      <c r="F26" s="67" t="inlineStr">
        <is>
          <t>CUOTAS</t>
        </is>
      </c>
      <c r="G26" s="64" t="inlineStr">
        <is>
          <t>Cuota 1 de 2</t>
        </is>
      </c>
      <c r="H26" s="68" t="inlineStr">
        <is>
          <t>Sí</t>
        </is>
      </c>
    </row>
    <row r="27">
      <c r="A27" s="64" t="inlineStr">
        <is>
          <t>13/04/2026</t>
        </is>
      </c>
      <c r="B27" s="64" t="inlineStr">
        <is>
          <t>Merpago*ebanxsa</t>
        </is>
      </c>
      <c r="C27" s="64" t="inlineStr">
        <is>
          <t>Lautaro Stirparo (9368)</t>
        </is>
      </c>
      <c r="D27" s="65" t="n">
        <v>6162</v>
      </c>
      <c r="E27" s="66" t="inlineStr">
        <is>
          <t>$</t>
        </is>
      </c>
      <c r="F27" s="80" t="inlineStr">
        <is>
          <t>ENTRETENIMIENTO</t>
        </is>
      </c>
      <c r="G27" s="64" t="inlineStr"/>
      <c r="H27" s="66" t="inlineStr">
        <is>
          <t>No</t>
        </is>
      </c>
    </row>
    <row r="28">
      <c r="A28" s="64" t="inlineStr">
        <is>
          <t>14/04/2026</t>
        </is>
      </c>
      <c r="B28" s="64" t="inlineStr">
        <is>
          <t>Merpago*marpann</t>
        </is>
      </c>
      <c r="C28" s="64" t="inlineStr">
        <is>
          <t>Lautaro Stirparo (9368)</t>
        </is>
      </c>
      <c r="D28" s="65" t="n">
        <v>3600</v>
      </c>
      <c r="E28" s="66" t="inlineStr">
        <is>
          <t>$</t>
        </is>
      </c>
      <c r="F28" s="89" t="inlineStr">
        <is>
          <t>RESTAURANTES</t>
        </is>
      </c>
      <c r="G28" s="64" t="inlineStr"/>
      <c r="H28" s="66" t="inlineStr">
        <is>
          <t>No</t>
        </is>
      </c>
    </row>
    <row r="29">
      <c r="A29" s="64" t="inlineStr">
        <is>
          <t>15/04/2026</t>
        </is>
      </c>
      <c r="B29" s="64" t="inlineStr">
        <is>
          <t>Merpago*subeviajes</t>
        </is>
      </c>
      <c r="C29" s="64" t="inlineStr">
        <is>
          <t>Lautaro Stirparo (9368)</t>
        </is>
      </c>
      <c r="D29" s="65" t="n">
        <v>1045.4</v>
      </c>
      <c r="E29" s="66" t="inlineStr">
        <is>
          <t>$</t>
        </is>
      </c>
      <c r="F29" s="71" t="inlineStr">
        <is>
          <t>TRANSPORTE</t>
        </is>
      </c>
      <c r="G29" s="64" t="inlineStr"/>
      <c r="H29" s="66" t="inlineStr">
        <is>
          <t>No</t>
        </is>
      </c>
    </row>
    <row r="30">
      <c r="A30" s="64" t="inlineStr">
        <is>
          <t>18/04/2026</t>
        </is>
      </c>
      <c r="B30" s="64" t="inlineStr">
        <is>
          <t>Merpago*subeviajes</t>
        </is>
      </c>
      <c r="C30" s="64" t="inlineStr">
        <is>
          <t>Lautaro Stirparo (9368)</t>
        </is>
      </c>
      <c r="D30" s="65" t="n">
        <v>839.86</v>
      </c>
      <c r="E30" s="66" t="inlineStr">
        <is>
          <t>$</t>
        </is>
      </c>
      <c r="F30" s="71" t="inlineStr">
        <is>
          <t>TRANSPORTE</t>
        </is>
      </c>
      <c r="G30" s="64" t="inlineStr"/>
      <c r="H30" s="66" t="inlineStr">
        <is>
          <t>No</t>
        </is>
      </c>
    </row>
    <row r="31">
      <c r="A31" s="64" t="inlineStr">
        <is>
          <t>18/04/2026</t>
        </is>
      </c>
      <c r="B31" s="64" t="inlineStr">
        <is>
          <t>Merpago*subeviajes</t>
        </is>
      </c>
      <c r="C31" s="64" t="inlineStr">
        <is>
          <t>Lautaro Stirparo (9368)</t>
        </is>
      </c>
      <c r="D31" s="65" t="n">
        <v>779.78</v>
      </c>
      <c r="E31" s="66" t="inlineStr">
        <is>
          <t>$</t>
        </is>
      </c>
      <c r="F31" s="71" t="inlineStr">
        <is>
          <t>TRANSPORTE</t>
        </is>
      </c>
      <c r="G31" s="64" t="inlineStr"/>
      <c r="H31" s="66" t="inlineStr">
        <is>
          <t>No</t>
        </is>
      </c>
    </row>
    <row r="32">
      <c r="A32" s="64" t="inlineStr">
        <is>
          <t>18/04/2026</t>
        </is>
      </c>
      <c r="B32" s="64" t="inlineStr">
        <is>
          <t>Merpago*subeviajes</t>
        </is>
      </c>
      <c r="C32" s="64" t="inlineStr">
        <is>
          <t>Lautaro Stirparo (9368)</t>
        </is>
      </c>
      <c r="D32" s="65" t="n">
        <v>855.97</v>
      </c>
      <c r="E32" s="66" t="inlineStr">
        <is>
          <t>$</t>
        </is>
      </c>
      <c r="F32" s="71" t="inlineStr">
        <is>
          <t>TRANSPORTE</t>
        </is>
      </c>
      <c r="G32" s="64" t="inlineStr"/>
      <c r="H32" s="66" t="inlineStr">
        <is>
          <t>No</t>
        </is>
      </c>
    </row>
    <row r="33">
      <c r="A33" s="64" t="inlineStr">
        <is>
          <t>18/04/2026</t>
        </is>
      </c>
      <c r="B33" s="64" t="inlineStr">
        <is>
          <t>Merpago*subeviajes</t>
        </is>
      </c>
      <c r="C33" s="64" t="inlineStr">
        <is>
          <t>Lautaro Stirparo (9368)</t>
        </is>
      </c>
      <c r="D33" s="65" t="n">
        <v>1414</v>
      </c>
      <c r="E33" s="66" t="inlineStr">
        <is>
          <t>$</t>
        </is>
      </c>
      <c r="F33" s="71" t="inlineStr">
        <is>
          <t>TRANSPORTE</t>
        </is>
      </c>
      <c r="G33" s="64" t="inlineStr"/>
      <c r="H33" s="66" t="inlineStr">
        <is>
          <t>No</t>
        </is>
      </c>
    </row>
    <row r="34">
      <c r="A34" s="64" t="inlineStr">
        <is>
          <t>18/04/2026</t>
        </is>
      </c>
      <c r="B34" s="64" t="inlineStr">
        <is>
          <t>Merpago*qr</t>
        </is>
      </c>
      <c r="C34" s="64" t="inlineStr">
        <is>
          <t>Lautaro Stirparo (9368)</t>
        </is>
      </c>
      <c r="D34" s="65" t="n">
        <v>407.65</v>
      </c>
      <c r="E34" s="66" t="inlineStr">
        <is>
          <t>$</t>
        </is>
      </c>
      <c r="F34" s="88" t="inlineStr">
        <is>
          <t>OTROS</t>
        </is>
      </c>
      <c r="G34" s="64" t="inlineStr"/>
      <c r="H34" s="66" t="inlineStr">
        <is>
          <t>No</t>
        </is>
      </c>
    </row>
    <row r="35">
      <c r="A35" s="64" t="inlineStr">
        <is>
          <t>18/04/2026</t>
        </is>
      </c>
      <c r="B35" s="64" t="inlineStr">
        <is>
          <t>Merpago*promokiosco</t>
        </is>
      </c>
      <c r="C35" s="64" t="inlineStr">
        <is>
          <t>Lautaro Stirparo (9368)</t>
        </is>
      </c>
      <c r="D35" s="65" t="n">
        <v>5500</v>
      </c>
      <c r="E35" s="66" t="inlineStr">
        <is>
          <t>$</t>
        </is>
      </c>
      <c r="F35" s="89" t="inlineStr">
        <is>
          <t>RESTAURANTES</t>
        </is>
      </c>
      <c r="G35" s="64" t="inlineStr"/>
      <c r="H35" s="66" t="inlineStr">
        <is>
          <t>No</t>
        </is>
      </c>
    </row>
    <row r="36">
      <c r="A36" s="64" t="inlineStr">
        <is>
          <t>18/04/2026</t>
        </is>
      </c>
      <c r="B36" s="64" t="inlineStr">
        <is>
          <t>Merpago*deniscerveza</t>
        </is>
      </c>
      <c r="C36" s="64" t="inlineStr">
        <is>
          <t>Lautaro Stirparo (9368)</t>
        </is>
      </c>
      <c r="D36" s="65" t="n">
        <v>5000</v>
      </c>
      <c r="E36" s="66" t="inlineStr">
        <is>
          <t>$</t>
        </is>
      </c>
      <c r="F36" s="89" t="inlineStr">
        <is>
          <t>RESTAURANTES</t>
        </is>
      </c>
      <c r="G36" s="64" t="inlineStr"/>
      <c r="H36" s="66" t="inlineStr">
        <is>
          <t>No</t>
        </is>
      </c>
    </row>
    <row r="37">
      <c r="A37" s="64" t="inlineStr">
        <is>
          <t>19/04/2026</t>
        </is>
      </c>
      <c r="B37" s="64" t="inlineStr">
        <is>
          <t>Merpago*subeviajes</t>
        </is>
      </c>
      <c r="C37" s="64" t="inlineStr">
        <is>
          <t>Lautaro Stirparo (9368)</t>
        </is>
      </c>
      <c r="D37" s="65" t="n">
        <v>1045.4</v>
      </c>
      <c r="E37" s="66" t="inlineStr">
        <is>
          <t>$</t>
        </is>
      </c>
      <c r="F37" s="71" t="inlineStr">
        <is>
          <t>TRANSPORTE</t>
        </is>
      </c>
      <c r="G37" s="64" t="inlineStr"/>
      <c r="H37" s="66" t="inlineStr">
        <is>
          <t>No</t>
        </is>
      </c>
    </row>
    <row r="38">
      <c r="A38" s="64" t="inlineStr">
        <is>
          <t>19/04/2026</t>
        </is>
      </c>
      <c r="B38" s="64" t="inlineStr">
        <is>
          <t>Merpago*pagodedeuda</t>
        </is>
      </c>
      <c r="C38" s="64" t="inlineStr">
        <is>
          <t>Lautaro Stirparo (9368)</t>
        </is>
      </c>
      <c r="D38" s="65" t="n">
        <v>970</v>
      </c>
      <c r="E38" s="66" t="inlineStr">
        <is>
          <t>$</t>
        </is>
      </c>
      <c r="F38" s="88" t="inlineStr">
        <is>
          <t>OTROS</t>
        </is>
      </c>
      <c r="G38" s="64" t="inlineStr"/>
      <c r="H38" s="66" t="inlineStr">
        <is>
          <t>No</t>
        </is>
      </c>
    </row>
    <row r="39">
      <c r="A39" s="64" t="inlineStr">
        <is>
          <t>20/04/2026</t>
        </is>
      </c>
      <c r="B39" s="64" t="inlineStr">
        <is>
          <t>Merpago*subeviajes</t>
        </is>
      </c>
      <c r="C39" s="64" t="inlineStr">
        <is>
          <t>Lautaro Stirparo (9368)</t>
        </is>
      </c>
      <c r="D39" s="65" t="n">
        <v>970.63</v>
      </c>
      <c r="E39" s="66" t="inlineStr">
        <is>
          <t>$</t>
        </is>
      </c>
      <c r="F39" s="71" t="inlineStr">
        <is>
          <t>TRANSPORTE</t>
        </is>
      </c>
      <c r="G39" s="64" t="inlineStr"/>
      <c r="H39" s="66" t="inlineStr">
        <is>
          <t>No</t>
        </is>
      </c>
    </row>
    <row r="40">
      <c r="A40" s="64" t="inlineStr">
        <is>
          <t>21/04/2026</t>
        </is>
      </c>
      <c r="B40" s="64" t="inlineStr">
        <is>
          <t>Dlo*pedidosya tomasso</t>
        </is>
      </c>
      <c r="C40" s="64" t="inlineStr">
        <is>
          <t>Lautaro Stirparo (9368)</t>
        </is>
      </c>
      <c r="D40" s="65" t="n">
        <v>28877</v>
      </c>
      <c r="E40" s="66" t="inlineStr">
        <is>
          <t>$</t>
        </is>
      </c>
      <c r="F40" s="90" t="inlineStr">
        <is>
          <t>DELIVERY</t>
        </is>
      </c>
      <c r="G40" s="64" t="inlineStr"/>
      <c r="H40" s="66" t="inlineStr">
        <is>
          <t>No</t>
        </is>
      </c>
    </row>
    <row r="41">
      <c r="A41" s="64" t="inlineStr">
        <is>
          <t>22/04/2026</t>
        </is>
      </c>
      <c r="B41" s="64" t="inlineStr">
        <is>
          <t>Ypf bosch</t>
        </is>
      </c>
      <c r="C41" s="64" t="inlineStr">
        <is>
          <t>Lautaro Stirparo (9368)</t>
        </is>
      </c>
      <c r="D41" s="65" t="n">
        <v>15000</v>
      </c>
      <c r="E41" s="66" t="inlineStr">
        <is>
          <t>$</t>
        </is>
      </c>
      <c r="F41" s="69" t="inlineStr">
        <is>
          <t>AUTOMÓVIL</t>
        </is>
      </c>
      <c r="G41" s="64" t="inlineStr"/>
      <c r="H41" s="66" t="inlineStr">
        <is>
          <t>No</t>
        </is>
      </c>
    </row>
    <row r="42">
      <c r="A42" s="64" t="inlineStr">
        <is>
          <t>23/04/2026</t>
        </is>
      </c>
      <c r="B42" s="64" t="inlineStr">
        <is>
          <t>Merpago*mcdonalds</t>
        </is>
      </c>
      <c r="C42" s="64" t="inlineStr">
        <is>
          <t>Lautaro Stirparo (9368)</t>
        </is>
      </c>
      <c r="D42" s="65" t="n">
        <v>2000</v>
      </c>
      <c r="E42" s="66" t="inlineStr">
        <is>
          <t>$</t>
        </is>
      </c>
      <c r="F42" s="89" t="inlineStr">
        <is>
          <t>RESTAURANTES</t>
        </is>
      </c>
      <c r="G42" s="64" t="inlineStr"/>
      <c r="H42" s="66" t="inlineStr">
        <is>
          <t>No</t>
        </is>
      </c>
    </row>
    <row r="43">
      <c r="A43" s="64" t="inlineStr">
        <is>
          <t>24/04/2026</t>
        </is>
      </c>
      <c r="B43" s="64" t="inlineStr">
        <is>
          <t>Merpago*juanpablodocimo</t>
        </is>
      </c>
      <c r="C43" s="64" t="inlineStr">
        <is>
          <t>Lautaro Stirparo (9368)</t>
        </is>
      </c>
      <c r="D43" s="65" t="n">
        <v>6419.4</v>
      </c>
      <c r="E43" s="66" t="inlineStr">
        <is>
          <t>$</t>
        </is>
      </c>
      <c r="F43" s="88" t="inlineStr">
        <is>
          <t>OTROS</t>
        </is>
      </c>
      <c r="G43" s="64" t="inlineStr"/>
      <c r="H43" s="66" t="inlineStr">
        <is>
          <t>No</t>
        </is>
      </c>
    </row>
    <row r="44">
      <c r="A44" s="64" t="inlineStr">
        <is>
          <t>25/04/2026</t>
        </is>
      </c>
      <c r="B44" s="64" t="inlineStr">
        <is>
          <t>Merpago*albertomiguelrome</t>
        </is>
      </c>
      <c r="C44" s="64" t="inlineStr">
        <is>
          <t>Lautaro Stirparo (9368)</t>
        </is>
      </c>
      <c r="D44" s="65" t="n">
        <v>8452.209999999999</v>
      </c>
      <c r="E44" s="66" t="inlineStr">
        <is>
          <t>$</t>
        </is>
      </c>
      <c r="F44" s="88" t="inlineStr">
        <is>
          <t>OTROS</t>
        </is>
      </c>
      <c r="G44" s="64" t="inlineStr"/>
      <c r="H44" s="66" t="inlineStr">
        <is>
          <t>No</t>
        </is>
      </c>
    </row>
    <row r="45">
      <c r="A45" s="64" t="inlineStr">
        <is>
          <t>25/04/2026</t>
        </is>
      </c>
      <c r="B45" s="64" t="inlineStr">
        <is>
          <t>Merpago*elreydelaesqu</t>
        </is>
      </c>
      <c r="C45" s="64" t="inlineStr">
        <is>
          <t>Lautaro Stirparo (9368)</t>
        </is>
      </c>
      <c r="D45" s="65" t="n">
        <v>5830</v>
      </c>
      <c r="E45" s="66" t="inlineStr">
        <is>
          <t>$</t>
        </is>
      </c>
      <c r="F45" s="89" t="inlineStr">
        <is>
          <t>RESTAURANTES</t>
        </is>
      </c>
      <c r="G45" s="64" t="inlineStr"/>
      <c r="H45" s="66" t="inlineStr">
        <is>
          <t>No</t>
        </is>
      </c>
    </row>
    <row r="46">
      <c r="A46" s="64" t="inlineStr">
        <is>
          <t>26/04/2026</t>
        </is>
      </c>
      <c r="B46" s="64" t="inlineStr">
        <is>
          <t>Merpago*subeviajes</t>
        </is>
      </c>
      <c r="C46" s="64" t="inlineStr">
        <is>
          <t>Lautaro Stirparo (9368)</t>
        </is>
      </c>
      <c r="D46" s="65" t="n">
        <v>871.3</v>
      </c>
      <c r="E46" s="66" t="inlineStr">
        <is>
          <t>$</t>
        </is>
      </c>
      <c r="F46" s="71" t="inlineStr">
        <is>
          <t>TRANSPORTE</t>
        </is>
      </c>
      <c r="G46" s="64" t="inlineStr"/>
      <c r="H46" s="66" t="inlineStr">
        <is>
          <t>No</t>
        </is>
      </c>
    </row>
    <row r="47">
      <c r="A47" s="64" t="inlineStr">
        <is>
          <t>26/04/2026</t>
        </is>
      </c>
      <c r="B47" s="64" t="inlineStr">
        <is>
          <t>Merpago*subeviajes</t>
        </is>
      </c>
      <c r="C47" s="64" t="inlineStr">
        <is>
          <t>Lautaro Stirparo (9368)</t>
        </is>
      </c>
      <c r="D47" s="65" t="n">
        <v>779.78</v>
      </c>
      <c r="E47" s="66" t="inlineStr">
        <is>
          <t>$</t>
        </is>
      </c>
      <c r="F47" s="71" t="inlineStr">
        <is>
          <t>TRANSPORTE</t>
        </is>
      </c>
      <c r="G47" s="64" t="inlineStr"/>
      <c r="H47" s="66" t="inlineStr">
        <is>
          <t>No</t>
        </is>
      </c>
    </row>
    <row r="48">
      <c r="A48" s="64" t="inlineStr">
        <is>
          <t>26/04/2026</t>
        </is>
      </c>
      <c r="B48" s="64" t="inlineStr">
        <is>
          <t>Merpago*subeviajes</t>
        </is>
      </c>
      <c r="C48" s="64" t="inlineStr">
        <is>
          <t>Lautaro Stirparo (9368)</t>
        </is>
      </c>
      <c r="D48" s="65" t="n">
        <v>970.63</v>
      </c>
      <c r="E48" s="66" t="inlineStr">
        <is>
          <t>$</t>
        </is>
      </c>
      <c r="F48" s="71" t="inlineStr">
        <is>
          <t>TRANSPORTE</t>
        </is>
      </c>
      <c r="G48" s="64" t="inlineStr"/>
      <c r="H48" s="66" t="inlineStr">
        <is>
          <t>No</t>
        </is>
      </c>
    </row>
    <row r="49">
      <c r="A49" s="64" t="inlineStr">
        <is>
          <t>26/04/2026</t>
        </is>
      </c>
      <c r="B49" s="64" t="inlineStr">
        <is>
          <t>Merpago*subeviajes</t>
        </is>
      </c>
      <c r="C49" s="64" t="inlineStr">
        <is>
          <t>Lautaro Stirparo (9368)</t>
        </is>
      </c>
      <c r="D49" s="65" t="n">
        <v>970.63</v>
      </c>
      <c r="E49" s="66" t="inlineStr">
        <is>
          <t>$</t>
        </is>
      </c>
      <c r="F49" s="71" t="inlineStr">
        <is>
          <t>TRANSPORTE</t>
        </is>
      </c>
      <c r="G49" s="64" t="inlineStr"/>
      <c r="H49" s="66" t="inlineStr">
        <is>
          <t>No</t>
        </is>
      </c>
    </row>
    <row r="50">
      <c r="A50" s="64" t="inlineStr">
        <is>
          <t>26/04/2026</t>
        </is>
      </c>
      <c r="B50" s="64" t="inlineStr">
        <is>
          <t>Splice.com* spli</t>
        </is>
      </c>
      <c r="C50" s="64" t="inlineStr">
        <is>
          <t>Lautaro Stirparo (9368)</t>
        </is>
      </c>
      <c r="D50" s="82" t="n">
        <v>12.99</v>
      </c>
      <c r="E50" s="66" t="inlineStr">
        <is>
          <t>U$S</t>
        </is>
      </c>
      <c r="F50" s="80" t="inlineStr">
        <is>
          <t>ENTRETENIMIENTO</t>
        </is>
      </c>
      <c r="G50" s="64" t="inlineStr"/>
      <c r="H50" s="66" t="inlineStr">
        <is>
          <t>No</t>
        </is>
      </c>
    </row>
    <row r="51">
      <c r="A51" s="64" t="inlineStr">
        <is>
          <t>29/04/2026</t>
        </is>
      </c>
      <c r="B51" s="64" t="inlineStr">
        <is>
          <t>Merpago*yovanaestervillan</t>
        </is>
      </c>
      <c r="C51" s="64" t="inlineStr">
        <is>
          <t>Lautaro Stirparo (9368)</t>
        </is>
      </c>
      <c r="D51" s="65" t="n">
        <v>2139.8</v>
      </c>
      <c r="E51" s="66" t="inlineStr">
        <is>
          <t>$</t>
        </is>
      </c>
      <c r="F51" s="88" t="inlineStr">
        <is>
          <t>OTROS</t>
        </is>
      </c>
      <c r="G51" s="64" t="inlineStr"/>
      <c r="H51" s="66" t="inlineStr">
        <is>
          <t>No</t>
        </is>
      </c>
    </row>
    <row r="52">
      <c r="A52" s="64" t="inlineStr">
        <is>
          <t>29/04/2026</t>
        </is>
      </c>
      <c r="B52" s="64" t="inlineStr">
        <is>
          <t>Ypf bosch</t>
        </is>
      </c>
      <c r="C52" s="64" t="inlineStr">
        <is>
          <t>Lautaro Stirparo (9368)</t>
        </is>
      </c>
      <c r="D52" s="65" t="n">
        <v>15000</v>
      </c>
      <c r="E52" s="66" t="inlineStr">
        <is>
          <t>$</t>
        </is>
      </c>
      <c r="F52" s="69" t="inlineStr">
        <is>
          <t>AUTOMÓVIL</t>
        </is>
      </c>
      <c r="G52" s="64" t="inlineStr"/>
      <c r="H52" s="66" t="inlineStr">
        <is>
          <t>No</t>
        </is>
      </c>
    </row>
    <row r="53">
      <c r="A53" s="64" t="inlineStr">
        <is>
          <t>30/04/2026</t>
        </is>
      </c>
      <c r="B53" s="64" t="inlineStr">
        <is>
          <t>Merpago*ebanxsa</t>
        </is>
      </c>
      <c r="C53" s="64" t="inlineStr">
        <is>
          <t>Lautaro Stirparo (9368)</t>
        </is>
      </c>
      <c r="D53" s="65" t="n">
        <v>4190</v>
      </c>
      <c r="E53" s="66" t="inlineStr">
        <is>
          <t>$</t>
        </is>
      </c>
      <c r="F53" s="80" t="inlineStr">
        <is>
          <t>ENTRETENIMIENTO</t>
        </is>
      </c>
      <c r="G53" s="64" t="inlineStr"/>
      <c r="H53" s="66" t="inlineStr">
        <is>
          <t>No</t>
        </is>
      </c>
    </row>
    <row r="54">
      <c r="A54" s="64" t="inlineStr">
        <is>
          <t>27/09/2025</t>
        </is>
      </c>
      <c r="B54" s="64" t="inlineStr">
        <is>
          <t>Merpago*montagne</t>
        </is>
      </c>
      <c r="C54" s="64" t="inlineStr">
        <is>
          <t>Dario F. Stirparo (2473)</t>
        </is>
      </c>
      <c r="D54" s="65" t="n">
        <v>8447.75</v>
      </c>
      <c r="E54" s="66" t="inlineStr">
        <is>
          <t>$</t>
        </is>
      </c>
      <c r="F54" s="67" t="inlineStr">
        <is>
          <t>CUOTAS</t>
        </is>
      </c>
      <c r="G54" s="64" t="inlineStr">
        <is>
          <t>Cuota 7 de 12</t>
        </is>
      </c>
      <c r="H54" s="68" t="inlineStr">
        <is>
          <t>Sí</t>
        </is>
      </c>
    </row>
    <row r="55">
      <c r="A55" s="64" t="inlineStr">
        <is>
          <t>27/09/2025</t>
        </is>
      </c>
      <c r="B55" s="64" t="inlineStr">
        <is>
          <t>Merpago*montagne</t>
        </is>
      </c>
      <c r="C55" s="64" t="inlineStr">
        <is>
          <t>Dario F. Stirparo (2473)</t>
        </is>
      </c>
      <c r="D55" s="65" t="n">
        <v>19590.07</v>
      </c>
      <c r="E55" s="66" t="inlineStr">
        <is>
          <t>$</t>
        </is>
      </c>
      <c r="F55" s="67" t="inlineStr">
        <is>
          <t>CUOTAS</t>
        </is>
      </c>
      <c r="G55" s="64" t="inlineStr">
        <is>
          <t>Cuota 7 de 12</t>
        </is>
      </c>
      <c r="H55" s="68" t="inlineStr">
        <is>
          <t>Sí</t>
        </is>
      </c>
    </row>
    <row r="56">
      <c r="A56" s="64" t="inlineStr">
        <is>
          <t>08/03/2026</t>
        </is>
      </c>
      <c r="B56" s="64" t="inlineStr">
        <is>
          <t>Zara</t>
        </is>
      </c>
      <c r="C56" s="64" t="inlineStr">
        <is>
          <t>Dario F. Stirparo (2473)</t>
        </is>
      </c>
      <c r="D56" s="65" t="n">
        <v>31336.66</v>
      </c>
      <c r="E56" s="66" t="inlineStr">
        <is>
          <t>$</t>
        </is>
      </c>
      <c r="F56" s="67" t="inlineStr">
        <is>
          <t>CUOTAS</t>
        </is>
      </c>
      <c r="G56" s="64" t="inlineStr">
        <is>
          <t>Cuota 2 de 3</t>
        </is>
      </c>
      <c r="H56" s="68" t="inlineStr">
        <is>
          <t>Sí</t>
        </is>
      </c>
    </row>
    <row r="57">
      <c r="A57" s="64" t="inlineStr">
        <is>
          <t>25/03/2026</t>
        </is>
      </c>
      <c r="B57" s="64" t="inlineStr">
        <is>
          <t>Shop gallery</t>
        </is>
      </c>
      <c r="C57" s="64" t="inlineStr">
        <is>
          <t>Dario F. Stirparo (2473)</t>
        </is>
      </c>
      <c r="D57" s="65" t="n">
        <v>4158.33</v>
      </c>
      <c r="E57" s="66" t="inlineStr">
        <is>
          <t>$</t>
        </is>
      </c>
      <c r="F57" s="67" t="inlineStr">
        <is>
          <t>CUOTAS</t>
        </is>
      </c>
      <c r="G57" s="64" t="inlineStr">
        <is>
          <t>Cuota 2 de 12</t>
        </is>
      </c>
      <c r="H57" s="68" t="inlineStr">
        <is>
          <t>Sí</t>
        </is>
      </c>
    </row>
    <row r="58">
      <c r="A58" s="64" t="inlineStr">
        <is>
          <t>26/03/2026</t>
        </is>
      </c>
      <c r="B58" s="64" t="inlineStr">
        <is>
          <t>Merpago*marcelaalejandras</t>
        </is>
      </c>
      <c r="C58" s="64" t="inlineStr">
        <is>
          <t>Dario F. Stirparo (2473)</t>
        </is>
      </c>
      <c r="D58" s="65" t="n">
        <v>37446.5</v>
      </c>
      <c r="E58" s="66" t="inlineStr">
        <is>
          <t>$</t>
        </is>
      </c>
      <c r="F58" s="91" t="inlineStr">
        <is>
          <t>SERVICIO DOMÉSTICO</t>
        </is>
      </c>
      <c r="G58" s="64" t="inlineStr"/>
      <c r="H58" s="66" t="inlineStr">
        <is>
          <t>No</t>
        </is>
      </c>
    </row>
    <row r="59">
      <c r="A59" s="64" t="inlineStr">
        <is>
          <t>29/03/2026</t>
        </is>
      </c>
      <c r="B59" s="64" t="inlineStr">
        <is>
          <t>Merpago*ignacioagustinled</t>
        </is>
      </c>
      <c r="C59" s="64" t="inlineStr">
        <is>
          <t>Dario F. Stirparo (2473)</t>
        </is>
      </c>
      <c r="D59" s="65" t="n">
        <v>4279.6</v>
      </c>
      <c r="E59" s="66" t="inlineStr">
        <is>
          <t>$</t>
        </is>
      </c>
      <c r="F59" s="88" t="inlineStr">
        <is>
          <t>OTROS</t>
        </is>
      </c>
      <c r="G59" s="64" t="inlineStr"/>
      <c r="H59" s="66" t="inlineStr">
        <is>
          <t>No</t>
        </is>
      </c>
    </row>
    <row r="60">
      <c r="A60" s="64" t="inlineStr">
        <is>
          <t>01/04/2026</t>
        </is>
      </c>
      <c r="B60" s="64" t="inlineStr">
        <is>
          <t>Merpago*shell</t>
        </is>
      </c>
      <c r="C60" s="64" t="inlineStr">
        <is>
          <t>Dario F. Stirparo (2473)</t>
        </is>
      </c>
      <c r="D60" s="65" t="n">
        <v>8700</v>
      </c>
      <c r="E60" s="66" t="inlineStr">
        <is>
          <t>$</t>
        </is>
      </c>
      <c r="F60" s="69" t="inlineStr">
        <is>
          <t>AUTOMÓVIL</t>
        </is>
      </c>
      <c r="G60" s="64" t="inlineStr"/>
      <c r="H60" s="66" t="inlineStr">
        <is>
          <t>No</t>
        </is>
      </c>
    </row>
    <row r="61">
      <c r="A61" s="64" t="inlineStr">
        <is>
          <t>02/04/2026</t>
        </is>
      </c>
      <c r="B61" s="64" t="inlineStr">
        <is>
          <t>Merpago*silviabeatrizlina</t>
        </is>
      </c>
      <c r="C61" s="64" t="inlineStr">
        <is>
          <t>Dario F. Stirparo (2473)</t>
        </is>
      </c>
      <c r="D61" s="65" t="n">
        <v>2139.8</v>
      </c>
      <c r="E61" s="66" t="inlineStr">
        <is>
          <t>$</t>
        </is>
      </c>
      <c r="F61" s="88" t="inlineStr">
        <is>
          <t>OTROS</t>
        </is>
      </c>
      <c r="G61" s="64" t="inlineStr"/>
      <c r="H61" s="66" t="inlineStr">
        <is>
          <t>No</t>
        </is>
      </c>
    </row>
    <row r="62">
      <c r="A62" s="64" t="inlineStr">
        <is>
          <t>02/04/2026</t>
        </is>
      </c>
      <c r="B62" s="64" t="inlineStr">
        <is>
          <t>Merpago*marcelaalejandras</t>
        </is>
      </c>
      <c r="C62" s="64" t="inlineStr">
        <is>
          <t>Dario F. Stirparo (2473)</t>
        </is>
      </c>
      <c r="D62" s="65" t="n">
        <v>29957.2</v>
      </c>
      <c r="E62" s="66" t="inlineStr">
        <is>
          <t>$</t>
        </is>
      </c>
      <c r="F62" s="91" t="inlineStr">
        <is>
          <t>SERVICIO DOMÉSTICO</t>
        </is>
      </c>
      <c r="G62" s="64" t="inlineStr"/>
      <c r="H62" s="66" t="inlineStr">
        <is>
          <t>No</t>
        </is>
      </c>
    </row>
    <row r="63">
      <c r="A63" s="64" t="inlineStr">
        <is>
          <t>02/04/2026</t>
        </is>
      </c>
      <c r="B63" s="64" t="inlineStr">
        <is>
          <t>Merpago*coto</t>
        </is>
      </c>
      <c r="C63" s="64" t="inlineStr">
        <is>
          <t>Dario F. Stirparo (2473)</t>
        </is>
      </c>
      <c r="D63" s="65" t="n">
        <v>149240.39</v>
      </c>
      <c r="E63" s="66" t="inlineStr">
        <is>
          <t>$</t>
        </is>
      </c>
      <c r="F63" s="70" t="inlineStr">
        <is>
          <t>SUPERMERCADO</t>
        </is>
      </c>
      <c r="G63" s="64" t="inlineStr"/>
      <c r="H63" s="66" t="inlineStr">
        <is>
          <t>No</t>
        </is>
      </c>
    </row>
    <row r="64">
      <c r="A64" s="64" t="inlineStr">
        <is>
          <t>02/04/2026</t>
        </is>
      </c>
      <c r="B64" s="64" t="inlineStr">
        <is>
          <t>Innsbruck cafe</t>
        </is>
      </c>
      <c r="C64" s="64" t="inlineStr">
        <is>
          <t>Dario F. Stirparo (2473)</t>
        </is>
      </c>
      <c r="D64" s="65" t="n">
        <v>31800</v>
      </c>
      <c r="E64" s="66" t="inlineStr">
        <is>
          <t>$</t>
        </is>
      </c>
      <c r="F64" s="89" t="inlineStr">
        <is>
          <t>RESTAURANTES</t>
        </is>
      </c>
      <c r="G64" s="64" t="inlineStr"/>
      <c r="H64" s="66" t="inlineStr">
        <is>
          <t>No</t>
        </is>
      </c>
    </row>
    <row r="65">
      <c r="A65" s="64" t="inlineStr">
        <is>
          <t>02/04/2026</t>
        </is>
      </c>
      <c r="B65" s="64" t="inlineStr">
        <is>
          <t>Prot robo celu0000000634964-034-001</t>
        </is>
      </c>
      <c r="C65" s="64" t="inlineStr">
        <is>
          <t>Dario F. Stirparo (2473)</t>
        </is>
      </c>
      <c r="D65" s="65" t="n">
        <v>470.98</v>
      </c>
      <c r="E65" s="66" t="inlineStr">
        <is>
          <t>$</t>
        </is>
      </c>
      <c r="F65" s="67" t="inlineStr">
        <is>
          <t>CUOTAS</t>
        </is>
      </c>
      <c r="G65" s="64" t="inlineStr">
        <is>
          <t>Cuota 34 de 1</t>
        </is>
      </c>
      <c r="H65" s="68" t="inlineStr">
        <is>
          <t>Sí</t>
        </is>
      </c>
    </row>
    <row r="66">
      <c r="A66" s="64" t="inlineStr">
        <is>
          <t>03/04/2026</t>
        </is>
      </c>
      <c r="B66" s="64" t="inlineStr">
        <is>
          <t>Essen</t>
        </is>
      </c>
      <c r="C66" s="64" t="inlineStr">
        <is>
          <t>Dario F. Stirparo (2473)</t>
        </is>
      </c>
      <c r="D66" s="65" t="n">
        <v>23334.71</v>
      </c>
      <c r="E66" s="66" t="inlineStr">
        <is>
          <t>$</t>
        </is>
      </c>
      <c r="F66" s="67" t="inlineStr">
        <is>
          <t>CUOTAS</t>
        </is>
      </c>
      <c r="G66" s="64" t="inlineStr">
        <is>
          <t>Cuota 1 de 12</t>
        </is>
      </c>
      <c r="H66" s="68" t="inlineStr">
        <is>
          <t>Sí</t>
        </is>
      </c>
    </row>
    <row r="67">
      <c r="A67" s="64" t="inlineStr">
        <is>
          <t>03/04/2026</t>
        </is>
      </c>
      <c r="B67" s="64" t="inlineStr">
        <is>
          <t>Pvs*fairview pinamar</t>
        </is>
      </c>
      <c r="C67" s="64" t="inlineStr">
        <is>
          <t>Dario F. Stirparo (2473)</t>
        </is>
      </c>
      <c r="D67" s="65" t="n">
        <v>8280</v>
      </c>
      <c r="E67" s="66" t="inlineStr">
        <is>
          <t>$</t>
        </is>
      </c>
      <c r="F67" s="92" t="inlineStr">
        <is>
          <t>VIAJES</t>
        </is>
      </c>
      <c r="G67" s="64" t="inlineStr"/>
      <c r="H67" s="66" t="inlineStr">
        <is>
          <t>No</t>
        </is>
      </c>
    </row>
    <row r="68">
      <c r="A68" s="64" t="inlineStr">
        <is>
          <t>04/04/2026</t>
        </is>
      </c>
      <c r="B68" s="64" t="inlineStr">
        <is>
          <t>Merpago*fedeventas</t>
        </is>
      </c>
      <c r="C68" s="64" t="inlineStr">
        <is>
          <t>Dario F. Stirparo (2473)</t>
        </is>
      </c>
      <c r="D68" s="65" t="n">
        <v>6000</v>
      </c>
      <c r="E68" s="66" t="inlineStr">
        <is>
          <t>$</t>
        </is>
      </c>
      <c r="F68" s="88" t="inlineStr">
        <is>
          <t>OTROS</t>
        </is>
      </c>
      <c r="G68" s="64" t="inlineStr"/>
      <c r="H68" s="66" t="inlineStr">
        <is>
          <t>No</t>
        </is>
      </c>
    </row>
    <row r="69">
      <c r="A69" s="64" t="inlineStr">
        <is>
          <t>04/04/2026</t>
        </is>
      </c>
      <c r="B69" s="64" t="inlineStr">
        <is>
          <t>Merpago*rapanui</t>
        </is>
      </c>
      <c r="C69" s="64" t="inlineStr">
        <is>
          <t>Dario F. Stirparo (2473)</t>
        </is>
      </c>
      <c r="D69" s="65" t="n">
        <v>10000</v>
      </c>
      <c r="E69" s="66" t="inlineStr">
        <is>
          <t>$</t>
        </is>
      </c>
      <c r="F69" s="89" t="inlineStr">
        <is>
          <t>RESTAURANTES</t>
        </is>
      </c>
      <c r="G69" s="64" t="inlineStr"/>
      <c r="H69" s="66" t="inlineStr">
        <is>
          <t>No</t>
        </is>
      </c>
    </row>
    <row r="70">
      <c r="A70" s="64" t="inlineStr">
        <is>
          <t>04/04/2026</t>
        </is>
      </c>
      <c r="B70" s="64" t="inlineStr">
        <is>
          <t>Coop obrera ltda de cons</t>
        </is>
      </c>
      <c r="C70" s="64" t="inlineStr">
        <is>
          <t>Dario F. Stirparo (2473)</t>
        </is>
      </c>
      <c r="D70" s="65" t="n">
        <v>18666.34</v>
      </c>
      <c r="E70" s="66" t="inlineStr">
        <is>
          <t>$</t>
        </is>
      </c>
      <c r="F70" s="67" t="inlineStr">
        <is>
          <t>CUOTAS</t>
        </is>
      </c>
      <c r="G70" s="64" t="inlineStr">
        <is>
          <t>Cuota 1 de 3</t>
        </is>
      </c>
      <c r="H70" s="68" t="inlineStr">
        <is>
          <t>Sí</t>
        </is>
      </c>
    </row>
    <row r="71">
      <c r="A71" s="64" t="inlineStr">
        <is>
          <t>07/04/2026</t>
        </is>
      </c>
      <c r="B71" s="64" t="inlineStr">
        <is>
          <t>Merpago*simonbautistabalt</t>
        </is>
      </c>
      <c r="C71" s="64" t="inlineStr">
        <is>
          <t>Dario F. Stirparo (2473)</t>
        </is>
      </c>
      <c r="D71" s="65" t="n">
        <v>10057.06</v>
      </c>
      <c r="E71" s="66" t="inlineStr">
        <is>
          <t>$</t>
        </is>
      </c>
      <c r="F71" s="88" t="inlineStr">
        <is>
          <t>OTROS</t>
        </is>
      </c>
      <c r="G71" s="64" t="inlineStr"/>
      <c r="H71" s="66" t="inlineStr">
        <is>
          <t>No</t>
        </is>
      </c>
    </row>
    <row r="72">
      <c r="A72" s="64" t="inlineStr">
        <is>
          <t>07/04/2026</t>
        </is>
      </c>
      <c r="B72" s="64" t="inlineStr">
        <is>
          <t>Merengue</t>
        </is>
      </c>
      <c r="C72" s="64" t="inlineStr">
        <is>
          <t>Dario F. Stirparo (2473)</t>
        </is>
      </c>
      <c r="D72" s="65" t="n">
        <v>8500</v>
      </c>
      <c r="E72" s="66" t="inlineStr">
        <is>
          <t>$</t>
        </is>
      </c>
      <c r="F72" s="89" t="inlineStr">
        <is>
          <t>RESTAURANTES</t>
        </is>
      </c>
      <c r="G72" s="64" t="inlineStr"/>
      <c r="H72" s="66" t="inlineStr">
        <is>
          <t>No</t>
        </is>
      </c>
    </row>
    <row r="73">
      <c r="A73" s="64" t="inlineStr">
        <is>
          <t>08/04/2026</t>
        </is>
      </c>
      <c r="B73" s="64" t="inlineStr">
        <is>
          <t>Merengue</t>
        </is>
      </c>
      <c r="C73" s="64" t="inlineStr">
        <is>
          <t>Dario F. Stirparo (2473)</t>
        </is>
      </c>
      <c r="D73" s="65" t="n">
        <v>8500</v>
      </c>
      <c r="E73" s="66" t="inlineStr">
        <is>
          <t>$</t>
        </is>
      </c>
      <c r="F73" s="89" t="inlineStr">
        <is>
          <t>RESTAURANTES</t>
        </is>
      </c>
      <c r="G73" s="64" t="inlineStr"/>
      <c r="H73" s="66" t="inlineStr">
        <is>
          <t>No</t>
        </is>
      </c>
    </row>
    <row r="74">
      <c r="A74" s="64" t="inlineStr">
        <is>
          <t>09/04/2026</t>
        </is>
      </c>
      <c r="B74" s="64" t="inlineStr">
        <is>
          <t>Merpago*marcelaalejandras</t>
        </is>
      </c>
      <c r="C74" s="64" t="inlineStr">
        <is>
          <t>Dario F. Stirparo (2473)</t>
        </is>
      </c>
      <c r="D74" s="65" t="n">
        <v>35841.65</v>
      </c>
      <c r="E74" s="66" t="inlineStr">
        <is>
          <t>$</t>
        </is>
      </c>
      <c r="F74" s="91" t="inlineStr">
        <is>
          <t>SERVICIO DOMÉSTICO</t>
        </is>
      </c>
      <c r="G74" s="64" t="inlineStr"/>
      <c r="H74" s="66" t="inlineStr">
        <is>
          <t>No</t>
        </is>
      </c>
    </row>
    <row r="75">
      <c r="A75" s="64" t="inlineStr">
        <is>
          <t>09/04/2026</t>
        </is>
      </c>
      <c r="B75" s="64" t="inlineStr">
        <is>
          <t>Merengue</t>
        </is>
      </c>
      <c r="C75" s="64" t="inlineStr">
        <is>
          <t>Dario F. Stirparo (2473)</t>
        </is>
      </c>
      <c r="D75" s="65" t="n">
        <v>7500</v>
      </c>
      <c r="E75" s="66" t="inlineStr">
        <is>
          <t>$</t>
        </is>
      </c>
      <c r="F75" s="89" t="inlineStr">
        <is>
          <t>RESTAURANTES</t>
        </is>
      </c>
      <c r="G75" s="64" t="inlineStr"/>
      <c r="H75" s="66" t="inlineStr">
        <is>
          <t>No</t>
        </is>
      </c>
    </row>
    <row r="76">
      <c r="A76" s="64" t="inlineStr">
        <is>
          <t>10/04/2026</t>
        </is>
      </c>
      <c r="B76" s="64" t="inlineStr">
        <is>
          <t>Merpago*stirparolautaroma</t>
        </is>
      </c>
      <c r="C76" s="64" t="inlineStr">
        <is>
          <t>Dario F. Stirparo (2473)</t>
        </is>
      </c>
      <c r="D76" s="65" t="n">
        <v>149786</v>
      </c>
      <c r="E76" s="66" t="inlineStr">
        <is>
          <t>$</t>
        </is>
      </c>
      <c r="F76" s="88" t="inlineStr">
        <is>
          <t>OTROS</t>
        </is>
      </c>
      <c r="G76" s="64" t="inlineStr"/>
      <c r="H76" s="66" t="inlineStr">
        <is>
          <t>No</t>
        </is>
      </c>
    </row>
    <row r="77">
      <c r="A77" s="64" t="inlineStr">
        <is>
          <t>10/04/2026</t>
        </is>
      </c>
      <c r="B77" s="64" t="inlineStr">
        <is>
          <t>Merpago*municipalidaddegr</t>
        </is>
      </c>
      <c r="C77" s="64" t="inlineStr">
        <is>
          <t>Dario F. Stirparo (2473)</t>
        </is>
      </c>
      <c r="D77" s="65" t="n">
        <v>72385.39999999999</v>
      </c>
      <c r="E77" s="66" t="inlineStr">
        <is>
          <t>$</t>
        </is>
      </c>
      <c r="F77" s="74" t="inlineStr">
        <is>
          <t>IMPUESTOS Y CARGOS</t>
        </is>
      </c>
      <c r="G77" s="64" t="inlineStr"/>
      <c r="H77" s="66" t="inlineStr">
        <is>
          <t>No</t>
        </is>
      </c>
    </row>
    <row r="78">
      <c r="A78" s="64" t="inlineStr">
        <is>
          <t>10/04/2026</t>
        </is>
      </c>
      <c r="B78" s="64" t="inlineStr">
        <is>
          <t>Merpago*norcelstore</t>
        </is>
      </c>
      <c r="C78" s="64" t="inlineStr">
        <is>
          <t>Dario F. Stirparo (2473)</t>
        </is>
      </c>
      <c r="D78" s="65" t="n">
        <v>15000</v>
      </c>
      <c r="E78" s="66" t="inlineStr">
        <is>
          <t>$</t>
        </is>
      </c>
      <c r="F78" s="72" t="inlineStr">
        <is>
          <t>TECNOLOGÍA</t>
        </is>
      </c>
      <c r="G78" s="64" t="inlineStr"/>
      <c r="H78" s="66" t="inlineStr">
        <is>
          <t>No</t>
        </is>
      </c>
    </row>
    <row r="79">
      <c r="A79" s="64" t="inlineStr">
        <is>
          <t>11/04/2026</t>
        </is>
      </c>
      <c r="B79" s="64" t="inlineStr">
        <is>
          <t>Merpago*sarmientoludmilaa</t>
        </is>
      </c>
      <c r="C79" s="64" t="inlineStr">
        <is>
          <t>Dario F. Stirparo (2473)</t>
        </is>
      </c>
      <c r="D79" s="65" t="n">
        <v>7489.3</v>
      </c>
      <c r="E79" s="66" t="inlineStr">
        <is>
          <t>$</t>
        </is>
      </c>
      <c r="F79" s="88" t="inlineStr">
        <is>
          <t>OTROS</t>
        </is>
      </c>
      <c r="G79" s="64" t="inlineStr"/>
      <c r="H79" s="66" t="inlineStr">
        <is>
          <t>No</t>
        </is>
      </c>
    </row>
    <row r="80">
      <c r="A80" s="64" t="inlineStr">
        <is>
          <t>11/04/2026</t>
        </is>
      </c>
      <c r="B80" s="64" t="inlineStr">
        <is>
          <t>Merpago*victoriabelenflor</t>
        </is>
      </c>
      <c r="C80" s="64" t="inlineStr">
        <is>
          <t>Dario F. Stirparo (2473)</t>
        </is>
      </c>
      <c r="D80" s="65" t="n">
        <v>16048.5</v>
      </c>
      <c r="E80" s="66" t="inlineStr">
        <is>
          <t>$</t>
        </is>
      </c>
      <c r="F80" s="88" t="inlineStr">
        <is>
          <t>OTROS</t>
        </is>
      </c>
      <c r="G80" s="64" t="inlineStr"/>
      <c r="H80" s="66" t="inlineStr">
        <is>
          <t>No</t>
        </is>
      </c>
    </row>
    <row r="81">
      <c r="A81" s="64" t="inlineStr">
        <is>
          <t>11/04/2026</t>
        </is>
      </c>
      <c r="B81" s="64" t="inlineStr">
        <is>
          <t>Merpago*rapanui</t>
        </is>
      </c>
      <c r="C81" s="64" t="inlineStr">
        <is>
          <t>Dario F. Stirparo (2473)</t>
        </is>
      </c>
      <c r="D81" s="65" t="n">
        <v>21000</v>
      </c>
      <c r="E81" s="66" t="inlineStr">
        <is>
          <t>$</t>
        </is>
      </c>
      <c r="F81" s="89" t="inlineStr">
        <is>
          <t>RESTAURANTES</t>
        </is>
      </c>
      <c r="G81" s="64" t="inlineStr"/>
      <c r="H81" s="66" t="inlineStr">
        <is>
          <t>No</t>
        </is>
      </c>
    </row>
    <row r="82">
      <c r="A82" s="64" t="inlineStr">
        <is>
          <t>11/04/2026</t>
        </is>
      </c>
      <c r="B82" s="64" t="inlineStr">
        <is>
          <t>Giorgio beneti &amp; justa os</t>
        </is>
      </c>
      <c r="C82" s="64" t="inlineStr">
        <is>
          <t>Dario F. Stirparo (2473)</t>
        </is>
      </c>
      <c r="D82" s="65" t="n">
        <v>23985</v>
      </c>
      <c r="E82" s="66" t="inlineStr">
        <is>
          <t>$</t>
        </is>
      </c>
      <c r="F82" s="67" t="inlineStr">
        <is>
          <t>CUOTAS</t>
        </is>
      </c>
      <c r="G82" s="64" t="inlineStr">
        <is>
          <t>Cuota 1 de 6</t>
        </is>
      </c>
      <c r="H82" s="68" t="inlineStr">
        <is>
          <t>Sí</t>
        </is>
      </c>
    </row>
    <row r="83">
      <c r="A83" s="64" t="inlineStr">
        <is>
          <t>11/04/2026</t>
        </is>
      </c>
      <c r="B83" s="64" t="inlineStr">
        <is>
          <t>La veneciana</t>
        </is>
      </c>
      <c r="C83" s="64" t="inlineStr">
        <is>
          <t>Dario F. Stirparo (2473)</t>
        </is>
      </c>
      <c r="D83" s="65" t="n">
        <v>35900</v>
      </c>
      <c r="E83" s="66" t="inlineStr">
        <is>
          <t>$</t>
        </is>
      </c>
      <c r="F83" s="89" t="inlineStr">
        <is>
          <t>RESTAURANTES</t>
        </is>
      </c>
      <c r="G83" s="64" t="inlineStr"/>
      <c r="H83" s="66" t="inlineStr">
        <is>
          <t>No</t>
        </is>
      </c>
    </row>
    <row r="84">
      <c r="A84" s="64" t="inlineStr">
        <is>
          <t>14/04/2026</t>
        </is>
      </c>
      <c r="B84" s="64" t="inlineStr">
        <is>
          <t>Merpago*nestorhoraciogarc</t>
        </is>
      </c>
      <c r="C84" s="64" t="inlineStr">
        <is>
          <t>Dario F. Stirparo (2473)</t>
        </is>
      </c>
      <c r="D84" s="65" t="n">
        <v>37446.5</v>
      </c>
      <c r="E84" s="66" t="inlineStr">
        <is>
          <t>$</t>
        </is>
      </c>
      <c r="F84" s="91" t="inlineStr">
        <is>
          <t>SERVICIO DOMÉSTICO</t>
        </is>
      </c>
      <c r="G84" s="64" t="inlineStr"/>
      <c r="H84" s="66" t="inlineStr">
        <is>
          <t>No</t>
        </is>
      </c>
    </row>
    <row r="85">
      <c r="A85" s="64" t="inlineStr">
        <is>
          <t>14/04/2026</t>
        </is>
      </c>
      <c r="B85" s="64" t="inlineStr">
        <is>
          <t>Farmacity 35</t>
        </is>
      </c>
      <c r="C85" s="64" t="inlineStr">
        <is>
          <t>Dario F. Stirparo (2473)</t>
        </is>
      </c>
      <c r="D85" s="65" t="n">
        <v>31903.31</v>
      </c>
      <c r="E85" s="66" t="inlineStr">
        <is>
          <t>$</t>
        </is>
      </c>
      <c r="F85" s="73" t="inlineStr">
        <is>
          <t>SALUD</t>
        </is>
      </c>
      <c r="G85" s="64" t="inlineStr"/>
      <c r="H85" s="66" t="inlineStr">
        <is>
          <t>No</t>
        </is>
      </c>
    </row>
    <row r="86">
      <c r="A86" s="64" t="inlineStr">
        <is>
          <t>14/04/2026</t>
        </is>
      </c>
      <c r="B86" s="64" t="inlineStr">
        <is>
          <t>The one resto bar</t>
        </is>
      </c>
      <c r="C86" s="64" t="inlineStr">
        <is>
          <t>Dario F. Stirparo (2473)</t>
        </is>
      </c>
      <c r="D86" s="65" t="n">
        <v>6000</v>
      </c>
      <c r="E86" s="66" t="inlineStr">
        <is>
          <t>$</t>
        </is>
      </c>
      <c r="F86" s="89" t="inlineStr">
        <is>
          <t>RESTAURANTES</t>
        </is>
      </c>
      <c r="G86" s="64" t="inlineStr"/>
      <c r="H86" s="66" t="inlineStr">
        <is>
          <t>No</t>
        </is>
      </c>
    </row>
    <row r="87">
      <c r="A87" s="64" t="inlineStr">
        <is>
          <t>15/04/2026</t>
        </is>
      </c>
      <c r="B87" s="64" t="inlineStr">
        <is>
          <t>Merpago*cristinaaliciairi</t>
        </is>
      </c>
      <c r="C87" s="64" t="inlineStr">
        <is>
          <t>Dario F. Stirparo (2473)</t>
        </is>
      </c>
      <c r="D87" s="65" t="n">
        <v>10699</v>
      </c>
      <c r="E87" s="66" t="inlineStr">
        <is>
          <t>$</t>
        </is>
      </c>
      <c r="F87" s="88" t="inlineStr">
        <is>
          <t>OTROS</t>
        </is>
      </c>
      <c r="G87" s="64" t="inlineStr"/>
      <c r="H87" s="66" t="inlineStr">
        <is>
          <t>No</t>
        </is>
      </c>
    </row>
    <row r="88">
      <c r="A88" s="64" t="inlineStr">
        <is>
          <t>15/04/2026</t>
        </is>
      </c>
      <c r="B88" s="64" t="inlineStr">
        <is>
          <t>Merengue</t>
        </is>
      </c>
      <c r="C88" s="64" t="inlineStr">
        <is>
          <t>Dario F. Stirparo (2473)</t>
        </is>
      </c>
      <c r="D88" s="65" t="n">
        <v>5000</v>
      </c>
      <c r="E88" s="66" t="inlineStr">
        <is>
          <t>$</t>
        </is>
      </c>
      <c r="F88" s="89" t="inlineStr">
        <is>
          <t>RESTAURANTES</t>
        </is>
      </c>
      <c r="G88" s="64" t="inlineStr"/>
      <c r="H88" s="66" t="inlineStr">
        <is>
          <t>No</t>
        </is>
      </c>
    </row>
    <row r="89">
      <c r="A89" s="64" t="inlineStr">
        <is>
          <t>16/04/2026</t>
        </is>
      </c>
      <c r="B89" s="64" t="inlineStr">
        <is>
          <t>Farmacity 25</t>
        </is>
      </c>
      <c r="C89" s="64" t="inlineStr">
        <is>
          <t>Dario F. Stirparo (2473)</t>
        </is>
      </c>
      <c r="D89" s="65" t="n">
        <v>5027.15</v>
      </c>
      <c r="E89" s="66" t="inlineStr">
        <is>
          <t>$</t>
        </is>
      </c>
      <c r="F89" s="73" t="inlineStr">
        <is>
          <t>SALUD</t>
        </is>
      </c>
      <c r="G89" s="64" t="inlineStr"/>
      <c r="H89" s="66" t="inlineStr">
        <is>
          <t>No</t>
        </is>
      </c>
    </row>
    <row r="90">
      <c r="A90" s="64" t="inlineStr">
        <is>
          <t>17/04/2026</t>
        </is>
      </c>
      <c r="B90" s="64" t="inlineStr">
        <is>
          <t>Merpago*marcelaalejandras</t>
        </is>
      </c>
      <c r="C90" s="64" t="inlineStr">
        <is>
          <t>Dario F. Stirparo (2473)</t>
        </is>
      </c>
      <c r="D90" s="65" t="n">
        <v>36376.6</v>
      </c>
      <c r="E90" s="66" t="inlineStr">
        <is>
          <t>$</t>
        </is>
      </c>
      <c r="F90" s="91" t="inlineStr">
        <is>
          <t>SERVICIO DOMÉSTICO</t>
        </is>
      </c>
      <c r="G90" s="64" t="inlineStr"/>
      <c r="H90" s="66" t="inlineStr">
        <is>
          <t>No</t>
        </is>
      </c>
    </row>
    <row r="91">
      <c r="A91" s="64" t="inlineStr">
        <is>
          <t>18/04/2026</t>
        </is>
      </c>
      <c r="B91" s="64" t="inlineStr">
        <is>
          <t>Merpago*nestorhoraciogarc</t>
        </is>
      </c>
      <c r="C91" s="64" t="inlineStr">
        <is>
          <t>Dario F. Stirparo (2473)</t>
        </is>
      </c>
      <c r="D91" s="65" t="n">
        <v>31027.1</v>
      </c>
      <c r="E91" s="66" t="inlineStr">
        <is>
          <t>$</t>
        </is>
      </c>
      <c r="F91" s="91" t="inlineStr">
        <is>
          <t>SERVICIO DOMÉSTICO</t>
        </is>
      </c>
      <c r="G91" s="64" t="inlineStr"/>
      <c r="H91" s="66" t="inlineStr">
        <is>
          <t>No</t>
        </is>
      </c>
    </row>
    <row r="92">
      <c r="A92" s="64" t="inlineStr">
        <is>
          <t>18/04/2026</t>
        </is>
      </c>
      <c r="B92" s="64" t="inlineStr">
        <is>
          <t>Merpago*cristianfedericob</t>
        </is>
      </c>
      <c r="C92" s="64" t="inlineStr">
        <is>
          <t>Dario F. Stirparo (2473)</t>
        </is>
      </c>
      <c r="D92" s="65" t="n">
        <v>18616.26</v>
      </c>
      <c r="E92" s="66" t="inlineStr">
        <is>
          <t>$</t>
        </is>
      </c>
      <c r="F92" s="91" t="inlineStr">
        <is>
          <t>SERVICIO DOMÉSTICO</t>
        </is>
      </c>
      <c r="G92" s="64" t="inlineStr"/>
      <c r="H92" s="66" t="inlineStr">
        <is>
          <t>No</t>
        </is>
      </c>
    </row>
    <row r="93">
      <c r="A93" s="64" t="inlineStr">
        <is>
          <t>18/04/2026</t>
        </is>
      </c>
      <c r="B93" s="64" t="inlineStr">
        <is>
          <t>Merpago*susanabeatrizgime</t>
        </is>
      </c>
      <c r="C93" s="64" t="inlineStr">
        <is>
          <t>Dario F. Stirparo (2473)</t>
        </is>
      </c>
      <c r="D93" s="65" t="n">
        <v>42796</v>
      </c>
      <c r="E93" s="66" t="inlineStr">
        <is>
          <t>$</t>
        </is>
      </c>
      <c r="F93" s="91" t="inlineStr">
        <is>
          <t>SERVICIO DOMÉSTICO</t>
        </is>
      </c>
      <c r="G93" s="64" t="inlineStr"/>
      <c r="H93" s="66" t="inlineStr">
        <is>
          <t>No</t>
        </is>
      </c>
    </row>
    <row r="94">
      <c r="A94" s="64" t="inlineStr">
        <is>
          <t>18/04/2026</t>
        </is>
      </c>
      <c r="B94" s="64" t="inlineStr">
        <is>
          <t>Merpago*elgransabor</t>
        </is>
      </c>
      <c r="C94" s="64" t="inlineStr">
        <is>
          <t>Dario F. Stirparo (2473)</t>
        </is>
      </c>
      <c r="D94" s="65" t="n">
        <v>19000</v>
      </c>
      <c r="E94" s="66" t="inlineStr">
        <is>
          <t>$</t>
        </is>
      </c>
      <c r="F94" s="89" t="inlineStr">
        <is>
          <t>RESTAURANTES</t>
        </is>
      </c>
      <c r="G94" s="64" t="inlineStr"/>
      <c r="H94" s="66" t="inlineStr">
        <is>
          <t>No</t>
        </is>
      </c>
    </row>
    <row r="95">
      <c r="A95" s="64" t="inlineStr">
        <is>
          <t>23/04/2026</t>
        </is>
      </c>
      <c r="B95" s="64" t="inlineStr">
        <is>
          <t>Merpago*marcelaalejandras</t>
        </is>
      </c>
      <c r="C95" s="64" t="inlineStr">
        <is>
          <t>Dario F. Stirparo (2473)</t>
        </is>
      </c>
      <c r="D95" s="65" t="n">
        <v>36376.6</v>
      </c>
      <c r="E95" s="66" t="inlineStr">
        <is>
          <t>$</t>
        </is>
      </c>
      <c r="F95" s="91" t="inlineStr">
        <is>
          <t>SERVICIO DOMÉSTICO</t>
        </is>
      </c>
      <c r="G95" s="64" t="inlineStr"/>
      <c r="H95" s="66" t="inlineStr">
        <is>
          <t>No</t>
        </is>
      </c>
    </row>
    <row r="96">
      <c r="A96" s="64" t="inlineStr">
        <is>
          <t>24/04/2026</t>
        </is>
      </c>
      <c r="B96" s="64" t="inlineStr">
        <is>
          <t>Merpago*municipalidaddegr</t>
        </is>
      </c>
      <c r="C96" s="64" t="inlineStr">
        <is>
          <t>Dario F. Stirparo (2473)</t>
        </is>
      </c>
      <c r="D96" s="65" t="n">
        <v>15415.2</v>
      </c>
      <c r="E96" s="66" t="inlineStr">
        <is>
          <t>$</t>
        </is>
      </c>
      <c r="F96" s="74" t="inlineStr">
        <is>
          <t>IMPUESTOS Y CARGOS</t>
        </is>
      </c>
      <c r="G96" s="64" t="inlineStr"/>
      <c r="H96" s="66" t="inlineStr">
        <is>
          <t>No</t>
        </is>
      </c>
    </row>
    <row r="97">
      <c r="A97" s="64" t="inlineStr">
        <is>
          <t>24/04/2026</t>
        </is>
      </c>
      <c r="B97" s="64" t="inlineStr">
        <is>
          <t>Merengue</t>
        </is>
      </c>
      <c r="C97" s="64" t="inlineStr">
        <is>
          <t>Dario F. Stirparo (2473)</t>
        </is>
      </c>
      <c r="D97" s="65" t="n">
        <v>8800</v>
      </c>
      <c r="E97" s="66" t="inlineStr">
        <is>
          <t>$</t>
        </is>
      </c>
      <c r="F97" s="89" t="inlineStr">
        <is>
          <t>RESTAURANTES</t>
        </is>
      </c>
      <c r="G97" s="64" t="inlineStr"/>
      <c r="H97" s="66" t="inlineStr">
        <is>
          <t>No</t>
        </is>
      </c>
    </row>
    <row r="98">
      <c r="A98" s="64" t="inlineStr">
        <is>
          <t>25/04/2026</t>
        </is>
      </c>
      <c r="B98" s="64" t="inlineStr">
        <is>
          <t>Merpago*nicolasrubenricom</t>
        </is>
      </c>
      <c r="C98" s="64" t="inlineStr">
        <is>
          <t>Dario F. Stirparo (2473)</t>
        </is>
      </c>
      <c r="D98" s="65" t="n">
        <v>31027.1</v>
      </c>
      <c r="E98" s="66" t="inlineStr">
        <is>
          <t>$</t>
        </is>
      </c>
      <c r="F98" s="91" t="inlineStr">
        <is>
          <t>SERVICIO DOMÉSTICO</t>
        </is>
      </c>
      <c r="G98" s="64" t="inlineStr"/>
      <c r="H98" s="66" t="inlineStr">
        <is>
          <t>No</t>
        </is>
      </c>
    </row>
    <row r="99">
      <c r="A99" s="64" t="inlineStr">
        <is>
          <t>25/04/2026</t>
        </is>
      </c>
      <c r="B99" s="64" t="inlineStr">
        <is>
          <t>Merpago*clockresto</t>
        </is>
      </c>
      <c r="C99" s="64" t="inlineStr">
        <is>
          <t>Dario F. Stirparo (2473)</t>
        </is>
      </c>
      <c r="D99" s="65" t="n">
        <v>37800</v>
      </c>
      <c r="E99" s="66" t="inlineStr">
        <is>
          <t>$</t>
        </is>
      </c>
      <c r="F99" s="89" t="inlineStr">
        <is>
          <t>RESTAURANTES</t>
        </is>
      </c>
      <c r="G99" s="64" t="inlineStr"/>
      <c r="H99" s="66" t="inlineStr">
        <is>
          <t>No</t>
        </is>
      </c>
    </row>
    <row r="100">
      <c r="A100" s="64" t="inlineStr">
        <is>
          <t>25/04/2026</t>
        </is>
      </c>
      <c r="B100" s="64" t="inlineStr">
        <is>
          <t>Quotidiano-quotidiano</t>
        </is>
      </c>
      <c r="C100" s="64" t="inlineStr">
        <is>
          <t>Dario F. Stirparo (2473)</t>
        </is>
      </c>
      <c r="D100" s="65" t="n">
        <v>72050</v>
      </c>
      <c r="E100" s="66" t="inlineStr">
        <is>
          <t>$</t>
        </is>
      </c>
      <c r="F100" s="89" t="inlineStr">
        <is>
          <t>RESTAURANTES</t>
        </is>
      </c>
      <c r="G100" s="64" t="inlineStr"/>
      <c r="H100" s="66" t="inlineStr">
        <is>
          <t>No</t>
        </is>
      </c>
    </row>
    <row r="101">
      <c r="A101" s="64" t="inlineStr">
        <is>
          <t>26/04/2026</t>
        </is>
      </c>
      <c r="B101" s="64" t="inlineStr">
        <is>
          <t>La princesa lomas</t>
        </is>
      </c>
      <c r="C101" s="64" t="inlineStr">
        <is>
          <t>Dario F. Stirparo (2473)</t>
        </is>
      </c>
      <c r="D101" s="65" t="n">
        <v>6300</v>
      </c>
      <c r="E101" s="66" t="inlineStr">
        <is>
          <t>$</t>
        </is>
      </c>
      <c r="F101" s="89" t="inlineStr">
        <is>
          <t>RESTAURANTES</t>
        </is>
      </c>
      <c r="G101" s="64" t="inlineStr"/>
      <c r="H101" s="66" t="inlineStr">
        <is>
          <t>No</t>
        </is>
      </c>
    </row>
    <row r="102">
      <c r="A102" s="64" t="inlineStr">
        <is>
          <t>27/04/2026</t>
        </is>
      </c>
      <c r="B102" s="64" t="inlineStr">
        <is>
          <t>Merpago*marielafernandabi</t>
        </is>
      </c>
      <c r="C102" s="64" t="inlineStr">
        <is>
          <t>Dario F. Stirparo (2473)</t>
        </is>
      </c>
      <c r="D102" s="65" t="n">
        <v>7489.3</v>
      </c>
      <c r="E102" s="66" t="inlineStr">
        <is>
          <t>$</t>
        </is>
      </c>
      <c r="F102" s="88" t="inlineStr">
        <is>
          <t>OTROS</t>
        </is>
      </c>
      <c r="G102" s="64" t="inlineStr"/>
      <c r="H102" s="66" t="inlineStr">
        <is>
          <t>No</t>
        </is>
      </c>
    </row>
    <row r="103">
      <c r="A103" s="64" t="inlineStr">
        <is>
          <t>27/04/2026</t>
        </is>
      </c>
      <c r="B103" s="64" t="inlineStr">
        <is>
          <t>Merpago*andreavaleriaabuh</t>
        </is>
      </c>
      <c r="C103" s="64" t="inlineStr">
        <is>
          <t>Dario F. Stirparo (2473)</t>
        </is>
      </c>
      <c r="D103" s="65" t="n">
        <v>855.92</v>
      </c>
      <c r="E103" s="66" t="inlineStr">
        <is>
          <t>$</t>
        </is>
      </c>
      <c r="F103" s="88" t="inlineStr">
        <is>
          <t>OTROS</t>
        </is>
      </c>
      <c r="G103" s="64" t="inlineStr"/>
      <c r="H103" s="66" t="inlineStr">
        <is>
          <t>No</t>
        </is>
      </c>
    </row>
    <row r="104">
      <c r="A104" s="64" t="inlineStr">
        <is>
          <t>28/04/2026</t>
        </is>
      </c>
      <c r="B104" s="64" t="inlineStr">
        <is>
          <t>Merpago*gracielacristinac</t>
        </is>
      </c>
      <c r="C104" s="64" t="inlineStr">
        <is>
          <t>Dario F. Stirparo (2473)</t>
        </is>
      </c>
      <c r="D104" s="65" t="n">
        <v>6205.42</v>
      </c>
      <c r="E104" s="66" t="inlineStr">
        <is>
          <t>$</t>
        </is>
      </c>
      <c r="F104" s="88" t="inlineStr">
        <is>
          <t>OTROS</t>
        </is>
      </c>
      <c r="G104" s="64" t="inlineStr"/>
      <c r="H104" s="66" t="inlineStr">
        <is>
          <t>No</t>
        </is>
      </c>
    </row>
    <row r="105">
      <c r="A105" s="64" t="inlineStr">
        <is>
          <t>17/12/2024</t>
        </is>
      </c>
      <c r="B105" s="64" t="inlineStr">
        <is>
          <t>Lomitas street</t>
        </is>
      </c>
      <c r="C105" s="64" t="inlineStr">
        <is>
          <t>Dario F. Stirparo (4917)</t>
        </is>
      </c>
      <c r="D105" s="65" t="n">
        <v>8050</v>
      </c>
      <c r="E105" s="66" t="inlineStr">
        <is>
          <t>$</t>
        </is>
      </c>
      <c r="F105" s="67" t="inlineStr">
        <is>
          <t>CUOTAS</t>
        </is>
      </c>
      <c r="G105" s="64" t="inlineStr">
        <is>
          <t>Cuota 17 de 18</t>
        </is>
      </c>
      <c r="H105" s="68" t="inlineStr">
        <is>
          <t>Sí</t>
        </is>
      </c>
    </row>
    <row r="106">
      <c r="A106" s="64" t="inlineStr">
        <is>
          <t>30/04/2026</t>
        </is>
      </c>
      <c r="B106" s="64" t="inlineStr">
        <is>
          <t>Impuesto de sellos $</t>
        </is>
      </c>
      <c r="C106" s="64" t="inlineStr">
        <is>
          <t>Cargos generales</t>
        </is>
      </c>
      <c r="D106" s="65" t="n">
        <v>18672.12</v>
      </c>
      <c r="E106" s="66" t="inlineStr">
        <is>
          <t>$</t>
        </is>
      </c>
      <c r="F106" s="74" t="inlineStr">
        <is>
          <t>IMPUESTOS Y CARGOS</t>
        </is>
      </c>
      <c r="G106" s="64" t="inlineStr"/>
      <c r="H106" s="66" t="inlineStr">
        <is>
          <t>No</t>
        </is>
      </c>
    </row>
    <row r="107">
      <c r="A107" s="64" t="inlineStr">
        <is>
          <t>30/04/2026</t>
        </is>
      </c>
      <c r="B107" s="64" t="inlineStr">
        <is>
          <t>Impuesto de sellos p $</t>
        </is>
      </c>
      <c r="C107" s="64" t="inlineStr">
        <is>
          <t>Cargos generales</t>
        </is>
      </c>
      <c r="D107" s="65" t="n">
        <v>431.37</v>
      </c>
      <c r="E107" s="66" t="inlineStr">
        <is>
          <t>$</t>
        </is>
      </c>
      <c r="F107" s="74" t="inlineStr">
        <is>
          <t>IMPUESTOS Y CARGOS</t>
        </is>
      </c>
      <c r="G107" s="64" t="inlineStr"/>
      <c r="H107" s="66" t="inlineStr">
        <is>
          <t>No</t>
        </is>
      </c>
    </row>
    <row r="108">
      <c r="A108" s="64" t="inlineStr">
        <is>
          <t>30/04/2026</t>
        </is>
      </c>
      <c r="B108" s="64" t="inlineStr">
        <is>
          <t>Db.rg 5617 30% ( 36151,17 )</t>
        </is>
      </c>
      <c r="C108" s="64" t="inlineStr">
        <is>
          <t>Cargos generales</t>
        </is>
      </c>
      <c r="D108" s="65" t="n">
        <v>10845.35</v>
      </c>
      <c r="E108" s="66" t="inlineStr">
        <is>
          <t>$</t>
        </is>
      </c>
      <c r="F108" s="74" t="inlineStr">
        <is>
          <t>IMPUESTOS Y CARGOS</t>
        </is>
      </c>
      <c r="G108" s="64" t="inlineStr"/>
      <c r="H108" s="66" t="inlineStr">
        <is>
          <t>No</t>
        </is>
      </c>
    </row>
    <row r="109">
      <c r="A109" s="93" t="inlineStr">
        <is>
          <t>TOTAL</t>
        </is>
      </c>
      <c r="D109" s="94" t="n">
        <v>1575113.460000001</v>
      </c>
      <c r="E109" s="95" t="inlineStr">
        <is>
          <t>U$S 25.98</t>
        </is>
      </c>
    </row>
  </sheetData>
  <autoFilter ref="A2:H108"/>
  <mergeCells count="2">
    <mergeCell ref="A109:C10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96" t="inlineStr">
        <is>
          <t>CUOTAS ACTIVAS — PLANES DE PAGO EN VIGENCIA</t>
        </is>
      </c>
    </row>
    <row r="2" ht="18" customHeight="1">
      <c r="A2" s="97" t="inlineStr">
        <is>
          <t>Fecha</t>
        </is>
      </c>
      <c r="B2" s="97" t="inlineStr">
        <is>
          <t>Descripción</t>
        </is>
      </c>
      <c r="C2" s="97" t="inlineStr">
        <is>
          <t>Tarjeta</t>
        </is>
      </c>
      <c r="D2" s="97" t="inlineStr">
        <is>
          <t>Cuota Actual</t>
        </is>
      </c>
      <c r="E2" s="97" t="inlineStr">
        <is>
          <t>Total Cuotas</t>
        </is>
      </c>
      <c r="F2" s="97" t="inlineStr">
        <is>
          <t>Importe/Cuota</t>
        </is>
      </c>
      <c r="G2" s="97" t="inlineStr">
        <is>
          <t>Total Compra Est.</t>
        </is>
      </c>
    </row>
    <row r="3" ht="15" customHeight="1">
      <c r="A3" s="64" t="inlineStr">
        <is>
          <t>27/09/2025</t>
        </is>
      </c>
      <c r="B3" s="64" t="inlineStr">
        <is>
          <t>Merpago*montagne</t>
        </is>
      </c>
      <c r="C3" s="64" t="inlineStr">
        <is>
          <t>AMEX 4100</t>
        </is>
      </c>
      <c r="D3" s="66" t="n">
        <v>8</v>
      </c>
      <c r="E3" s="66" t="n">
        <v>12</v>
      </c>
      <c r="F3" s="65" t="n">
        <v>14736.41</v>
      </c>
      <c r="G3" s="65" t="n">
        <v>176836.92</v>
      </c>
    </row>
    <row r="4" ht="15" customHeight="1">
      <c r="A4" s="64" t="inlineStr">
        <is>
          <t>13/12/2025</t>
        </is>
      </c>
      <c r="B4" s="64" t="inlineStr">
        <is>
          <t>Diego perfumes</t>
        </is>
      </c>
      <c r="C4" s="64" t="inlineStr">
        <is>
          <t>AMEX 4100</t>
        </is>
      </c>
      <c r="D4" s="66" t="n">
        <v>5</v>
      </c>
      <c r="E4" s="66" t="n">
        <v>6</v>
      </c>
      <c r="F4" s="65" t="n">
        <v>18112</v>
      </c>
      <c r="G4" s="65" t="n">
        <v>108672</v>
      </c>
    </row>
    <row r="5" ht="15" customHeight="1">
      <c r="A5" s="64" t="inlineStr">
        <is>
          <t>13/12/2025</t>
        </is>
      </c>
      <c r="B5" s="64" t="inlineStr">
        <is>
          <t>Marroquineria doga p</t>
        </is>
      </c>
      <c r="C5" s="64" t="inlineStr">
        <is>
          <t>AMEX 4100</t>
        </is>
      </c>
      <c r="D5" s="66" t="n">
        <v>5</v>
      </c>
      <c r="E5" s="66" t="n">
        <v>6</v>
      </c>
      <c r="F5" s="65" t="n">
        <v>21650</v>
      </c>
      <c r="G5" s="65" t="n">
        <v>129900</v>
      </c>
    </row>
    <row r="6" ht="15" customHeight="1">
      <c r="A6" s="64" t="inlineStr">
        <is>
          <t>22/03/2026</t>
        </is>
      </c>
      <c r="B6" s="64" t="inlineStr">
        <is>
          <t>Merpago*superdia</t>
        </is>
      </c>
      <c r="C6" s="64" t="inlineStr">
        <is>
          <t>VISA 2473</t>
        </is>
      </c>
      <c r="D6" s="66" t="n">
        <v>2</v>
      </c>
      <c r="E6" s="66" t="n">
        <v>3</v>
      </c>
      <c r="F6" s="65" t="n">
        <v>13469.16</v>
      </c>
      <c r="G6" s="65" t="n">
        <v>40407.48</v>
      </c>
    </row>
    <row r="7" ht="15" customHeight="1">
      <c r="A7" s="64" t="inlineStr">
        <is>
          <t>29/03/2026</t>
        </is>
      </c>
      <c r="B7" s="64" t="inlineStr">
        <is>
          <t>Merpago*lucianoagustinabu</t>
        </is>
      </c>
      <c r="C7" s="64" t="inlineStr">
        <is>
          <t>VISA 2473</t>
        </is>
      </c>
      <c r="D7" s="66" t="n">
        <v>1</v>
      </c>
      <c r="E7" s="66" t="n">
        <v>2</v>
      </c>
      <c r="F7" s="65" t="n">
        <v>6525.32</v>
      </c>
      <c r="G7" s="65" t="n">
        <v>13050.64</v>
      </c>
    </row>
    <row r="8" ht="15" customHeight="1">
      <c r="A8" s="64" t="inlineStr">
        <is>
          <t>12/04/2026</t>
        </is>
      </c>
      <c r="B8" s="64" t="inlineStr">
        <is>
          <t>Merpago*frieraclaudioad</t>
        </is>
      </c>
      <c r="C8" s="64" t="inlineStr">
        <is>
          <t>VISA 2473</t>
        </is>
      </c>
      <c r="D8" s="66" t="n">
        <v>1</v>
      </c>
      <c r="E8" s="66" t="n">
        <v>2</v>
      </c>
      <c r="F8" s="65" t="n">
        <v>5648.64</v>
      </c>
      <c r="G8" s="65" t="n">
        <v>11297.28</v>
      </c>
    </row>
    <row r="9" ht="15" customHeight="1">
      <c r="A9" s="64" t="inlineStr">
        <is>
          <t>27/09/2025</t>
        </is>
      </c>
      <c r="B9" s="64" t="inlineStr">
        <is>
          <t>Merpago*montagne</t>
        </is>
      </c>
      <c r="C9" s="64" t="inlineStr">
        <is>
          <t>VISA 2473</t>
        </is>
      </c>
      <c r="D9" s="66" t="n">
        <v>7</v>
      </c>
      <c r="E9" s="66" t="n">
        <v>12</v>
      </c>
      <c r="F9" s="65" t="n">
        <v>8447.75</v>
      </c>
      <c r="G9" s="65" t="n">
        <v>101373</v>
      </c>
    </row>
    <row r="10" ht="15" customHeight="1">
      <c r="A10" s="64" t="inlineStr">
        <is>
          <t>27/09/2025</t>
        </is>
      </c>
      <c r="B10" s="64" t="inlineStr">
        <is>
          <t>Merpago*montagne</t>
        </is>
      </c>
      <c r="C10" s="64" t="inlineStr">
        <is>
          <t>VISA 2473</t>
        </is>
      </c>
      <c r="D10" s="66" t="n">
        <v>7</v>
      </c>
      <c r="E10" s="66" t="n">
        <v>12</v>
      </c>
      <c r="F10" s="65" t="n">
        <v>19590.07</v>
      </c>
      <c r="G10" s="65" t="n">
        <v>235080.84</v>
      </c>
    </row>
    <row r="11" ht="15" customHeight="1">
      <c r="A11" s="64" t="inlineStr">
        <is>
          <t>08/03/2026</t>
        </is>
      </c>
      <c r="B11" s="64" t="inlineStr">
        <is>
          <t>Zara</t>
        </is>
      </c>
      <c r="C11" s="64" t="inlineStr">
        <is>
          <t>VISA 2473</t>
        </is>
      </c>
      <c r="D11" s="66" t="n">
        <v>2</v>
      </c>
      <c r="E11" s="66" t="n">
        <v>3</v>
      </c>
      <c r="F11" s="65" t="n">
        <v>31336.66</v>
      </c>
      <c r="G11" s="65" t="n">
        <v>94009.98</v>
      </c>
    </row>
    <row r="12" ht="15" customHeight="1">
      <c r="A12" s="64" t="inlineStr">
        <is>
          <t>25/03/2026</t>
        </is>
      </c>
      <c r="B12" s="64" t="inlineStr">
        <is>
          <t>Shop gallery</t>
        </is>
      </c>
      <c r="C12" s="64" t="inlineStr">
        <is>
          <t>VISA 2473</t>
        </is>
      </c>
      <c r="D12" s="66" t="n">
        <v>2</v>
      </c>
      <c r="E12" s="66" t="n">
        <v>12</v>
      </c>
      <c r="F12" s="65" t="n">
        <v>4158.33</v>
      </c>
      <c r="G12" s="65" t="n">
        <v>49899.96</v>
      </c>
    </row>
    <row r="13" ht="15" customHeight="1">
      <c r="A13" s="64" t="inlineStr">
        <is>
          <t>02/04/2026</t>
        </is>
      </c>
      <c r="B13" s="64" t="inlineStr">
        <is>
          <t>Prot robo celu0000000634964-034-001</t>
        </is>
      </c>
      <c r="C13" s="64" t="inlineStr">
        <is>
          <t>VISA 2473</t>
        </is>
      </c>
      <c r="D13" s="66" t="n">
        <v>34</v>
      </c>
      <c r="E13" s="66" t="n">
        <v>1</v>
      </c>
      <c r="F13" s="65" t="n">
        <v>470.98</v>
      </c>
      <c r="G13" s="65" t="n">
        <v>470.98</v>
      </c>
    </row>
    <row r="14" ht="15" customHeight="1">
      <c r="A14" s="64" t="inlineStr">
        <is>
          <t>03/04/2026</t>
        </is>
      </c>
      <c r="B14" s="64" t="inlineStr">
        <is>
          <t>Essen</t>
        </is>
      </c>
      <c r="C14" s="64" t="inlineStr">
        <is>
          <t>VISA 2473</t>
        </is>
      </c>
      <c r="D14" s="66" t="n">
        <v>1</v>
      </c>
      <c r="E14" s="66" t="n">
        <v>12</v>
      </c>
      <c r="F14" s="65" t="n">
        <v>23334.71</v>
      </c>
      <c r="G14" s="65" t="n">
        <v>280016.52</v>
      </c>
    </row>
    <row r="15" ht="15" customHeight="1">
      <c r="A15" s="64" t="inlineStr">
        <is>
          <t>04/04/2026</t>
        </is>
      </c>
      <c r="B15" s="64" t="inlineStr">
        <is>
          <t>Coop obrera ltda de cons</t>
        </is>
      </c>
      <c r="C15" s="64" t="inlineStr">
        <is>
          <t>VISA 2473</t>
        </is>
      </c>
      <c r="D15" s="66" t="n">
        <v>1</v>
      </c>
      <c r="E15" s="66" t="n">
        <v>3</v>
      </c>
      <c r="F15" s="65" t="n">
        <v>18666.34</v>
      </c>
      <c r="G15" s="65" t="n">
        <v>55999.02</v>
      </c>
    </row>
    <row r="16" ht="15" customHeight="1">
      <c r="A16" s="64" t="inlineStr">
        <is>
          <t>11/04/2026</t>
        </is>
      </c>
      <c r="B16" s="64" t="inlineStr">
        <is>
          <t>Giorgio beneti &amp; justa os</t>
        </is>
      </c>
      <c r="C16" s="64" t="inlineStr">
        <is>
          <t>VISA 2473</t>
        </is>
      </c>
      <c r="D16" s="66" t="n">
        <v>1</v>
      </c>
      <c r="E16" s="66" t="n">
        <v>6</v>
      </c>
      <c r="F16" s="65" t="n">
        <v>23985</v>
      </c>
      <c r="G16" s="65" t="n">
        <v>143910</v>
      </c>
    </row>
    <row r="17" ht="15" customHeight="1">
      <c r="A17" s="64" t="inlineStr">
        <is>
          <t>17/12/2024</t>
        </is>
      </c>
      <c r="B17" s="64" t="inlineStr">
        <is>
          <t>Lomitas street</t>
        </is>
      </c>
      <c r="C17" s="64" t="inlineStr">
        <is>
          <t>VISA 2473</t>
        </is>
      </c>
      <c r="D17" s="66" t="n">
        <v>17</v>
      </c>
      <c r="E17" s="66" t="n">
        <v>18</v>
      </c>
      <c r="F17" s="65" t="n">
        <v>8050</v>
      </c>
      <c r="G17" s="65" t="n">
        <v>144900</v>
      </c>
    </row>
    <row r="18" ht="15" customHeight="1">
      <c r="A18" s="64" t="inlineStr">
        <is>
          <t>22/10/2025</t>
        </is>
      </c>
      <c r="B18" s="64" t="inlineStr">
        <is>
          <t>MERPAGO*NTOMAC</t>
        </is>
      </c>
      <c r="C18" s="64" t="inlineStr">
        <is>
          <t>AMEX SANTANDER</t>
        </is>
      </c>
      <c r="D18" s="66" t="n">
        <v>7</v>
      </c>
      <c r="E18" s="66" t="n">
        <v>9</v>
      </c>
      <c r="F18" s="65" t="n">
        <v>16004.77</v>
      </c>
      <c r="G18" s="65" t="n">
        <v>144042.93</v>
      </c>
    </row>
    <row r="19">
      <c r="A19" s="98" t="inlineStr">
        <is>
          <t>TOTAL CUOTAS ESTE MES (16 planes)</t>
        </is>
      </c>
      <c r="F19" s="99" t="n">
        <v>234186.14</v>
      </c>
    </row>
  </sheetData>
  <mergeCells count="2">
    <mergeCell ref="A1:G1"/>
    <mergeCell ref="A19:E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6" customWidth="1" min="4" max="4"/>
    <col width="16" customWidth="1" min="5" max="5"/>
  </cols>
  <sheetData>
    <row r="1" ht="26" customHeight="1">
      <c r="A1" s="100" t="inlineStr">
        <is>
          <t>GASTOS FIJOS RECURRENTES — SERVICIOS / SEGUROS / ENTRETENIMIENTO / SALUD</t>
        </is>
      </c>
    </row>
    <row r="2" ht="18" customHeight="1">
      <c r="A2" s="78" t="inlineStr">
        <is>
          <t>Fecha</t>
        </is>
      </c>
      <c r="B2" s="78" t="inlineStr">
        <is>
          <t>Descripción</t>
        </is>
      </c>
      <c r="C2" s="78" t="inlineStr">
        <is>
          <t>Tarjeta</t>
        </is>
      </c>
      <c r="D2" s="78" t="inlineStr">
        <is>
          <t>Categoría</t>
        </is>
      </c>
      <c r="E2" s="78" t="inlineStr">
        <is>
          <t>Importe</t>
        </is>
      </c>
    </row>
    <row r="3" ht="15" customHeight="1">
      <c r="A3" s="64" t="inlineStr">
        <is>
          <t>17/04/2026</t>
        </is>
      </c>
      <c r="B3" s="64" t="inlineStr">
        <is>
          <t>Sancor cooperativa 3100--624801</t>
        </is>
      </c>
      <c r="C3" s="64" t="inlineStr">
        <is>
          <t>AMEX 4100</t>
        </is>
      </c>
      <c r="D3" s="101" t="inlineStr">
        <is>
          <t>SALUD</t>
        </is>
      </c>
      <c r="E3" s="65" t="n">
        <v>60467</v>
      </c>
    </row>
    <row r="4" ht="15" customHeight="1">
      <c r="A4" s="64" t="inlineStr">
        <is>
          <t>26/03/2026</t>
        </is>
      </c>
      <c r="B4" s="64" t="inlineStr">
        <is>
          <t>Splice.com* spli 5951</t>
        </is>
      </c>
      <c r="C4" s="64" t="inlineStr">
        <is>
          <t>VISA 2473</t>
        </is>
      </c>
      <c r="D4" s="102" t="inlineStr">
        <is>
          <t>ENTRETENIMIENTO</t>
        </is>
      </c>
      <c r="E4" s="82" t="n">
        <v>12.99</v>
      </c>
    </row>
    <row r="5" ht="15" customHeight="1">
      <c r="A5" s="64" t="inlineStr">
        <is>
          <t>29/03/2026</t>
        </is>
      </c>
      <c r="B5" s="64" t="inlineStr">
        <is>
          <t>Merpago*ebanxsa</t>
        </is>
      </c>
      <c r="C5" s="64" t="inlineStr">
        <is>
          <t>VISA 2473</t>
        </is>
      </c>
      <c r="D5" s="102" t="inlineStr">
        <is>
          <t>ENTRETENIMIENTO</t>
        </is>
      </c>
      <c r="E5" s="65" t="n">
        <v>5344</v>
      </c>
    </row>
    <row r="6" ht="15" customHeight="1">
      <c r="A6" s="64" t="inlineStr">
        <is>
          <t>30/03/2026</t>
        </is>
      </c>
      <c r="B6" s="64" t="inlineStr">
        <is>
          <t>Merpago*ebanxsa</t>
        </is>
      </c>
      <c r="C6" s="64" t="inlineStr">
        <is>
          <t>VISA 2473</t>
        </is>
      </c>
      <c r="D6" s="102" t="inlineStr">
        <is>
          <t>ENTRETENIMIENTO</t>
        </is>
      </c>
      <c r="E6" s="65" t="n">
        <v>6397</v>
      </c>
    </row>
    <row r="7" ht="15" customHeight="1">
      <c r="A7" s="64" t="inlineStr">
        <is>
          <t>12/04/2026</t>
        </is>
      </c>
      <c r="B7" s="64" t="inlineStr">
        <is>
          <t>Merpago*ebanxsa</t>
        </is>
      </c>
      <c r="C7" s="64" t="inlineStr">
        <is>
          <t>VISA 2473</t>
        </is>
      </c>
      <c r="D7" s="102" t="inlineStr">
        <is>
          <t>ENTRETENIMIENTO</t>
        </is>
      </c>
      <c r="E7" s="65" t="n">
        <v>3231</v>
      </c>
    </row>
    <row r="8" ht="15" customHeight="1">
      <c r="A8" s="64" t="inlineStr">
        <is>
          <t>13/04/2026</t>
        </is>
      </c>
      <c r="B8" s="64" t="inlineStr">
        <is>
          <t>Merpago*ebanxsa</t>
        </is>
      </c>
      <c r="C8" s="64" t="inlineStr">
        <is>
          <t>VISA 2473</t>
        </is>
      </c>
      <c r="D8" s="102" t="inlineStr">
        <is>
          <t>ENTRETENIMIENTO</t>
        </is>
      </c>
      <c r="E8" s="65" t="n">
        <v>6162</v>
      </c>
    </row>
    <row r="9" ht="15" customHeight="1">
      <c r="A9" s="64" t="inlineStr">
        <is>
          <t>26/04/2026</t>
        </is>
      </c>
      <c r="B9" s="64" t="inlineStr">
        <is>
          <t>Splice.com* spli</t>
        </is>
      </c>
      <c r="C9" s="64" t="inlineStr">
        <is>
          <t>VISA 2473</t>
        </is>
      </c>
      <c r="D9" s="102" t="inlineStr">
        <is>
          <t>ENTRETENIMIENTO</t>
        </is>
      </c>
      <c r="E9" s="82" t="n">
        <v>12.99</v>
      </c>
    </row>
    <row r="10" ht="15" customHeight="1">
      <c r="A10" s="64" t="inlineStr">
        <is>
          <t>30/04/2026</t>
        </is>
      </c>
      <c r="B10" s="64" t="inlineStr">
        <is>
          <t>Merpago*ebanxsa</t>
        </is>
      </c>
      <c r="C10" s="64" t="inlineStr">
        <is>
          <t>VISA 2473</t>
        </is>
      </c>
      <c r="D10" s="102" t="inlineStr">
        <is>
          <t>ENTRETENIMIENTO</t>
        </is>
      </c>
      <c r="E10" s="65" t="n">
        <v>4190</v>
      </c>
    </row>
    <row r="11" ht="15" customHeight="1">
      <c r="A11" s="64" t="inlineStr">
        <is>
          <t>14/04/2026</t>
        </is>
      </c>
      <c r="B11" s="64" t="inlineStr">
        <is>
          <t>Farmacity 35</t>
        </is>
      </c>
      <c r="C11" s="64" t="inlineStr">
        <is>
          <t>VISA 2473</t>
        </is>
      </c>
      <c r="D11" s="101" t="inlineStr">
        <is>
          <t>SALUD</t>
        </is>
      </c>
      <c r="E11" s="65" t="n">
        <v>31903.31</v>
      </c>
    </row>
    <row r="12" ht="15" customHeight="1">
      <c r="A12" s="64" t="inlineStr">
        <is>
          <t>16/04/2026</t>
        </is>
      </c>
      <c r="B12" s="64" t="inlineStr">
        <is>
          <t>Farmacity 25</t>
        </is>
      </c>
      <c r="C12" s="64" t="inlineStr">
        <is>
          <t>VISA 2473</t>
        </is>
      </c>
      <c r="D12" s="101" t="inlineStr">
        <is>
          <t>SALUD</t>
        </is>
      </c>
      <c r="E12" s="65" t="n">
        <v>5027.15</v>
      </c>
    </row>
    <row r="13" ht="15" customHeight="1">
      <c r="A13" s="64" t="inlineStr">
        <is>
          <t>01/04/2026</t>
        </is>
      </c>
      <c r="B13" s="64" t="inlineStr">
        <is>
          <t>ZURICH MB</t>
        </is>
      </c>
      <c r="C13" s="64" t="inlineStr">
        <is>
          <t>AMEX SANTANDER</t>
        </is>
      </c>
      <c r="D13" s="103" t="inlineStr">
        <is>
          <t>SEGUROS</t>
        </is>
      </c>
      <c r="E13" s="65" t="n">
        <v>6255.15</v>
      </c>
    </row>
    <row r="14" ht="15" customHeight="1">
      <c r="A14" s="64" t="inlineStr">
        <is>
          <t>01/04/2026</t>
        </is>
      </c>
      <c r="B14" s="64" t="inlineStr">
        <is>
          <t>S P S</t>
        </is>
      </c>
      <c r="C14" s="64" t="inlineStr">
        <is>
          <t>AMEX SANTANDER</t>
        </is>
      </c>
      <c r="D14" s="101" t="inlineStr">
        <is>
          <t>SALUD</t>
        </is>
      </c>
      <c r="E14" s="65" t="n">
        <v>126311.9</v>
      </c>
    </row>
    <row r="15" ht="15" customHeight="1">
      <c r="A15" s="64" t="inlineStr">
        <is>
          <t>01/04/2026</t>
        </is>
      </c>
      <c r="B15" s="64" t="inlineStr">
        <is>
          <t>ZURICH SEGUROS</t>
        </is>
      </c>
      <c r="C15" s="64" t="inlineStr">
        <is>
          <t>AMEX SANTANDER</t>
        </is>
      </c>
      <c r="D15" s="103" t="inlineStr">
        <is>
          <t>SEGUROS</t>
        </is>
      </c>
      <c r="E15" s="65" t="n">
        <v>258558.3</v>
      </c>
    </row>
    <row r="16" ht="15" customHeight="1">
      <c r="A16" s="64" t="inlineStr">
        <is>
          <t>08/04/2026</t>
        </is>
      </c>
      <c r="B16" s="64" t="inlineStr">
        <is>
          <t>DLO*SPOTIFY 99999999</t>
        </is>
      </c>
      <c r="C16" s="64" t="inlineStr">
        <is>
          <t>AMEX SANTANDER</t>
        </is>
      </c>
      <c r="D16" s="102" t="inlineStr">
        <is>
          <t>ENTRETENIMIENTO</t>
        </is>
      </c>
      <c r="E16" s="65" t="n">
        <v>6642.49</v>
      </c>
    </row>
    <row r="17" ht="15" customHeight="1">
      <c r="A17" s="64" t="inlineStr">
        <is>
          <t>12/04/2026</t>
        </is>
      </c>
      <c r="B17" s="64">
        <f>NETFLIX_COM</f>
        <v/>
      </c>
      <c r="C17" s="64" t="inlineStr">
        <is>
          <t>AMEX SANTANDER</t>
        </is>
      </c>
      <c r="D17" s="102" t="inlineStr">
        <is>
          <t>ENTRETENIMIENTO</t>
        </is>
      </c>
      <c r="E17" s="65" t="n">
        <v>30198.49</v>
      </c>
    </row>
    <row r="18" ht="15" customHeight="1">
      <c r="A18" s="64" t="inlineStr">
        <is>
          <t>22/04/2026</t>
        </is>
      </c>
      <c r="B18" s="64" t="inlineStr">
        <is>
          <t>CLARO</t>
        </is>
      </c>
      <c r="C18" s="64" t="inlineStr">
        <is>
          <t>AMEX SANTANDER</t>
        </is>
      </c>
      <c r="D18" s="104" t="inlineStr">
        <is>
          <t>SERVICIOS FIJOS</t>
        </is>
      </c>
      <c r="E18" s="65" t="n">
        <v>69538.31</v>
      </c>
    </row>
    <row r="19" ht="15" customHeight="1">
      <c r="A19" s="64" t="inlineStr">
        <is>
          <t>27/04/2026</t>
        </is>
      </c>
      <c r="B19" s="64" t="inlineStr">
        <is>
          <t>ANTINA</t>
        </is>
      </c>
      <c r="C19" s="64" t="inlineStr">
        <is>
          <t>AMEX SANTANDER</t>
        </is>
      </c>
      <c r="D19" s="104" t="inlineStr">
        <is>
          <t>SERVICIOS FIJOS</t>
        </is>
      </c>
      <c r="E19" s="65" t="n">
        <v>73090</v>
      </c>
    </row>
    <row r="20" ht="15" customHeight="1">
      <c r="A20" s="64" t="inlineStr">
        <is>
          <t>05/04/2026</t>
        </is>
      </c>
      <c r="B20" s="64" t="inlineStr">
        <is>
          <t>APPLE.COM/BILL</t>
        </is>
      </c>
      <c r="C20" s="64" t="inlineStr">
        <is>
          <t>AMEX SANTANDER</t>
        </is>
      </c>
      <c r="D20" s="102" t="inlineStr">
        <is>
          <t>ENTRETENIMIENTO</t>
        </is>
      </c>
      <c r="E20" s="82" t="n">
        <v>0.99</v>
      </c>
    </row>
    <row r="21" ht="15" customHeight="1">
      <c r="A21" s="64" t="inlineStr">
        <is>
          <t>22/04/2026</t>
        </is>
      </c>
      <c r="B21" s="64" t="inlineStr">
        <is>
          <t>APPLE.COM/BILL</t>
        </is>
      </c>
      <c r="C21" s="64" t="inlineStr">
        <is>
          <t>AMEX SANTANDER</t>
        </is>
      </c>
      <c r="D21" s="102" t="inlineStr">
        <is>
          <t>ENTRETENIMIENTO</t>
        </is>
      </c>
      <c r="E21" s="82" t="n">
        <v>2.53</v>
      </c>
    </row>
    <row r="22">
      <c r="A22" s="105" t="inlineStr">
        <is>
          <t>TOTAL GASTOS FIJOS (en $)</t>
        </is>
      </c>
      <c r="E22" s="106" t="n">
        <v>693316.0999999999</v>
      </c>
    </row>
  </sheetData>
  <mergeCells count="2">
    <mergeCell ref="A22:D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2026-05-22T03:23:51Z</dcterms:created>
  <dcterms:modified xsi:type="dcterms:W3CDTF">2026-05-22T03:23:51Z</dcterms:modified>
</cp:coreProperties>
</file>