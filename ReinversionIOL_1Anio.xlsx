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folio Actual" sheetId="1" state="visible" r:id="rId1"/>
    <sheet name="Brecha vs Objetivo" sheetId="2" state="visible" r:id="rId2"/>
    <sheet name="Nuevos Instrumentos IOL" sheetId="3" state="visible" r:id="rId3"/>
    <sheet name="Comparativo Actual vs Propuesto" sheetId="4" state="visible" r:id="rId4"/>
    <sheet name="Gráf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color rgb="00000000"/>
      <sz val="9"/>
    </font>
    <font>
      <b val="1"/>
      <color rgb="00FFFFFF"/>
      <sz val="10"/>
    </font>
    <font>
      <b val="1"/>
      <color rgb="00000000"/>
      <sz val="10"/>
    </font>
    <font>
      <b val="1"/>
      <color rgb="00000000"/>
      <sz val="11"/>
    </font>
    <font>
      <b val="1"/>
      <color rgb="009C0006"/>
      <sz val="11"/>
    </font>
    <font>
      <b val="1"/>
      <color rgb="00FFFFFF"/>
      <sz val="11"/>
    </font>
    <font>
      <b val="1"/>
      <color rgb="00000000"/>
      <sz val="9"/>
    </font>
    <font>
      <sz val="9"/>
    </font>
    <font>
      <color rgb="00000000"/>
      <sz val="11"/>
    </font>
  </fonts>
  <fills count="15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6E8F7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5F0DC"/>
      </patternFill>
    </fill>
    <fill>
      <patternFill patternType="solid">
        <fgColor rgb="00F5F5F5"/>
      </patternFill>
    </fill>
    <fill>
      <patternFill patternType="solid">
        <fgColor rgb="00EDD8F5"/>
      </patternFill>
    </fill>
    <fill>
      <patternFill patternType="solid">
        <fgColor rgb="002E6DA4"/>
      </patternFill>
    </fill>
    <fill>
      <patternFill patternType="solid">
        <fgColor rgb="001E5C30"/>
      </patternFill>
    </fill>
    <fill>
      <patternFill patternType="solid">
        <fgColor rgb="00FFF0CC"/>
      </patternFill>
    </fill>
    <fill>
      <patternFill patternType="solid">
        <fgColor rgb="00FCE4D6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right" vertical="center" wrapText="1"/>
    </xf>
    <xf numFmtId="10" fontId="3" fillId="3" borderId="1" applyAlignment="1" pivotButton="0" quotePrefix="0" xfId="0">
      <alignment horizontal="center" vertical="center" wrapText="1"/>
    </xf>
    <xf numFmtId="1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right" vertical="center" wrapText="1"/>
    </xf>
    <xf numFmtId="10" fontId="3" fillId="7" borderId="1" applyAlignment="1" pivotButton="0" quotePrefix="0" xfId="0">
      <alignment horizontal="center" vertical="center" wrapText="1"/>
    </xf>
    <xf numFmtId="1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right" vertical="center" wrapText="1"/>
    </xf>
    <xf numFmtId="1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4" fontId="3" fillId="9" borderId="1" applyAlignment="1" pivotButton="0" quotePrefix="0" xfId="0">
      <alignment horizontal="right" vertical="center" wrapText="1"/>
    </xf>
    <xf numFmtId="10" fontId="3" fillId="9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1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righ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4" fontId="3" fillId="12" borderId="1" applyAlignment="1" pivotButton="0" quotePrefix="0" xfId="0">
      <alignment horizontal="right" vertical="center" wrapText="1"/>
    </xf>
    <xf numFmtId="164" fontId="3" fillId="12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4" fontId="3" fillId="13" borderId="1" applyAlignment="1" pivotButton="0" quotePrefix="0" xfId="0">
      <alignment horizontal="right" vertical="center" wrapText="1"/>
    </xf>
    <xf numFmtId="164" fontId="3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4" fontId="4" fillId="11" borderId="1" applyAlignment="1" pivotButton="0" quotePrefix="0" xfId="0">
      <alignment horizontal="center" vertical="center"/>
    </xf>
    <xf numFmtId="10" fontId="4" fillId="11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Esperado: Portafolio Actual vs. Propuesto vs. Objetivo 150%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'Gráficos'!R3</f>
            </strRef>
          </tx>
          <spPr>
            <a:solidFill>
              <a:srgbClr val="2E6DA4"/>
            </a:solidFill>
            <a:ln>
              <a:prstDash val="solid"/>
            </a:ln>
          </spPr>
          <cat>
            <numRef>
              <f>'Gráficos'!$Q$4:$Q$23</f>
            </numRef>
          </cat>
          <val>
            <numRef>
              <f>'Gráficos'!$R$4:$R$23</f>
            </numRef>
          </val>
        </ser>
        <ser>
          <idx val="1"/>
          <order val="1"/>
          <tx>
            <strRef>
              <f>'Gráficos'!S3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'Gráficos'!$Q$4:$Q$23</f>
            </numRef>
          </cat>
          <val>
            <numRef>
              <f>'Gráficos'!$S$4:$S$23</f>
            </numRef>
          </val>
        </ser>
        <ser>
          <idx val="2"/>
          <order val="2"/>
          <tx>
            <strRef>
              <f>'Gráficos'!T3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'Gráficos'!$Q$4:$Q$23</f>
            </numRef>
          </cat>
          <val>
            <numRef>
              <f>'Gráficos'!$T$4:$T$23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Instrumento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Rendimiento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del Nuevo Portafolio</a:t>
            </a:r>
          </a:p>
        </rich>
      </tx>
    </title>
    <plotArea>
      <pieChart>
        <varyColors val="1"/>
        <ser>
          <idx val="0"/>
          <order val="0"/>
          <tx>
            <strRef>
              <f>'Gráficos'!W3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F3864"/>
              </a:solidFill>
              <a:ln>
                <a:prstDash val="solid"/>
              </a:ln>
            </spPr>
          </dPt>
          <dPt>
            <idx val="1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3"/>
            <spPr>
              <a:solidFill>
                <a:srgbClr val="E85D00"/>
              </a:solidFill>
              <a:ln>
                <a:prstDash val="solid"/>
              </a:ln>
            </spPr>
          </dPt>
          <dPt>
            <idx val="4"/>
            <spPr>
              <a:solidFill>
                <a:srgbClr val="7030A0"/>
              </a:solidFill>
              <a:ln>
                <a:prstDash val="solid"/>
              </a:ln>
            </spPr>
          </dPt>
          <dPt>
            <idx val="5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6"/>
            <spPr>
              <a:solidFill>
                <a:srgbClr val="C00000"/>
              </a:solidFill>
              <a:ln>
                <a:prstDash val="solid"/>
              </a:ln>
            </spPr>
          </dPt>
          <cat>
            <numRef>
              <f>'Gráficos'!$V$4:$V$10</f>
            </numRef>
          </cat>
          <val>
            <numRef>
              <f>'Gráficos'!$W$4:$W$10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6" customWidth="1" min="3" max="3"/>
    <col width="22" customWidth="1" min="4" max="4"/>
    <col width="10" customWidth="1" min="5" max="5"/>
    <col width="14" customWidth="1" min="6" max="6"/>
    <col width="15" customWidth="1" min="7" max="7"/>
    <col width="14" customWidth="1" min="8" max="8"/>
    <col width="13" customWidth="1" min="9" max="9"/>
    <col width="13" customWidth="1" min="10" max="10"/>
  </cols>
  <sheetData>
    <row r="1" ht="28" customHeight="1">
      <c r="A1" s="1" t="inlineStr">
        <is>
          <t>PORTAFOLIO ACTUAL — Operaciones Finalizadas 01/05 - 22/05/2026</t>
        </is>
      </c>
    </row>
    <row r="2" ht="30" customHeight="1">
      <c r="A2" s="2" t="inlineStr">
        <is>
          <t>Fecha</t>
        </is>
      </c>
      <c r="B2" s="2" t="inlineStr">
        <is>
          <t>Símbolo</t>
        </is>
      </c>
      <c r="C2" s="2" t="inlineStr">
        <is>
          <t>Descripción</t>
        </is>
      </c>
      <c r="D2" s="2" t="inlineStr">
        <is>
          <t>Tipo</t>
        </is>
      </c>
      <c r="E2" s="2" t="inlineStr">
        <is>
          <t>Riesgo</t>
        </is>
      </c>
      <c r="F2" s="2" t="inlineStr">
        <is>
          <t>Invertido AR$</t>
        </is>
      </c>
      <c r="G2" s="2" t="inlineStr">
        <is>
          <t>Valor Proy. AR$</t>
        </is>
      </c>
      <c r="H2" s="2" t="inlineStr">
        <is>
          <t>Ganancia AR$</t>
        </is>
      </c>
      <c r="I2" s="2" t="inlineStr">
        <is>
          <t>Rend. Nom. %</t>
        </is>
      </c>
      <c r="J2" s="2" t="inlineStr">
        <is>
          <t>Rend. Real %</t>
        </is>
      </c>
    </row>
    <row r="3" ht="17" customHeight="1">
      <c r="A3" s="3" t="inlineStr">
        <is>
          <t>07/05/2026</t>
        </is>
      </c>
      <c r="B3" s="3" t="inlineStr">
        <is>
          <t>GD41</t>
        </is>
      </c>
      <c r="C3" s="4" t="inlineStr">
        <is>
          <t>Bonos Rep. Arg. U$S Step Up V.09/07/41</t>
        </is>
      </c>
      <c r="D3" s="4" t="inlineStr">
        <is>
          <t>Bono Soberano USD</t>
        </is>
      </c>
      <c r="E3" s="5" t="inlineStr">
        <is>
          <t>Medio</t>
        </is>
      </c>
      <c r="F3" s="6" t="n">
        <v>19390.79</v>
      </c>
      <c r="G3" s="6" t="n">
        <v>27147.11</v>
      </c>
      <c r="H3" s="6" t="n">
        <v>7756.32</v>
      </c>
      <c r="I3" s="7" t="n">
        <v>0.4</v>
      </c>
      <c r="J3" s="8" t="n">
        <v>-0.06666666666666676</v>
      </c>
    </row>
    <row r="4" ht="17" customHeight="1">
      <c r="A4" s="3" t="inlineStr">
        <is>
          <t>07/05/2026</t>
        </is>
      </c>
      <c r="B4" s="3" t="inlineStr">
        <is>
          <t>AO27</t>
        </is>
      </c>
      <c r="C4" s="4" t="inlineStr">
        <is>
          <t>BONO TESORO NACIONAL 6% 29/10/27 USD</t>
        </is>
      </c>
      <c r="D4" s="4" t="inlineStr">
        <is>
          <t>Bono Tesoro USD</t>
        </is>
      </c>
      <c r="E4" s="9" t="inlineStr">
        <is>
          <t>Bajo</t>
        </is>
      </c>
      <c r="F4" s="6" t="n">
        <v>18985.34</v>
      </c>
      <c r="G4" s="6" t="n">
        <v>25630.21</v>
      </c>
      <c r="H4" s="6" t="n">
        <v>6644.87</v>
      </c>
      <c r="I4" s="7" t="n">
        <v>0.35</v>
      </c>
      <c r="J4" s="8" t="n">
        <v>-0.09999999999999998</v>
      </c>
    </row>
    <row r="5" ht="17" customHeight="1">
      <c r="A5" s="10" t="inlineStr">
        <is>
          <t>07/05/2026</t>
        </is>
      </c>
      <c r="B5" s="10" t="inlineStr">
        <is>
          <t>BMA</t>
        </is>
      </c>
      <c r="C5" s="11" t="inlineStr">
        <is>
          <t>Banco Macro</t>
        </is>
      </c>
      <c r="D5" s="11" t="inlineStr">
        <is>
          <t>Acción Panel Líder</t>
        </is>
      </c>
      <c r="E5" s="12" t="inlineStr">
        <is>
          <t>Alto</t>
        </is>
      </c>
      <c r="F5" s="13" t="n">
        <v>58148.31</v>
      </c>
      <c r="G5" s="13" t="n">
        <v>95944.71000000001</v>
      </c>
      <c r="H5" s="13" t="n">
        <v>37796.4</v>
      </c>
      <c r="I5" s="14" t="n">
        <v>0.65</v>
      </c>
      <c r="J5" s="15" t="n">
        <v>0.09999999999999987</v>
      </c>
    </row>
    <row r="6" ht="17" customHeight="1">
      <c r="A6" s="16" t="inlineStr">
        <is>
          <t>07/05/2026</t>
        </is>
      </c>
      <c r="B6" s="16" t="inlineStr">
        <is>
          <t>GOOGL</t>
        </is>
      </c>
      <c r="C6" s="17" t="inlineStr">
        <is>
          <t>Cedear Alphabet Inc. Cl. A</t>
        </is>
      </c>
      <c r="D6" s="17" t="inlineStr">
        <is>
          <t>CEDEAR Tecnología</t>
        </is>
      </c>
      <c r="E6" s="12" t="inlineStr">
        <is>
          <t>Alto</t>
        </is>
      </c>
      <c r="F6" s="18" t="n">
        <v>10189.8</v>
      </c>
      <c r="G6" s="18" t="n">
        <v>15080.9</v>
      </c>
      <c r="H6" s="18" t="n">
        <v>4891.1</v>
      </c>
      <c r="I6" s="19" t="n">
        <v>0.48</v>
      </c>
      <c r="J6" s="8" t="n">
        <v>-0.01333333333333331</v>
      </c>
    </row>
    <row r="7" ht="17" customHeight="1">
      <c r="A7" s="16" t="inlineStr">
        <is>
          <t>07/05/2026</t>
        </is>
      </c>
      <c r="B7" s="16" t="inlineStr">
        <is>
          <t>VIST</t>
        </is>
      </c>
      <c r="C7" s="17" t="inlineStr">
        <is>
          <t>Cedear Vista Oil &amp; Gas Sab De</t>
        </is>
      </c>
      <c r="D7" s="17" t="inlineStr">
        <is>
          <t>CEDEAR Energía</t>
        </is>
      </c>
      <c r="E7" s="12" t="inlineStr">
        <is>
          <t>Alto</t>
        </is>
      </c>
      <c r="F7" s="18" t="n">
        <v>32422.08</v>
      </c>
      <c r="G7" s="18" t="n">
        <v>55117.54</v>
      </c>
      <c r="H7" s="18" t="n">
        <v>22695.46</v>
      </c>
      <c r="I7" s="19" t="n">
        <v>0.7</v>
      </c>
      <c r="J7" s="15" t="n">
        <v>0.1333333333333333</v>
      </c>
    </row>
    <row r="8" ht="17" customHeight="1">
      <c r="A8" s="3" t="inlineStr">
        <is>
          <t>07/05/2026</t>
        </is>
      </c>
      <c r="B8" s="3" t="inlineStr">
        <is>
          <t>TZX26</t>
        </is>
      </c>
      <c r="C8" s="4" t="inlineStr">
        <is>
          <t>BONO REP ARG AJ CER V30/06/26 $ CG</t>
        </is>
      </c>
      <c r="D8" s="4" t="inlineStr">
        <is>
          <t>Bono CER (ajustable)</t>
        </is>
      </c>
      <c r="E8" s="9" t="inlineStr">
        <is>
          <t>Bajo</t>
        </is>
      </c>
      <c r="F8" s="6" t="n">
        <v>19985.17</v>
      </c>
      <c r="G8" s="6" t="n">
        <v>29977.75</v>
      </c>
      <c r="H8" s="6" t="n">
        <v>9992.58</v>
      </c>
      <c r="I8" s="7" t="n">
        <v>0.5</v>
      </c>
      <c r="J8" s="15" t="n">
        <v>0</v>
      </c>
    </row>
    <row r="9" ht="17" customHeight="1">
      <c r="A9" s="3" t="inlineStr">
        <is>
          <t>07/05/2026</t>
        </is>
      </c>
      <c r="B9" s="3" t="inlineStr">
        <is>
          <t>AO27</t>
        </is>
      </c>
      <c r="C9" s="4" t="inlineStr">
        <is>
          <t>BONO TESORO NACIONAL 6% 29/10/27 USD</t>
        </is>
      </c>
      <c r="D9" s="4" t="inlineStr">
        <is>
          <t>Bono Tesoro USD</t>
        </is>
      </c>
      <c r="E9" s="9" t="inlineStr">
        <is>
          <t>Bajo</t>
        </is>
      </c>
      <c r="F9" s="6" t="n">
        <v>21949.87</v>
      </c>
      <c r="G9" s="6" t="n">
        <v>29632.32</v>
      </c>
      <c r="H9" s="6" t="n">
        <v>7682.45</v>
      </c>
      <c r="I9" s="7" t="n">
        <v>0.35</v>
      </c>
      <c r="J9" s="8" t="n">
        <v>-0.09999999999999998</v>
      </c>
    </row>
    <row r="10" ht="17" customHeight="1">
      <c r="A10" s="20" t="inlineStr">
        <is>
          <t>07/05/2026</t>
        </is>
      </c>
      <c r="B10" s="20" t="inlineStr">
        <is>
          <t>IOLPORA</t>
        </is>
      </c>
      <c r="C10" s="21" t="inlineStr">
        <is>
          <t>IOL Portafolio Potenciado</t>
        </is>
      </c>
      <c r="D10" s="21" t="inlineStr">
        <is>
          <t>FCI Portafolio Mixto</t>
        </is>
      </c>
      <c r="E10" s="5" t="inlineStr">
        <is>
          <t>Medio</t>
        </is>
      </c>
      <c r="F10" s="22" t="n">
        <v>20000</v>
      </c>
      <c r="G10" s="22" t="n">
        <v>31000</v>
      </c>
      <c r="H10" s="22" t="n">
        <v>11000</v>
      </c>
      <c r="I10" s="23" t="n">
        <v>0.55</v>
      </c>
      <c r="J10" s="15" t="n">
        <v>0.03333333333333344</v>
      </c>
    </row>
    <row r="11" ht="17" customHeight="1">
      <c r="A11" s="10" t="inlineStr">
        <is>
          <t>11/05/2026</t>
        </is>
      </c>
      <c r="B11" s="10" t="inlineStr">
        <is>
          <t>PAMP</t>
        </is>
      </c>
      <c r="C11" s="11" t="inlineStr">
        <is>
          <t>Pampa Energía</t>
        </is>
      </c>
      <c r="D11" s="11" t="inlineStr">
        <is>
          <t>Acción Panel Líder</t>
        </is>
      </c>
      <c r="E11" s="12" t="inlineStr">
        <is>
          <t>Alto</t>
        </is>
      </c>
      <c r="F11" s="13" t="n">
        <v>14574.84</v>
      </c>
      <c r="G11" s="13" t="n">
        <v>24777.23</v>
      </c>
      <c r="H11" s="13" t="n">
        <v>10202.39</v>
      </c>
      <c r="I11" s="14" t="n">
        <v>0.7</v>
      </c>
      <c r="J11" s="15" t="n">
        <v>0.1333333333333333</v>
      </c>
    </row>
    <row r="12" ht="17" customHeight="1">
      <c r="A12" s="10" t="inlineStr">
        <is>
          <t>11/05/2026</t>
        </is>
      </c>
      <c r="B12" s="10" t="inlineStr">
        <is>
          <t>TGSU2</t>
        </is>
      </c>
      <c r="C12" s="11" t="inlineStr">
        <is>
          <t>Transportadora Gas del Sur</t>
        </is>
      </c>
      <c r="D12" s="11" t="inlineStr">
        <is>
          <t>Acción Panel Líder</t>
        </is>
      </c>
      <c r="E12" s="12" t="inlineStr">
        <is>
          <t>Alto</t>
        </is>
      </c>
      <c r="F12" s="13" t="n">
        <v>9062.07</v>
      </c>
      <c r="G12" s="13" t="n">
        <v>14046.21</v>
      </c>
      <c r="H12" s="13" t="n">
        <v>4984.14</v>
      </c>
      <c r="I12" s="14" t="n">
        <v>0.55</v>
      </c>
      <c r="J12" s="15" t="n">
        <v>0.03333333333333344</v>
      </c>
    </row>
    <row r="13" ht="17" customHeight="1">
      <c r="A13" s="16" t="inlineStr">
        <is>
          <t>11/05/2026</t>
        </is>
      </c>
      <c r="B13" s="16" t="inlineStr">
        <is>
          <t>COPX</t>
        </is>
      </c>
      <c r="C13" s="17" t="inlineStr">
        <is>
          <t>CEDEAR GLOBAL X COPPER MINERS ETF</t>
        </is>
      </c>
      <c r="D13" s="17" t="inlineStr">
        <is>
          <t>CEDEAR ETF Materiales</t>
        </is>
      </c>
      <c r="E13" s="12" t="inlineStr">
        <is>
          <t>Alto</t>
        </is>
      </c>
      <c r="F13" s="18" t="n">
        <v>18627.6</v>
      </c>
      <c r="G13" s="18" t="n">
        <v>27941.4</v>
      </c>
      <c r="H13" s="18" t="n">
        <v>9313.799999999999</v>
      </c>
      <c r="I13" s="19" t="n">
        <v>0.5</v>
      </c>
      <c r="J13" s="15" t="n">
        <v>0</v>
      </c>
    </row>
    <row r="14" ht="17" customHeight="1">
      <c r="A14" s="10" t="inlineStr">
        <is>
          <t>11/05/2026</t>
        </is>
      </c>
      <c r="B14" s="10" t="inlineStr">
        <is>
          <t>EDN</t>
        </is>
      </c>
      <c r="C14" s="11" t="inlineStr">
        <is>
          <t>Edenor</t>
        </is>
      </c>
      <c r="D14" s="11" t="inlineStr">
        <is>
          <t>Acción Panel Líder</t>
        </is>
      </c>
      <c r="E14" s="12" t="inlineStr">
        <is>
          <t>Alto</t>
        </is>
      </c>
      <c r="F14" s="13" t="n">
        <v>7330.21</v>
      </c>
      <c r="G14" s="13" t="n">
        <v>10628.8</v>
      </c>
      <c r="H14" s="13" t="n">
        <v>3298.59</v>
      </c>
      <c r="I14" s="14" t="n">
        <v>0.45</v>
      </c>
      <c r="J14" s="8" t="n">
        <v>-0.03333333333333333</v>
      </c>
    </row>
    <row r="15" ht="17" customHeight="1">
      <c r="A15" s="10" t="inlineStr">
        <is>
          <t>11/05/2026</t>
        </is>
      </c>
      <c r="B15" s="10" t="inlineStr">
        <is>
          <t>TXAR</t>
        </is>
      </c>
      <c r="C15" s="11" t="inlineStr">
        <is>
          <t>Ternium Argentina Sa</t>
        </is>
      </c>
      <c r="D15" s="11" t="inlineStr">
        <is>
          <t>Acción Panel Líder</t>
        </is>
      </c>
      <c r="E15" s="12" t="inlineStr">
        <is>
          <t>Alto</t>
        </is>
      </c>
      <c r="F15" s="13" t="n">
        <v>6585.11</v>
      </c>
      <c r="G15" s="13" t="n">
        <v>9350.860000000001</v>
      </c>
      <c r="H15" s="13" t="n">
        <v>2765.75</v>
      </c>
      <c r="I15" s="14" t="n">
        <v>0.42</v>
      </c>
      <c r="J15" s="8" t="n">
        <v>-0.05333333333333334</v>
      </c>
    </row>
    <row r="16" ht="17" customHeight="1">
      <c r="A16" s="3" t="inlineStr">
        <is>
          <t>11/05/2026</t>
        </is>
      </c>
      <c r="B16" s="3" t="inlineStr">
        <is>
          <t>BPOC7</t>
        </is>
      </c>
      <c r="C16" s="4" t="inlineStr">
        <is>
          <t>BOPREAL Serie 1C Vto 31/10/27</t>
        </is>
      </c>
      <c r="D16" s="4" t="inlineStr">
        <is>
          <t>Bono BOPREAL USD</t>
        </is>
      </c>
      <c r="E16" s="9" t="inlineStr">
        <is>
          <t>Bajo</t>
        </is>
      </c>
      <c r="F16" s="6" t="n">
        <v>28854.41</v>
      </c>
      <c r="G16" s="6" t="n">
        <v>38953.45</v>
      </c>
      <c r="H16" s="6" t="n">
        <v>10099.04</v>
      </c>
      <c r="I16" s="7" t="n">
        <v>0.35</v>
      </c>
      <c r="J16" s="8" t="n">
        <v>-0.09999999999999998</v>
      </c>
    </row>
    <row r="17" ht="17" customHeight="1">
      <c r="A17" s="10" t="inlineStr">
        <is>
          <t>12/05/2026</t>
        </is>
      </c>
      <c r="B17" s="10" t="inlineStr">
        <is>
          <t>TGSU2</t>
        </is>
      </c>
      <c r="C17" s="11" t="inlineStr">
        <is>
          <t>Transportadora Gas del Sur</t>
        </is>
      </c>
      <c r="D17" s="11" t="inlineStr">
        <is>
          <t>Acción Panel Líder</t>
        </is>
      </c>
      <c r="E17" s="12" t="inlineStr">
        <is>
          <t>Alto</t>
        </is>
      </c>
      <c r="F17" s="13" t="n">
        <v>9155.530000000001</v>
      </c>
      <c r="G17" s="13" t="n">
        <v>14191.07</v>
      </c>
      <c r="H17" s="13" t="n">
        <v>5035.54</v>
      </c>
      <c r="I17" s="14" t="n">
        <v>0.55</v>
      </c>
      <c r="J17" s="15" t="n">
        <v>0.03333333333333344</v>
      </c>
    </row>
    <row r="18" ht="20" customHeight="1">
      <c r="A18" s="24" t="inlineStr">
        <is>
          <t>TOTAL PORTAFOLIO ACTUAL</t>
        </is>
      </c>
      <c r="F18" s="25" t="n">
        <v>295261.13</v>
      </c>
      <c r="G18" s="25" t="n">
        <v>449419.56</v>
      </c>
      <c r="H18" s="25" t="n">
        <v>154158.43</v>
      </c>
      <c r="I18" s="26" t="n">
        <v>0.5221087855350279</v>
      </c>
      <c r="J18" s="26" t="n">
        <v>0.01473919035668536</v>
      </c>
    </row>
  </sheetData>
  <mergeCells count="2">
    <mergeCell ref="A1:J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ANÁLISIS DE BRECHA — Objetivo: 3× Inflación = 150% nominal anual</t>
        </is>
      </c>
    </row>
    <row r="2">
      <c r="A2" s="24" t="inlineStr">
        <is>
          <t>Métrica</t>
        </is>
      </c>
      <c r="B2" s="24" t="inlineStr">
        <is>
          <t>Valor Actual</t>
        </is>
      </c>
      <c r="C2" s="24" t="inlineStr">
        <is>
          <t>Indicador</t>
        </is>
      </c>
    </row>
    <row r="3" ht="22" customHeight="1">
      <c r="A3" s="27" t="inlineStr">
        <is>
          <t>Inflación anual proyectada (CER)</t>
        </is>
      </c>
      <c r="B3" s="28" t="inlineStr">
        <is>
          <t>50%</t>
        </is>
      </c>
      <c r="C3" s="29" t="n"/>
    </row>
    <row r="4" ht="22" customHeight="1">
      <c r="A4" s="27" t="inlineStr">
        <is>
          <t>Objetivo rendimiento (3× inflación)</t>
        </is>
      </c>
      <c r="B4" s="30" t="inlineStr">
        <is>
          <t>150%</t>
        </is>
      </c>
      <c r="C4" s="31" t="n"/>
    </row>
    <row r="5" ht="22" customHeight="1">
      <c r="A5" s="27" t="inlineStr">
        <is>
          <t>Rendimiento nominal actual (portafolio)</t>
        </is>
      </c>
      <c r="B5" s="28" t="inlineStr">
        <is>
          <t>52.21%</t>
        </is>
      </c>
      <c r="C5" s="29" t="n"/>
    </row>
    <row r="6" ht="22" customHeight="1">
      <c r="A6" s="27" t="inlineStr">
        <is>
          <t>Brecha vs objetivo</t>
        </is>
      </c>
      <c r="B6" s="32" t="inlineStr">
        <is>
          <t>97.79%</t>
        </is>
      </c>
      <c r="C6" s="31" t="n"/>
    </row>
    <row r="7" ht="22" customHeight="1">
      <c r="A7" s="27" t="inlineStr">
        <is>
          <t>Rendimiento real actual</t>
        </is>
      </c>
      <c r="B7" s="33" t="inlineStr">
        <is>
          <t>1.47%</t>
        </is>
      </c>
      <c r="C7" s="34" t="n"/>
    </row>
    <row r="8" ht="22" customHeight="1">
      <c r="A8" s="27" t="inlineStr">
        <is>
          <t>Capital total invertido</t>
        </is>
      </c>
      <c r="B8" s="35" t="inlineStr">
        <is>
          <t>AR$ 295,261.13</t>
        </is>
      </c>
      <c r="C8" s="36" t="n"/>
    </row>
    <row r="9" ht="22" customHeight="1">
      <c r="A9" s="27" t="inlineStr">
        <is>
          <t>Ganancia proyectada portafolio actual</t>
        </is>
      </c>
      <c r="B9" s="28" t="inlineStr">
        <is>
          <t>AR$ 154,158.43</t>
        </is>
      </c>
      <c r="C9" s="29" t="n"/>
    </row>
    <row r="10" ht="22" customHeight="1">
      <c r="A10" s="27" t="inlineStr">
        <is>
          <t>Ganancia requerida para objetivo 3×</t>
        </is>
      </c>
      <c r="B10" s="30" t="inlineStr">
        <is>
          <t>AR$ 442,891.70</t>
        </is>
      </c>
      <c r="C10" s="31" t="n"/>
    </row>
    <row r="11" ht="22" customHeight="1">
      <c r="A11" s="27" t="inlineStr">
        <is>
          <t>Ganancia adicional requerida</t>
        </is>
      </c>
      <c r="B11" s="30" t="inlineStr">
        <is>
          <t>AR$ 288,733.27</t>
        </is>
      </c>
      <c r="C11" s="31" t="n"/>
    </row>
    <row r="13" ht="22" customHeight="1">
      <c r="A13" s="37" t="inlineStr">
        <is>
          <t>DIAGNÓSTICO POR INSTRUMENTO — ¿Cumple el objetivo del 150%?</t>
        </is>
      </c>
    </row>
    <row r="14" ht="20" customHeight="1">
      <c r="A14" s="38" t="inlineStr">
        <is>
          <t>Símbolo</t>
        </is>
      </c>
      <c r="B14" s="38" t="inlineStr">
        <is>
          <t>Categoría</t>
        </is>
      </c>
      <c r="C14" s="38" t="inlineStr">
        <is>
          <t>Rend. Actual %</t>
        </is>
      </c>
      <c r="D14" s="38" t="inlineStr">
        <is>
          <t>Obj. 150% ?</t>
        </is>
      </c>
      <c r="E14" s="38" t="inlineStr">
        <is>
          <t>Brecha %</t>
        </is>
      </c>
      <c r="F14" s="38" t="inlineStr">
        <is>
          <t>Capital AR$</t>
        </is>
      </c>
    </row>
    <row r="15" ht="17" customHeight="1">
      <c r="A15" s="39" t="inlineStr">
        <is>
          <t>VIST</t>
        </is>
      </c>
      <c r="B15" s="16" t="inlineStr">
        <is>
          <t>CEDEAR Energía</t>
        </is>
      </c>
      <c r="C15" s="16" t="inlineStr">
        <is>
          <t>70%</t>
        </is>
      </c>
      <c r="D15" s="40" t="inlineStr">
        <is>
          <t>✗ NO</t>
        </is>
      </c>
      <c r="E15" s="12" t="inlineStr">
        <is>
          <t>-80%</t>
        </is>
      </c>
      <c r="F15" s="16" t="inlineStr">
        <is>
          <t>AR$ 32,422</t>
        </is>
      </c>
    </row>
    <row r="16" ht="17" customHeight="1">
      <c r="A16" s="41" t="inlineStr">
        <is>
          <t>PAMP</t>
        </is>
      </c>
      <c r="B16" s="10" t="inlineStr">
        <is>
          <t>Acción Panel Líder</t>
        </is>
      </c>
      <c r="C16" s="10" t="inlineStr">
        <is>
          <t>70%</t>
        </is>
      </c>
      <c r="D16" s="40" t="inlineStr">
        <is>
          <t>✗ NO</t>
        </is>
      </c>
      <c r="E16" s="12" t="inlineStr">
        <is>
          <t>-80%</t>
        </is>
      </c>
      <c r="F16" s="10" t="inlineStr">
        <is>
          <t>AR$ 14,575</t>
        </is>
      </c>
    </row>
    <row r="17" ht="17" customHeight="1">
      <c r="A17" s="41" t="inlineStr">
        <is>
          <t>BMA</t>
        </is>
      </c>
      <c r="B17" s="10" t="inlineStr">
        <is>
          <t>Acción Panel Líder</t>
        </is>
      </c>
      <c r="C17" s="10" t="inlineStr">
        <is>
          <t>65%</t>
        </is>
      </c>
      <c r="D17" s="40" t="inlineStr">
        <is>
          <t>✗ NO</t>
        </is>
      </c>
      <c r="E17" s="12" t="inlineStr">
        <is>
          <t>-85%</t>
        </is>
      </c>
      <c r="F17" s="10" t="inlineStr">
        <is>
          <t>AR$ 58,148</t>
        </is>
      </c>
    </row>
    <row r="18" ht="17" customHeight="1">
      <c r="A18" s="42" t="inlineStr">
        <is>
          <t>IOLPORA</t>
        </is>
      </c>
      <c r="B18" s="20" t="inlineStr">
        <is>
          <t>FCI Portafolio Mixto</t>
        </is>
      </c>
      <c r="C18" s="20" t="inlineStr">
        <is>
          <t>55%</t>
        </is>
      </c>
      <c r="D18" s="40" t="inlineStr">
        <is>
          <t>✗ NO</t>
        </is>
      </c>
      <c r="E18" s="12" t="inlineStr">
        <is>
          <t>-95%</t>
        </is>
      </c>
      <c r="F18" s="20" t="inlineStr">
        <is>
          <t>AR$ 20,000</t>
        </is>
      </c>
    </row>
    <row r="19" ht="17" customHeight="1">
      <c r="A19" s="41" t="inlineStr">
        <is>
          <t>TGSU2</t>
        </is>
      </c>
      <c r="B19" s="10" t="inlineStr">
        <is>
          <t>Acción Panel Líder</t>
        </is>
      </c>
      <c r="C19" s="10" t="inlineStr">
        <is>
          <t>55%</t>
        </is>
      </c>
      <c r="D19" s="40" t="inlineStr">
        <is>
          <t>✗ NO</t>
        </is>
      </c>
      <c r="E19" s="12" t="inlineStr">
        <is>
          <t>-95%</t>
        </is>
      </c>
      <c r="F19" s="10" t="inlineStr">
        <is>
          <t>AR$ 18,218</t>
        </is>
      </c>
    </row>
    <row r="20" ht="17" customHeight="1">
      <c r="A20" s="43" t="inlineStr">
        <is>
          <t>TZX26</t>
        </is>
      </c>
      <c r="B20" s="3" t="inlineStr">
        <is>
          <t>Bono CER (ajustable)</t>
        </is>
      </c>
      <c r="C20" s="3" t="inlineStr">
        <is>
          <t>50%</t>
        </is>
      </c>
      <c r="D20" s="40" t="inlineStr">
        <is>
          <t>✗ NO</t>
        </is>
      </c>
      <c r="E20" s="12" t="inlineStr">
        <is>
          <t>-100%</t>
        </is>
      </c>
      <c r="F20" s="3" t="inlineStr">
        <is>
          <t>AR$ 19,985</t>
        </is>
      </c>
    </row>
    <row r="21" ht="17" customHeight="1">
      <c r="A21" s="39" t="inlineStr">
        <is>
          <t>COPX</t>
        </is>
      </c>
      <c r="B21" s="16" t="inlineStr">
        <is>
          <t>CEDEAR ETF Materiales</t>
        </is>
      </c>
      <c r="C21" s="16" t="inlineStr">
        <is>
          <t>50%</t>
        </is>
      </c>
      <c r="D21" s="40" t="inlineStr">
        <is>
          <t>✗ NO</t>
        </is>
      </c>
      <c r="E21" s="12" t="inlineStr">
        <is>
          <t>-100%</t>
        </is>
      </c>
      <c r="F21" s="16" t="inlineStr">
        <is>
          <t>AR$ 18,628</t>
        </is>
      </c>
    </row>
    <row r="22" ht="17" customHeight="1">
      <c r="A22" s="39" t="inlineStr">
        <is>
          <t>GOOGL</t>
        </is>
      </c>
      <c r="B22" s="16" t="inlineStr">
        <is>
          <t>CEDEAR Tecnología</t>
        </is>
      </c>
      <c r="C22" s="16" t="inlineStr">
        <is>
          <t>48%</t>
        </is>
      </c>
      <c r="D22" s="40" t="inlineStr">
        <is>
          <t>✗ NO</t>
        </is>
      </c>
      <c r="E22" s="12" t="inlineStr">
        <is>
          <t>-102%</t>
        </is>
      </c>
      <c r="F22" s="16" t="inlineStr">
        <is>
          <t>AR$ 10,190</t>
        </is>
      </c>
    </row>
    <row r="23" ht="17" customHeight="1">
      <c r="A23" s="41" t="inlineStr">
        <is>
          <t>EDN</t>
        </is>
      </c>
      <c r="B23" s="10" t="inlineStr">
        <is>
          <t>Acción Panel Líder</t>
        </is>
      </c>
      <c r="C23" s="10" t="inlineStr">
        <is>
          <t>45%</t>
        </is>
      </c>
      <c r="D23" s="40" t="inlineStr">
        <is>
          <t>✗ NO</t>
        </is>
      </c>
      <c r="E23" s="12" t="inlineStr">
        <is>
          <t>-105%</t>
        </is>
      </c>
      <c r="F23" s="10" t="inlineStr">
        <is>
          <t>AR$ 7,330</t>
        </is>
      </c>
    </row>
    <row r="24" ht="17" customHeight="1">
      <c r="A24" s="41" t="inlineStr">
        <is>
          <t>TXAR</t>
        </is>
      </c>
      <c r="B24" s="10" t="inlineStr">
        <is>
          <t>Acción Panel Líder</t>
        </is>
      </c>
      <c r="C24" s="10" t="inlineStr">
        <is>
          <t>42%</t>
        </is>
      </c>
      <c r="D24" s="40" t="inlineStr">
        <is>
          <t>✗ NO</t>
        </is>
      </c>
      <c r="E24" s="12" t="inlineStr">
        <is>
          <t>-108%</t>
        </is>
      </c>
      <c r="F24" s="10" t="inlineStr">
        <is>
          <t>AR$ 6,585</t>
        </is>
      </c>
    </row>
    <row r="25" ht="17" customHeight="1">
      <c r="A25" s="43" t="inlineStr">
        <is>
          <t>GD41</t>
        </is>
      </c>
      <c r="B25" s="3" t="inlineStr">
        <is>
          <t>Bono Soberano USD</t>
        </is>
      </c>
      <c r="C25" s="3" t="inlineStr">
        <is>
          <t>40%</t>
        </is>
      </c>
      <c r="D25" s="40" t="inlineStr">
        <is>
          <t>✗ NO</t>
        </is>
      </c>
      <c r="E25" s="12" t="inlineStr">
        <is>
          <t>-110%</t>
        </is>
      </c>
      <c r="F25" s="3" t="inlineStr">
        <is>
          <t>AR$ 19,391</t>
        </is>
      </c>
    </row>
    <row r="26" ht="17" customHeight="1">
      <c r="A26" s="43" t="inlineStr">
        <is>
          <t>AO27</t>
        </is>
      </c>
      <c r="B26" s="3" t="inlineStr">
        <is>
          <t>Bono Tesoro USD</t>
        </is>
      </c>
      <c r="C26" s="3" t="inlineStr">
        <is>
          <t>35%</t>
        </is>
      </c>
      <c r="D26" s="40" t="inlineStr">
        <is>
          <t>✗ NO</t>
        </is>
      </c>
      <c r="E26" s="12" t="inlineStr">
        <is>
          <t>-115%</t>
        </is>
      </c>
      <c r="F26" s="3" t="inlineStr">
        <is>
          <t>AR$ 40,935</t>
        </is>
      </c>
    </row>
    <row r="27" ht="17" customHeight="1">
      <c r="A27" s="43" t="inlineStr">
        <is>
          <t>BPOC7</t>
        </is>
      </c>
      <c r="B27" s="3" t="inlineStr">
        <is>
          <t>Bono BOPREAL USD</t>
        </is>
      </c>
      <c r="C27" s="3" t="inlineStr">
        <is>
          <t>35%</t>
        </is>
      </c>
      <c r="D27" s="40" t="inlineStr">
        <is>
          <t>✗ NO</t>
        </is>
      </c>
      <c r="E27" s="12" t="inlineStr">
        <is>
          <t>-115%</t>
        </is>
      </c>
      <c r="F27" s="3" t="inlineStr">
        <is>
          <t>AR$ 28,854</t>
        </is>
      </c>
    </row>
  </sheetData>
  <mergeCells count="11">
    <mergeCell ref="C9:F9"/>
    <mergeCell ref="C3:F3"/>
    <mergeCell ref="C8:F8"/>
    <mergeCell ref="A13:F13"/>
    <mergeCell ref="C4:F4"/>
    <mergeCell ref="A1:F1"/>
    <mergeCell ref="C6:F6"/>
    <mergeCell ref="C7:F7"/>
    <mergeCell ref="C11:F11"/>
    <mergeCell ref="C10:F10"/>
    <mergeCell ref="C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0" customWidth="1" min="2" max="2"/>
    <col width="22" customWidth="1" min="3" max="3"/>
    <col width="8" customWidth="1" min="4" max="4"/>
    <col width="10" customWidth="1" min="5" max="5"/>
    <col width="14" customWidth="1" min="6" max="6"/>
    <col width="10" customWidth="1" min="7" max="7"/>
    <col width="12" customWidth="1" min="8" max="8"/>
    <col width="15" customWidth="1" min="9" max="9"/>
    <col width="14" customWidth="1" min="10" max="10"/>
    <col width="12" customWidth="1" min="11" max="11"/>
    <col width="12" customWidth="1" min="12" max="12"/>
  </cols>
  <sheetData>
    <row r="1" ht="28" customHeight="1">
      <c r="A1" s="44" t="inlineStr">
        <is>
          <t>NUEVOS INSTRUMENTOS IOL — Objetivo ≥ 150% nominal anual</t>
        </is>
      </c>
    </row>
    <row r="2" ht="30" customHeight="1">
      <c r="A2" s="45" t="inlineStr">
        <is>
          <t>Símbolo</t>
        </is>
      </c>
      <c r="B2" s="45" t="inlineStr">
        <is>
          <t>Instrumento</t>
        </is>
      </c>
      <c r="C2" s="45" t="inlineStr">
        <is>
          <t>Categoría</t>
        </is>
      </c>
      <c r="D2" s="45" t="inlineStr">
        <is>
          <t>Mercado</t>
        </is>
      </c>
      <c r="E2" s="45" t="inlineStr">
        <is>
          <t>Riesgo</t>
        </is>
      </c>
      <c r="F2" s="45" t="inlineStr">
        <is>
          <t>Capital AR$</t>
        </is>
      </c>
      <c r="G2" s="45" t="inlineStr">
        <is>
          <t>% Cartera</t>
        </is>
      </c>
      <c r="H2" s="45" t="inlineStr">
        <is>
          <t>Rend. Esp. %</t>
        </is>
      </c>
      <c r="I2" s="45" t="inlineStr">
        <is>
          <t>Valor Proy. AR$</t>
        </is>
      </c>
      <c r="J2" s="45" t="inlineStr">
        <is>
          <t>Ganancia AR$</t>
        </is>
      </c>
      <c r="K2" s="45" t="inlineStr">
        <is>
          <t>Rend. Real %</t>
        </is>
      </c>
      <c r="L2" s="45" t="inlineStr">
        <is>
          <t>Precio Ref.</t>
        </is>
      </c>
    </row>
    <row r="3" ht="17" customHeight="1">
      <c r="A3" s="10" t="inlineStr">
        <is>
          <t>YPFD</t>
        </is>
      </c>
      <c r="B3" s="11" t="inlineStr">
        <is>
          <t>YPF S.A.</t>
        </is>
      </c>
      <c r="C3" s="11" t="inlineStr">
        <is>
          <t>Energía / Petróleo</t>
        </is>
      </c>
      <c r="D3" s="10" t="inlineStr">
        <is>
          <t>BCBA</t>
        </is>
      </c>
      <c r="E3" s="12" t="inlineStr">
        <is>
          <t>Alto</t>
        </is>
      </c>
      <c r="F3" s="13" t="n">
        <v>70000</v>
      </c>
      <c r="G3" s="46" t="n">
        <v>0.2370782771169371</v>
      </c>
      <c r="H3" s="15" t="n">
        <v>1.7</v>
      </c>
      <c r="I3" s="13" t="n">
        <v>189000</v>
      </c>
      <c r="J3" s="47" t="n">
        <v>119000</v>
      </c>
      <c r="K3" s="15" t="n">
        <v>0.8</v>
      </c>
      <c r="L3" s="10" t="inlineStr">
        <is>
          <t>AR$ 18.200</t>
        </is>
      </c>
    </row>
    <row r="4" ht="17" customHeight="1">
      <c r="A4" s="10" t="inlineStr">
        <is>
          <t>GGAL</t>
        </is>
      </c>
      <c r="B4" s="11" t="inlineStr">
        <is>
          <t>Grupo Fin. Galicia</t>
        </is>
      </c>
      <c r="C4" s="11" t="inlineStr">
        <is>
          <t>Bancario / Finanzas</t>
        </is>
      </c>
      <c r="D4" s="10" t="inlineStr">
        <is>
          <t>BCBA</t>
        </is>
      </c>
      <c r="E4" s="12" t="inlineStr">
        <is>
          <t>Alto</t>
        </is>
      </c>
      <c r="F4" s="13" t="n">
        <v>55000</v>
      </c>
      <c r="G4" s="46" t="n">
        <v>0.1862757891633078</v>
      </c>
      <c r="H4" s="15" t="n">
        <v>1.6</v>
      </c>
      <c r="I4" s="13" t="n">
        <v>143000</v>
      </c>
      <c r="J4" s="47" t="n">
        <v>88000</v>
      </c>
      <c r="K4" s="15" t="n">
        <v>0.7333333333333334</v>
      </c>
      <c r="L4" s="10" t="inlineStr">
        <is>
          <t>AR$ 9.350</t>
        </is>
      </c>
    </row>
    <row r="5" ht="17" customHeight="1">
      <c r="A5" s="48" t="inlineStr">
        <is>
          <t>MELI</t>
        </is>
      </c>
      <c r="B5" s="49" t="inlineStr">
        <is>
          <t>MercadoLibre Inc.</t>
        </is>
      </c>
      <c r="C5" s="49" t="inlineStr">
        <is>
          <t>Tecnología / E-commerce</t>
        </is>
      </c>
      <c r="D5" s="48" t="inlineStr">
        <is>
          <t>BCBA</t>
        </is>
      </c>
      <c r="E5" s="12" t="inlineStr">
        <is>
          <t>Alto</t>
        </is>
      </c>
      <c r="F5" s="50" t="n">
        <v>50000</v>
      </c>
      <c r="G5" s="51" t="n">
        <v>0.1693416265120979</v>
      </c>
      <c r="H5" s="52" t="n">
        <v>1.35</v>
      </c>
      <c r="I5" s="50" t="n">
        <v>117500</v>
      </c>
      <c r="J5" s="47" t="n">
        <v>67500</v>
      </c>
      <c r="K5" s="15" t="n">
        <v>0.5666666666666667</v>
      </c>
      <c r="L5" s="48" t="inlineStr">
        <is>
          <t>AR$ 287.000</t>
        </is>
      </c>
    </row>
    <row r="6" ht="17" customHeight="1">
      <c r="A6" s="53" t="inlineStr">
        <is>
          <t>TQQQ</t>
        </is>
      </c>
      <c r="B6" s="54" t="inlineStr">
        <is>
          <t>ProShares UltraPro QQQ</t>
        </is>
      </c>
      <c r="C6" s="54" t="inlineStr">
        <is>
          <t>ETF Tecnología 3×</t>
        </is>
      </c>
      <c r="D6" s="53" t="inlineStr">
        <is>
          <t>BCBA</t>
        </is>
      </c>
      <c r="E6" s="55" t="inlineStr">
        <is>
          <t>Muy Alto</t>
        </is>
      </c>
      <c r="F6" s="56" t="n">
        <v>40000</v>
      </c>
      <c r="G6" s="57" t="n">
        <v>0.1354733012096783</v>
      </c>
      <c r="H6" s="15" t="n">
        <v>1.55</v>
      </c>
      <c r="I6" s="56" t="n">
        <v>102000</v>
      </c>
      <c r="J6" s="47" t="n">
        <v>62000</v>
      </c>
      <c r="K6" s="15" t="n">
        <v>0.7</v>
      </c>
      <c r="L6" s="53" t="inlineStr">
        <is>
          <t>AR$ 54.000</t>
        </is>
      </c>
    </row>
    <row r="7" ht="17" customHeight="1">
      <c r="A7" s="53" t="inlineStr">
        <is>
          <t>SOXL</t>
        </is>
      </c>
      <c r="B7" s="54" t="inlineStr">
        <is>
          <t>Direxion Semiconductor 3×</t>
        </is>
      </c>
      <c r="C7" s="54" t="inlineStr">
        <is>
          <t>ETF Semiconductores 3×</t>
        </is>
      </c>
      <c r="D7" s="53" t="inlineStr">
        <is>
          <t>BCBA</t>
        </is>
      </c>
      <c r="E7" s="55" t="inlineStr">
        <is>
          <t>Muy Alto</t>
        </is>
      </c>
      <c r="F7" s="56" t="n">
        <v>35000</v>
      </c>
      <c r="G7" s="57" t="n">
        <v>0.1185391385584686</v>
      </c>
      <c r="H7" s="15" t="n">
        <v>1.8</v>
      </c>
      <c r="I7" s="56" t="n">
        <v>98000</v>
      </c>
      <c r="J7" s="47" t="n">
        <v>63000</v>
      </c>
      <c r="K7" s="15" t="n">
        <v>0.8666666666666665</v>
      </c>
      <c r="L7" s="53" t="inlineStr">
        <is>
          <t>AR$ 29.800</t>
        </is>
      </c>
    </row>
    <row r="8" ht="17" customHeight="1">
      <c r="A8" s="10" t="inlineStr">
        <is>
          <t>LOMA</t>
        </is>
      </c>
      <c r="B8" s="11" t="inlineStr">
        <is>
          <t>Loma Negra C.I.A.S.A.</t>
        </is>
      </c>
      <c r="C8" s="11" t="inlineStr">
        <is>
          <t>Materiales / Construcción</t>
        </is>
      </c>
      <c r="D8" s="10" t="inlineStr">
        <is>
          <t>BCBA</t>
        </is>
      </c>
      <c r="E8" s="12" t="inlineStr">
        <is>
          <t>Alto</t>
        </is>
      </c>
      <c r="F8" s="13" t="n">
        <v>25000</v>
      </c>
      <c r="G8" s="46" t="n">
        <v>0.08467081325604897</v>
      </c>
      <c r="H8" s="15" t="n">
        <v>1.55</v>
      </c>
      <c r="I8" s="13" t="n">
        <v>63750</v>
      </c>
      <c r="J8" s="47" t="n">
        <v>38750</v>
      </c>
      <c r="K8" s="15" t="n">
        <v>0.7</v>
      </c>
      <c r="L8" s="10" t="inlineStr">
        <is>
          <t>AR$ 1.140</t>
        </is>
      </c>
    </row>
    <row r="9" ht="17" customHeight="1">
      <c r="A9" s="10" t="inlineStr">
        <is>
          <t>SUPV</t>
        </is>
      </c>
      <c r="B9" s="11" t="inlineStr">
        <is>
          <t>Grupo Supervielle S.A.</t>
        </is>
      </c>
      <c r="C9" s="11" t="inlineStr">
        <is>
          <t>Bancario / Fintech</t>
        </is>
      </c>
      <c r="D9" s="10" t="inlineStr">
        <is>
          <t>BCBA</t>
        </is>
      </c>
      <c r="E9" s="12" t="inlineStr">
        <is>
          <t>Alto</t>
        </is>
      </c>
      <c r="F9" s="13" t="n">
        <v>20261.13</v>
      </c>
      <c r="G9" s="46" t="n">
        <v>0.06862105418346126</v>
      </c>
      <c r="H9" s="52" t="n">
        <v>1.45</v>
      </c>
      <c r="I9" s="13" t="n">
        <v>49639.77</v>
      </c>
      <c r="J9" s="47" t="n">
        <v>29378.64</v>
      </c>
      <c r="K9" s="15" t="n">
        <v>0.6333333333333335</v>
      </c>
      <c r="L9" s="10" t="inlineStr">
        <is>
          <t>AR$ 820</t>
        </is>
      </c>
    </row>
    <row r="10" ht="20" customHeight="1">
      <c r="A10" s="58" t="inlineStr">
        <is>
          <t>TOTAL PORTAFOLIO PROPUESTO</t>
        </is>
      </c>
      <c r="F10" s="59" t="n">
        <v>295261.13</v>
      </c>
      <c r="G10" s="58" t="inlineStr">
        <is>
          <t>100%</t>
        </is>
      </c>
      <c r="H10" s="60" t="n">
        <v>1.583779890024806</v>
      </c>
      <c r="I10" s="59" t="n">
        <v>762889.77</v>
      </c>
      <c r="J10" s="59" t="n">
        <v>467628.64</v>
      </c>
      <c r="K10" s="60" t="n">
        <v>0.7225199266832041</v>
      </c>
      <c r="L10" s="58" t="inlineStr"/>
    </row>
    <row r="12" ht="18" customHeight="1">
      <c r="A12" s="61" t="inlineStr">
        <is>
          <t>RACIONAL DE SELECCIÓN</t>
        </is>
      </c>
    </row>
    <row r="13" ht="18" customHeight="1">
      <c r="A13" s="38" t="inlineStr">
        <is>
          <t>Símbolo</t>
        </is>
      </c>
      <c r="B13" s="38" t="inlineStr">
        <is>
          <t>Racional de Inversión</t>
        </is>
      </c>
    </row>
    <row r="14" ht="30" customHeight="1">
      <c r="A14" s="43" t="inlineStr">
        <is>
          <t>YPFD</t>
        </is>
      </c>
      <c r="B14" s="62" t="inlineStr">
        <is>
          <t>Vaca Muerta impulsa producción récord. YPF lidera extracción shale; objetivo precio implica +170% ARS con ajuste cambiario incluido.</t>
        </is>
      </c>
    </row>
    <row r="15" ht="30" customHeight="1">
      <c r="A15" s="43" t="inlineStr">
        <is>
          <t>GGAL</t>
        </is>
      </c>
      <c r="B15" s="62" t="inlineStr">
        <is>
          <t>Mayor banco privado de Argentina. Normalización crediticia y baja de inflación favorecen expansión de margen financiero.</t>
        </is>
      </c>
    </row>
    <row r="16" ht="30" customHeight="1">
      <c r="A16" s="43" t="inlineStr">
        <is>
          <t>MELI</t>
        </is>
      </c>
      <c r="B16" s="62" t="inlineStr">
        <is>
          <t>CEDEAR que replica MELI (Nasdaq). Crecimiento de GMV &gt;25% anual; efecto doble: apreciación en USD + devaluación ARS ≈ 135% ARS.</t>
        </is>
      </c>
    </row>
    <row r="17" ht="30" customHeight="1">
      <c r="A17" s="43" t="inlineStr">
        <is>
          <t>TQQQ</t>
        </is>
      </c>
      <c r="B17" s="62" t="inlineStr">
        <is>
          <t>ETF 3× NASDAQ 100. Con rally tecnológico del +25% en USD, TQQQ genera +75% en USD; multiplicado por FX alcanza ~155% en ARS.</t>
        </is>
      </c>
    </row>
    <row r="18" ht="30" customHeight="1">
      <c r="A18" s="43" t="inlineStr">
        <is>
          <t>SOXL</t>
        </is>
      </c>
      <c r="B18" s="62" t="inlineStr">
        <is>
          <t>ETF 3× semiconductores. Demanda de chips IA sostiene rally del sector; +35% SOX en USD → SOXL +105% USD × FX = ~180% ARS.</t>
        </is>
      </c>
    </row>
    <row r="19" ht="30" customHeight="1">
      <c r="A19" s="43" t="inlineStr">
        <is>
          <t>LOMA</t>
        </is>
      </c>
      <c r="B19" s="62" t="inlineStr">
        <is>
          <t>Mayor cementera de Argentina. Plan de obras públicas e inversión privada en vivienda impulsan volúmenes y pricing power.</t>
        </is>
      </c>
    </row>
    <row r="20" ht="30" customHeight="1">
      <c r="A20" s="43" t="inlineStr">
        <is>
          <t>SUPV</t>
        </is>
      </c>
      <c r="B20" s="62" t="inlineStr">
        <is>
          <t>Banco + fintech (IOL, Invertir). Expansión digital y recuperación de márgenes bancarios en contexto de menor inflación.</t>
        </is>
      </c>
    </row>
  </sheetData>
  <mergeCells count="10">
    <mergeCell ref="B16:L16"/>
    <mergeCell ref="A10:E10"/>
    <mergeCell ref="B15:L15"/>
    <mergeCell ref="A1:L1"/>
    <mergeCell ref="B19:L19"/>
    <mergeCell ref="B20:L20"/>
    <mergeCell ref="B18:L18"/>
    <mergeCell ref="B14:L14"/>
    <mergeCell ref="B17:L17"/>
    <mergeCell ref="A12:L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 ht="28" customHeight="1">
      <c r="A1" s="1" t="inlineStr">
        <is>
          <t>COMPARATIVO — Portafolio Actual vs. Portafolio Propuesto IOL</t>
        </is>
      </c>
    </row>
    <row r="2">
      <c r="A2" s="24" t="inlineStr">
        <is>
          <t>Métrica</t>
        </is>
      </c>
      <c r="B2" s="24" t="inlineStr">
        <is>
          <t>Portafolio ACTUAL</t>
        </is>
      </c>
      <c r="C2" s="58" t="inlineStr">
        <is>
          <t>Portafolio PROPUESTO</t>
        </is>
      </c>
    </row>
    <row r="3" ht="22" customHeight="1">
      <c r="A3" s="27" t="inlineStr">
        <is>
          <t>Capital total invertido (AR$)</t>
        </is>
      </c>
      <c r="B3" s="63" t="inlineStr">
        <is>
          <t>295,261.13</t>
        </is>
      </c>
      <c r="C3" s="64" t="inlineStr">
        <is>
          <t>295,261.13</t>
        </is>
      </c>
    </row>
    <row r="4" ht="22" customHeight="1">
      <c r="A4" s="27" t="inlineStr">
        <is>
          <t>Valor proyectado 1 año (AR$)</t>
        </is>
      </c>
      <c r="B4" s="63" t="inlineStr">
        <is>
          <t>449,419.56</t>
        </is>
      </c>
      <c r="C4" s="64" t="inlineStr">
        <is>
          <t>762,889.77</t>
        </is>
      </c>
    </row>
    <row r="5" ht="22" customHeight="1">
      <c r="A5" s="27" t="inlineStr">
        <is>
          <t>Ganancia bruta esperada (AR$)</t>
        </is>
      </c>
      <c r="B5" s="63" t="inlineStr">
        <is>
          <t>154,158.43</t>
        </is>
      </c>
      <c r="C5" s="64" t="inlineStr">
        <is>
          <t>467,628.64</t>
        </is>
      </c>
    </row>
    <row r="6" ht="22" customHeight="1">
      <c r="A6" s="27" t="inlineStr">
        <is>
          <t>Rendimiento nominal anual (%)</t>
        </is>
      </c>
      <c r="B6" s="63" t="inlineStr">
        <is>
          <t>52.21%</t>
        </is>
      </c>
      <c r="C6" s="64" t="inlineStr">
        <is>
          <t>158.38%</t>
        </is>
      </c>
    </row>
    <row r="7" ht="22" customHeight="1">
      <c r="A7" s="27" t="inlineStr">
        <is>
          <t>Inflación proyectada anual (%)</t>
        </is>
      </c>
      <c r="B7" s="63" t="inlineStr">
        <is>
          <t>50%</t>
        </is>
      </c>
      <c r="C7" s="64" t="inlineStr">
        <is>
          <t>50%</t>
        </is>
      </c>
    </row>
    <row r="8" ht="22" customHeight="1">
      <c r="A8" s="27" t="inlineStr">
        <is>
          <t>Objetivo 3× inflación (%)</t>
        </is>
      </c>
      <c r="B8" s="63" t="inlineStr">
        <is>
          <t>150%</t>
        </is>
      </c>
      <c r="C8" s="64" t="inlineStr">
        <is>
          <t>150%</t>
        </is>
      </c>
    </row>
    <row r="9" ht="22" customHeight="1">
      <c r="A9" s="27" t="inlineStr">
        <is>
          <t>¿Supera objetivo 150%?</t>
        </is>
      </c>
      <c r="B9" s="30" t="inlineStr">
        <is>
          <t>✗  NO</t>
        </is>
      </c>
      <c r="C9" s="33" t="inlineStr">
        <is>
          <t>✓  SÍ</t>
        </is>
      </c>
    </row>
    <row r="10" ht="22" customHeight="1">
      <c r="A10" s="27" t="inlineStr">
        <is>
          <t>Rendimiento real anual (%)</t>
        </is>
      </c>
      <c r="B10" s="63" t="inlineStr">
        <is>
          <t>1.47%</t>
        </is>
      </c>
      <c r="C10" s="64" t="inlineStr">
        <is>
          <t>72.25%</t>
        </is>
      </c>
    </row>
    <row r="11" ht="22" customHeight="1">
      <c r="A11" s="27" t="inlineStr">
        <is>
          <t>Ganancia adicional vs actual</t>
        </is>
      </c>
      <c r="B11" s="63" t="inlineStr">
        <is>
          <t>—</t>
        </is>
      </c>
      <c r="C11" s="64" t="inlineStr">
        <is>
          <t>AR$ 313,470.21</t>
        </is>
      </c>
    </row>
    <row r="12" ht="22" customHeight="1">
      <c r="A12" s="27" t="inlineStr">
        <is>
          <t>N° instrumentos</t>
        </is>
      </c>
      <c r="B12" s="63" t="inlineStr">
        <is>
          <t>13 símbolos</t>
        </is>
      </c>
      <c r="C12" s="64" t="inlineStr">
        <is>
          <t>7 instrumentos</t>
        </is>
      </c>
    </row>
    <row r="13" ht="22" customHeight="1">
      <c r="A13" s="27" t="inlineStr">
        <is>
          <t>Perfil de riesgo dominante</t>
        </is>
      </c>
      <c r="B13" s="63" t="inlineStr">
        <is>
          <t>Medio-Alto</t>
        </is>
      </c>
      <c r="C13" s="64" t="inlineStr">
        <is>
          <t>Alto / Muy Alto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ANÁLISIS VISUAL — COMPARATIVO DE RENDIMIENTOS</t>
        </is>
      </c>
    </row>
    <row r="3">
      <c r="Q3" t="inlineStr">
        <is>
          <t>Instrumento</t>
        </is>
      </c>
      <c r="R3" t="inlineStr">
        <is>
          <t>Rend Actual %</t>
        </is>
      </c>
      <c r="S3" t="inlineStr">
        <is>
          <t>Rend Propuesto %</t>
        </is>
      </c>
      <c r="T3" t="inlineStr">
        <is>
          <t>Objetivo %</t>
        </is>
      </c>
      <c r="V3" t="inlineStr">
        <is>
          <t>Instrumento</t>
        </is>
      </c>
      <c r="W3" t="inlineStr">
        <is>
          <t>Capital AR$</t>
        </is>
      </c>
    </row>
    <row r="4">
      <c r="Q4" t="inlineStr">
        <is>
          <t>GD41</t>
        </is>
      </c>
      <c r="R4" t="n">
        <v>0.4</v>
      </c>
      <c r="T4" t="n">
        <v>1.5</v>
      </c>
      <c r="V4" t="inlineStr">
        <is>
          <t>YPFD</t>
        </is>
      </c>
      <c r="W4" t="n">
        <v>70000</v>
      </c>
    </row>
    <row r="5">
      <c r="Q5" t="inlineStr">
        <is>
          <t>AO27</t>
        </is>
      </c>
      <c r="R5" t="n">
        <v>0.35</v>
      </c>
      <c r="T5" t="n">
        <v>1.5</v>
      </c>
      <c r="V5" t="inlineStr">
        <is>
          <t>GGAL</t>
        </is>
      </c>
      <c r="W5" t="n">
        <v>55000</v>
      </c>
    </row>
    <row r="6">
      <c r="Q6" t="inlineStr">
        <is>
          <t>BMA</t>
        </is>
      </c>
      <c r="R6" t="n">
        <v>0.65</v>
      </c>
      <c r="T6" t="n">
        <v>1.5</v>
      </c>
      <c r="V6" t="inlineStr">
        <is>
          <t>MELI</t>
        </is>
      </c>
      <c r="W6" t="n">
        <v>50000</v>
      </c>
    </row>
    <row r="7">
      <c r="Q7" t="inlineStr">
        <is>
          <t>GOOGL</t>
        </is>
      </c>
      <c r="R7" t="n">
        <v>0.48</v>
      </c>
      <c r="T7" t="n">
        <v>1.5</v>
      </c>
      <c r="V7" t="inlineStr">
        <is>
          <t>TQQQ</t>
        </is>
      </c>
      <c r="W7" t="n">
        <v>40000</v>
      </c>
    </row>
    <row r="8">
      <c r="Q8" t="inlineStr">
        <is>
          <t>VIST</t>
        </is>
      </c>
      <c r="R8" t="n">
        <v>0.7</v>
      </c>
      <c r="T8" t="n">
        <v>1.5</v>
      </c>
      <c r="V8" t="inlineStr">
        <is>
          <t>SOXL</t>
        </is>
      </c>
      <c r="W8" t="n">
        <v>35000</v>
      </c>
    </row>
    <row r="9">
      <c r="Q9" t="inlineStr">
        <is>
          <t>TZX26</t>
        </is>
      </c>
      <c r="R9" t="n">
        <v>0.5</v>
      </c>
      <c r="T9" t="n">
        <v>1.5</v>
      </c>
      <c r="V9" t="inlineStr">
        <is>
          <t>LOMA</t>
        </is>
      </c>
      <c r="W9" t="n">
        <v>25000</v>
      </c>
    </row>
    <row r="10">
      <c r="Q10" t="inlineStr">
        <is>
          <t>IOLPORA</t>
        </is>
      </c>
      <c r="R10" t="n">
        <v>0.55</v>
      </c>
      <c r="T10" t="n">
        <v>1.5</v>
      </c>
      <c r="V10" t="inlineStr">
        <is>
          <t>SUPV</t>
        </is>
      </c>
      <c r="W10" t="n">
        <v>20261.13</v>
      </c>
    </row>
    <row r="11">
      <c r="Q11" t="inlineStr">
        <is>
          <t>PAMP</t>
        </is>
      </c>
      <c r="R11" t="n">
        <v>0.7</v>
      </c>
      <c r="T11" t="n">
        <v>1.5</v>
      </c>
    </row>
    <row r="12">
      <c r="Q12" t="inlineStr">
        <is>
          <t>TGSU2</t>
        </is>
      </c>
      <c r="R12" t="n">
        <v>0.55</v>
      </c>
      <c r="T12" t="n">
        <v>1.5</v>
      </c>
    </row>
    <row r="13">
      <c r="Q13" t="inlineStr">
        <is>
          <t>COPX</t>
        </is>
      </c>
      <c r="R13" t="n">
        <v>0.5</v>
      </c>
      <c r="T13" t="n">
        <v>1.5</v>
      </c>
    </row>
    <row r="14">
      <c r="Q14" t="inlineStr">
        <is>
          <t>EDN</t>
        </is>
      </c>
      <c r="R14" t="n">
        <v>0.45</v>
      </c>
      <c r="T14" t="n">
        <v>1.5</v>
      </c>
    </row>
    <row r="15">
      <c r="Q15" t="inlineStr">
        <is>
          <t>TXAR</t>
        </is>
      </c>
      <c r="R15" t="n">
        <v>0.42</v>
      </c>
      <c r="T15" t="n">
        <v>1.5</v>
      </c>
    </row>
    <row r="16">
      <c r="Q16" t="inlineStr">
        <is>
          <t>BPOC7</t>
        </is>
      </c>
      <c r="R16" t="n">
        <v>0.35</v>
      </c>
      <c r="T16" t="n">
        <v>1.5</v>
      </c>
    </row>
    <row r="17">
      <c r="Q17" t="inlineStr">
        <is>
          <t>YPFD</t>
        </is>
      </c>
      <c r="S17" t="n">
        <v>1.7</v>
      </c>
      <c r="T17" t="n">
        <v>1.5</v>
      </c>
    </row>
    <row r="18">
      <c r="Q18" t="inlineStr">
        <is>
          <t>GGAL</t>
        </is>
      </c>
      <c r="S18" t="n">
        <v>1.6</v>
      </c>
      <c r="T18" t="n">
        <v>1.5</v>
      </c>
    </row>
    <row r="19">
      <c r="Q19" t="inlineStr">
        <is>
          <t>MELI</t>
        </is>
      </c>
      <c r="S19" t="n">
        <v>1.35</v>
      </c>
      <c r="T19" t="n">
        <v>1.5</v>
      </c>
    </row>
    <row r="20">
      <c r="Q20" t="inlineStr">
        <is>
          <t>TQQQ</t>
        </is>
      </c>
      <c r="S20" t="n">
        <v>1.55</v>
      </c>
      <c r="T20" t="n">
        <v>1.5</v>
      </c>
    </row>
    <row r="21">
      <c r="Q21" t="inlineStr">
        <is>
          <t>SOXL</t>
        </is>
      </c>
      <c r="S21" t="n">
        <v>1.8</v>
      </c>
      <c r="T21" t="n">
        <v>1.5</v>
      </c>
    </row>
    <row r="22">
      <c r="Q22" t="inlineStr">
        <is>
          <t>LOMA</t>
        </is>
      </c>
      <c r="S22" t="n">
        <v>1.55</v>
      </c>
      <c r="T22" t="n">
        <v>1.5</v>
      </c>
    </row>
    <row r="23">
      <c r="Q23" t="inlineStr">
        <is>
          <t>SUPV</t>
        </is>
      </c>
      <c r="S23" t="n">
        <v>1.45</v>
      </c>
      <c r="T23" t="n">
        <v>1.5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2026-05-22T01:28:13Z</dcterms:created>
  <dcterms:modified xsi:type="dcterms:W3CDTF">2026-05-22T01:28:13Z</dcterms:modified>
</cp:coreProperties>
</file>