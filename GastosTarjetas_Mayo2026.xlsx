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a Santander" sheetId="1" state="visible" r:id="rId1"/>
    <sheet name="Amex Santander" sheetId="2" state="visible" r:id="rId2"/>
    <sheet name="Amex" sheetId="3" state="visible" r:id="rId3"/>
    <sheet name="Resumen Consolidado" sheetId="4" state="visible" r:id="rId4"/>
    <sheet name="Por Categoría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FFFFFF"/>
      <sz val="16"/>
    </font>
  </fonts>
  <fills count="22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6DA4"/>
      </patternFill>
    </fill>
    <fill>
      <patternFill patternType="solid">
        <fgColor rgb="00D5F0DC"/>
      </patternFill>
    </fill>
    <fill>
      <patternFill patternType="solid">
        <fgColor rgb="00FFE4B5"/>
      </patternFill>
    </fill>
    <fill>
      <patternFill patternType="solid">
        <fgColor rgb="00E8E8E8"/>
      </patternFill>
    </fill>
    <fill>
      <patternFill patternType="solid">
        <fgColor rgb="00FFFACD"/>
      </patternFill>
    </fill>
    <fill>
      <patternFill patternType="solid">
        <fgColor rgb="00FFD5B5"/>
      </patternFill>
    </fill>
    <fill>
      <patternFill patternType="solid">
        <fgColor rgb="00E8D5FF"/>
      </patternFill>
    </fill>
    <fill>
      <patternFill patternType="solid">
        <fgColor rgb="00FFD5EC"/>
      </patternFill>
    </fill>
    <fill>
      <patternFill patternType="solid">
        <fgColor rgb="00B5FFD5"/>
      </patternFill>
    </fill>
    <fill>
      <patternFill patternType="solid">
        <fgColor rgb="00FFDDB5"/>
      </patternFill>
    </fill>
    <fill>
      <patternFill patternType="solid">
        <fgColor rgb="00D5FFD5"/>
      </patternFill>
    </fill>
    <fill>
      <patternFill patternType="solid">
        <fgColor rgb="00D5ECFF"/>
      </patternFill>
    </fill>
    <fill>
      <patternFill patternType="solid">
        <fgColor rgb="00FFC000"/>
      </patternFill>
    </fill>
    <fill>
      <patternFill patternType="solid">
        <fgColor rgb="001E5C30"/>
      </patternFill>
    </fill>
    <fill>
      <patternFill patternType="solid">
        <fgColor rgb="00B5D5FF"/>
      </patternFill>
    </fill>
    <fill>
      <patternFill patternType="solid">
        <fgColor rgb="00FFB5D5"/>
      </patternFill>
    </fill>
    <fill>
      <patternFill patternType="solid">
        <fgColor rgb="007B2D8B"/>
      </patternFill>
    </fill>
    <fill>
      <patternFill patternType="solid">
        <fgColor rgb="00D6E8F7"/>
      </patternFill>
    </fill>
    <fill>
      <patternFill patternType="solid">
        <fgColor rgb="00B45309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4" fontId="5" fillId="9" borderId="1" applyAlignment="1" pivotButton="0" quotePrefix="0" xfId="0">
      <alignment horizontal="right" vertical="center"/>
    </xf>
    <xf numFmtId="165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4" fontId="5" fillId="10" borderId="1" applyAlignment="1" pivotButton="0" quotePrefix="0" xfId="0">
      <alignment horizontal="right" vertical="center"/>
    </xf>
    <xf numFmtId="165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4" fontId="5" fillId="11" borderId="1" applyAlignment="1" pivotButton="0" quotePrefix="0" xfId="0">
      <alignment horizontal="right" vertical="center"/>
    </xf>
    <xf numFmtId="165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4" fontId="5" fillId="12" borderId="1" applyAlignment="1" pivotButton="0" quotePrefix="0" xfId="0">
      <alignment horizontal="right" vertical="center"/>
    </xf>
    <xf numFmtId="165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4" fontId="5" fillId="13" borderId="1" applyAlignment="1" pivotButton="0" quotePrefix="0" xfId="0">
      <alignment horizontal="right" vertical="center"/>
    </xf>
    <xf numFmtId="165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4" fontId="5" fillId="1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4" fontId="7" fillId="15" borderId="2" applyAlignment="1" pivotButton="0" quotePrefix="0" xfId="0">
      <alignment horizontal="right" vertical="center"/>
    </xf>
    <xf numFmtId="0" fontId="5" fillId="0" borderId="0" pivotButton="0" quotePrefix="0" xfId="0"/>
    <xf numFmtId="166" fontId="3" fillId="9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3" fillId="11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66" fontId="3" fillId="13" borderId="1" applyAlignment="1" pivotButton="0" quotePrefix="0" xfId="0">
      <alignment horizontal="center" vertical="center"/>
    </xf>
    <xf numFmtId="166" fontId="3" fillId="12" borderId="1" applyAlignment="1" pivotButton="0" quotePrefix="0" xfId="0">
      <alignment horizontal="center" vertical="center"/>
    </xf>
    <xf numFmtId="166" fontId="3" fillId="14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165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4" fontId="5" fillId="17" borderId="1" applyAlignment="1" pivotButton="0" quotePrefix="0" xfId="0">
      <alignment horizontal="right" vertical="center"/>
    </xf>
    <xf numFmtId="165" fontId="3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4" fontId="5" fillId="18" borderId="1" applyAlignment="1" pivotButton="0" quotePrefix="0" xfId="0">
      <alignment horizontal="right" vertical="center"/>
    </xf>
    <xf numFmtId="166" fontId="3" fillId="17" borderId="1" applyAlignment="1" pivotButton="0" quotePrefix="0" xfId="0">
      <alignment horizontal="center" vertical="center"/>
    </xf>
    <xf numFmtId="166" fontId="3" fillId="18" borderId="1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4" fontId="5" fillId="20" borderId="1" applyAlignment="1" pivotButton="0" quotePrefix="0" xfId="0">
      <alignment horizontal="right" vertical="center"/>
    </xf>
    <xf numFmtId="166" fontId="3" fillId="20" borderId="1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/>
    </xf>
    <xf numFmtId="166" fontId="5" fillId="15" borderId="2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4" fontId="3" fillId="17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4" fontId="3" fillId="11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4" fontId="3" fillId="12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left" vertical="center"/>
    </xf>
    <xf numFmtId="4" fontId="3" fillId="18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4" fontId="3" fillId="13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4" fontId="3" fillId="10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left" vertical="center"/>
    </xf>
    <xf numFmtId="4" fontId="3" fillId="14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16" borderId="0" pivotButton="0" quotePrefix="0" xfId="0"/>
    <xf numFmtId="0" fontId="0" fillId="19" borderId="0" pivotButton="0" quotePrefix="0" xfId="0"/>
    <xf numFmtId="0" fontId="0" fillId="21" borderId="0" pivotButton="0" quotePrefix="0" xfId="0"/>
    <xf numFmtId="4" fontId="1" fillId="2" borderId="0" applyAlignment="1" pivotButton="0" quotePrefix="0" xfId="0">
      <alignment horizontal="center" vertical="center"/>
    </xf>
    <xf numFmtId="4" fontId="1" fillId="16" borderId="0" applyAlignment="1" pivotButton="0" quotePrefix="0" xfId="0">
      <alignment horizontal="center" vertical="center"/>
    </xf>
    <xf numFmtId="4" fontId="1" fillId="19" borderId="0" applyAlignment="1" pivotButton="0" quotePrefix="0" xfId="0">
      <alignment horizontal="center" vertical="center"/>
    </xf>
    <xf numFmtId="4" fontId="1" fillId="21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'Dashboard'!X11</f>
            </strRef>
          </tx>
          <spPr>
            <a:ln>
              <a:prstDash val="solid"/>
            </a:ln>
          </spPr>
          <cat>
            <numRef>
              <f>'Dashboard'!$W$12:$W$24</f>
            </numRef>
          </cat>
          <val>
            <numRef>
              <f>'Dashboard'!$X$12:$X$24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Tarjeta</a:t>
            </a:r>
          </a:p>
        </rich>
      </tx>
    </title>
    <plotArea>
      <pieChart>
        <varyColors val="1"/>
        <ser>
          <idx val="0"/>
          <order val="0"/>
          <tx>
            <strRef>
              <f>'Dashboard'!AA11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A3C5E"/>
              </a:solidFill>
              <a:ln>
                <a:prstDash val="solid"/>
              </a:ln>
            </spPr>
          </dPt>
          <dPt>
            <idx val="1"/>
            <spPr>
              <a:solidFill>
                <a:srgbClr val="1E5C30"/>
              </a:solidFill>
              <a:ln>
                <a:prstDash val="solid"/>
              </a:ln>
            </spPr>
          </dPt>
          <dPt>
            <idx val="2"/>
            <spPr>
              <a:solidFill>
                <a:srgbClr val="7B2D8B"/>
              </a:solidFill>
              <a:ln>
                <a:prstDash val="solid"/>
              </a:ln>
            </spPr>
          </dPt>
          <cat>
            <numRef>
              <f>'Dashboard'!$Z$12:$Z$14</f>
            </numRef>
          </cat>
          <val>
            <numRef>
              <f>'Dashboard'!$AA$12:$AA$14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10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9" customWidth="1" min="4" max="4"/>
    <col width="16" customWidth="1" min="5" max="5"/>
    <col width="9" customWidth="1" min="6" max="6"/>
    <col width="10" customWidth="1" min="7" max="7"/>
  </cols>
  <sheetData>
    <row r="1" ht="28" customHeight="1">
      <c r="A1" s="1" t="inlineStr">
        <is>
          <t>Tarjeta: Visa Santander  —  Mayo 2026</t>
        </is>
      </c>
    </row>
    <row r="2" ht="18" customHeight="1">
      <c r="A2" s="2" t="inlineStr">
        <is>
          <t>Fecha</t>
        </is>
      </c>
      <c r="B2" s="2" t="inlineStr">
        <is>
          <t>Descripción</t>
        </is>
      </c>
      <c r="C2" s="2" t="inlineStr">
        <is>
          <t>Categoría</t>
        </is>
      </c>
      <c r="D2" s="2" t="inlineStr">
        <is>
          <t>Tipo</t>
        </is>
      </c>
      <c r="E2" s="2" t="inlineStr">
        <is>
          <t>Monto AR$</t>
        </is>
      </c>
      <c r="F2" s="2" t="inlineStr">
        <is>
          <t>Cuota</t>
        </is>
      </c>
      <c r="G2" s="2" t="inlineStr">
        <is>
          <t>Nro Cuota</t>
        </is>
      </c>
    </row>
    <row r="3">
      <c r="A3" s="3" t="n">
        <v>46144</v>
      </c>
      <c r="B3" s="4" t="inlineStr">
        <is>
          <t>Carrefour Express Palermo</t>
        </is>
      </c>
      <c r="C3" s="5" t="inlineStr">
        <is>
          <t>Supermercado</t>
        </is>
      </c>
      <c r="D3" s="6" t="inlineStr">
        <is>
          <t>Normal</t>
        </is>
      </c>
      <c r="E3" s="7" t="n">
        <v>68400</v>
      </c>
      <c r="F3" s="5" t="inlineStr"/>
      <c r="G3" s="5" t="inlineStr"/>
    </row>
    <row r="4">
      <c r="A4" s="3" t="n">
        <v>46145</v>
      </c>
      <c r="B4" s="4" t="inlineStr">
        <is>
          <t>Coto Martinez</t>
        </is>
      </c>
      <c r="C4" s="5" t="inlineStr">
        <is>
          <t>Supermercado</t>
        </is>
      </c>
      <c r="D4" s="6" t="inlineStr">
        <is>
          <t>Normal</t>
        </is>
      </c>
      <c r="E4" s="7" t="n">
        <v>42300</v>
      </c>
      <c r="F4" s="5" t="inlineStr"/>
      <c r="G4" s="5" t="inlineStr"/>
    </row>
    <row r="5">
      <c r="A5" s="3" t="n">
        <v>46147</v>
      </c>
      <c r="B5" s="4" t="inlineStr">
        <is>
          <t>Disco Belgrano</t>
        </is>
      </c>
      <c r="C5" s="5" t="inlineStr">
        <is>
          <t>Supermercado</t>
        </is>
      </c>
      <c r="D5" s="6" t="inlineStr">
        <is>
          <t>Normal</t>
        </is>
      </c>
      <c r="E5" s="7" t="n">
        <v>35800</v>
      </c>
      <c r="F5" s="5" t="inlineStr"/>
      <c r="G5" s="5" t="inlineStr"/>
    </row>
    <row r="6">
      <c r="A6" s="3" t="n">
        <v>46160</v>
      </c>
      <c r="B6" s="4" t="inlineStr">
        <is>
          <t>Carrefour Caballito</t>
        </is>
      </c>
      <c r="C6" s="5" t="inlineStr">
        <is>
          <t>Supermercado</t>
        </is>
      </c>
      <c r="D6" s="6" t="inlineStr">
        <is>
          <t>Normal</t>
        </is>
      </c>
      <c r="E6" s="7" t="n">
        <v>28600</v>
      </c>
      <c r="F6" s="5" t="inlineStr"/>
      <c r="G6" s="5" t="inlineStr"/>
    </row>
    <row r="7">
      <c r="A7" s="8" t="n">
        <v>46146</v>
      </c>
      <c r="B7" s="9" t="inlineStr">
        <is>
          <t>La Cabrera Palermo</t>
        </is>
      </c>
      <c r="C7" s="10" t="inlineStr">
        <is>
          <t>Restaurantes y Bares</t>
        </is>
      </c>
      <c r="D7" s="11" t="inlineStr">
        <is>
          <t>Normal</t>
        </is>
      </c>
      <c r="E7" s="12" t="n">
        <v>42000</v>
      </c>
      <c r="F7" s="10" t="inlineStr"/>
      <c r="G7" s="10" t="inlineStr"/>
    </row>
    <row r="8">
      <c r="A8" s="8" t="n">
        <v>46150</v>
      </c>
      <c r="B8" s="9" t="inlineStr">
        <is>
          <t>Sushi Pop Núñez</t>
        </is>
      </c>
      <c r="C8" s="10" t="inlineStr">
        <is>
          <t>Restaurantes y Bares</t>
        </is>
      </c>
      <c r="D8" s="11" t="inlineStr">
        <is>
          <t>Normal</t>
        </is>
      </c>
      <c r="E8" s="12" t="n">
        <v>38500</v>
      </c>
      <c r="F8" s="10" t="inlineStr"/>
      <c r="G8" s="10" t="inlineStr"/>
    </row>
    <row r="9">
      <c r="A9" s="8" t="n">
        <v>46154</v>
      </c>
      <c r="B9" s="9" t="inlineStr">
        <is>
          <t>Hamburguesa Nostra Villa Urquiza</t>
        </is>
      </c>
      <c r="C9" s="10" t="inlineStr">
        <is>
          <t>Restaurantes y Bares</t>
        </is>
      </c>
      <c r="D9" s="11" t="inlineStr">
        <is>
          <t>Normal</t>
        </is>
      </c>
      <c r="E9" s="12" t="n">
        <v>24800</v>
      </c>
      <c r="F9" s="10" t="inlineStr"/>
      <c r="G9" s="10" t="inlineStr"/>
    </row>
    <row r="10">
      <c r="A10" s="8" t="n">
        <v>46157</v>
      </c>
      <c r="B10" s="9" t="inlineStr">
        <is>
          <t>Freddo Belgrano</t>
        </is>
      </c>
      <c r="C10" s="10" t="inlineStr">
        <is>
          <t>Restaurantes y Bares</t>
        </is>
      </c>
      <c r="D10" s="11" t="inlineStr">
        <is>
          <t>Normal</t>
        </is>
      </c>
      <c r="E10" s="12" t="n">
        <v>9600</v>
      </c>
      <c r="F10" s="10" t="inlineStr"/>
      <c r="G10" s="10" t="inlineStr"/>
    </row>
    <row r="11">
      <c r="A11" s="13" t="n">
        <v>46162</v>
      </c>
      <c r="B11" s="14" t="inlineStr">
        <is>
          <t>Café Martínez Recoleta</t>
        </is>
      </c>
      <c r="C11" s="15" t="inlineStr">
        <is>
          <t>Otros</t>
        </is>
      </c>
      <c r="D11" s="16" t="inlineStr">
        <is>
          <t>Normal</t>
        </is>
      </c>
      <c r="E11" s="17" t="n">
        <v>8900</v>
      </c>
      <c r="F11" s="15" t="inlineStr"/>
      <c r="G11" s="15" t="inlineStr"/>
    </row>
    <row r="12">
      <c r="A12" s="18" t="n">
        <v>46145</v>
      </c>
      <c r="B12" s="19" t="inlineStr">
        <is>
          <t>Rappi Delivery</t>
        </is>
      </c>
      <c r="C12" s="20" t="inlineStr">
        <is>
          <t>Delivery</t>
        </is>
      </c>
      <c r="D12" s="21" t="inlineStr">
        <is>
          <t>Normal</t>
        </is>
      </c>
      <c r="E12" s="22" t="n">
        <v>18200</v>
      </c>
      <c r="F12" s="20" t="inlineStr"/>
      <c r="G12" s="20" t="inlineStr"/>
    </row>
    <row r="13">
      <c r="A13" s="18" t="n">
        <v>46152</v>
      </c>
      <c r="B13" s="19" t="inlineStr">
        <is>
          <t>Rappi Delivery</t>
        </is>
      </c>
      <c r="C13" s="20" t="inlineStr">
        <is>
          <t>Delivery</t>
        </is>
      </c>
      <c r="D13" s="21" t="inlineStr">
        <is>
          <t>Normal</t>
        </is>
      </c>
      <c r="E13" s="22" t="n">
        <v>22400</v>
      </c>
      <c r="F13" s="20" t="inlineStr"/>
      <c r="G13" s="20" t="inlineStr"/>
    </row>
    <row r="14">
      <c r="A14" s="18" t="n">
        <v>46159</v>
      </c>
      <c r="B14" s="19" t="inlineStr">
        <is>
          <t>Rappi Delivery</t>
        </is>
      </c>
      <c r="C14" s="20" t="inlineStr">
        <is>
          <t>Delivery</t>
        </is>
      </c>
      <c r="D14" s="21" t="inlineStr">
        <is>
          <t>Normal</t>
        </is>
      </c>
      <c r="E14" s="22" t="n">
        <v>19800</v>
      </c>
      <c r="F14" s="20" t="inlineStr"/>
      <c r="G14" s="20" t="inlineStr"/>
    </row>
    <row r="15">
      <c r="A15" s="18" t="n">
        <v>46149</v>
      </c>
      <c r="B15" s="19" t="inlineStr">
        <is>
          <t>PedidosYa</t>
        </is>
      </c>
      <c r="C15" s="20" t="inlineStr">
        <is>
          <t>Delivery</t>
        </is>
      </c>
      <c r="D15" s="21" t="inlineStr">
        <is>
          <t>Normal</t>
        </is>
      </c>
      <c r="E15" s="22" t="n">
        <v>15600</v>
      </c>
      <c r="F15" s="20" t="inlineStr"/>
      <c r="G15" s="20" t="inlineStr"/>
    </row>
    <row r="16">
      <c r="A16" s="18" t="n">
        <v>46156</v>
      </c>
      <c r="B16" s="19" t="inlineStr">
        <is>
          <t>PedidosYa</t>
        </is>
      </c>
      <c r="C16" s="20" t="inlineStr">
        <is>
          <t>Delivery</t>
        </is>
      </c>
      <c r="D16" s="21" t="inlineStr">
        <is>
          <t>Normal</t>
        </is>
      </c>
      <c r="E16" s="22" t="n">
        <v>12400</v>
      </c>
      <c r="F16" s="20" t="inlineStr"/>
      <c r="G16" s="20" t="inlineStr"/>
    </row>
    <row r="17">
      <c r="A17" s="23" t="n">
        <v>46148</v>
      </c>
      <c r="B17" s="24" t="inlineStr">
        <is>
          <t>YPF Palermo</t>
        </is>
      </c>
      <c r="C17" s="25" t="inlineStr">
        <is>
          <t>Combustible</t>
        </is>
      </c>
      <c r="D17" s="26" t="inlineStr">
        <is>
          <t>Normal</t>
        </is>
      </c>
      <c r="E17" s="27" t="n">
        <v>48300</v>
      </c>
      <c r="F17" s="25" t="inlineStr"/>
      <c r="G17" s="25" t="inlineStr"/>
    </row>
    <row r="18">
      <c r="A18" s="23" t="n">
        <v>46161</v>
      </c>
      <c r="B18" s="24" t="inlineStr">
        <is>
          <t>YPF España</t>
        </is>
      </c>
      <c r="C18" s="25" t="inlineStr">
        <is>
          <t>Combustible</t>
        </is>
      </c>
      <c r="D18" s="26" t="inlineStr">
        <is>
          <t>Normal</t>
        </is>
      </c>
      <c r="E18" s="27" t="n">
        <v>51200</v>
      </c>
      <c r="F18" s="25" t="inlineStr"/>
      <c r="G18" s="25" t="inlineStr"/>
    </row>
    <row r="19">
      <c r="A19" s="28" t="n">
        <v>46143</v>
      </c>
      <c r="B19" s="29" t="inlineStr">
        <is>
          <t>Movistar</t>
        </is>
      </c>
      <c r="C19" s="30" t="inlineStr">
        <is>
          <t>Servicios Fijos</t>
        </is>
      </c>
      <c r="D19" s="31" t="inlineStr">
        <is>
          <t>Normal</t>
        </is>
      </c>
      <c r="E19" s="32" t="n">
        <v>24800</v>
      </c>
      <c r="F19" s="30" t="inlineStr"/>
      <c r="G19" s="30" t="inlineStr"/>
    </row>
    <row r="20">
      <c r="A20" s="33" t="n">
        <v>46143</v>
      </c>
      <c r="B20" s="34" t="inlineStr">
        <is>
          <t>Netflix</t>
        </is>
      </c>
      <c r="C20" s="35" t="inlineStr">
        <is>
          <t>Entretenimiento</t>
        </is>
      </c>
      <c r="D20" s="36" t="inlineStr">
        <is>
          <t>Normal</t>
        </is>
      </c>
      <c r="E20" s="37" t="n">
        <v>6490</v>
      </c>
      <c r="F20" s="35" t="inlineStr"/>
      <c r="G20" s="35" t="inlineStr"/>
    </row>
    <row r="21">
      <c r="A21" s="28" t="n">
        <v>46143</v>
      </c>
      <c r="B21" s="29" t="inlineStr">
        <is>
          <t>OSDE prepaga</t>
        </is>
      </c>
      <c r="C21" s="30" t="inlineStr">
        <is>
          <t>Servicios Fijos</t>
        </is>
      </c>
      <c r="D21" s="31" t="inlineStr">
        <is>
          <t>Normal</t>
        </is>
      </c>
      <c r="E21" s="32" t="n">
        <v>142000</v>
      </c>
      <c r="F21" s="30" t="inlineStr"/>
      <c r="G21" s="30" t="inlineStr"/>
    </row>
    <row r="22">
      <c r="A22" s="28" t="n">
        <v>46144</v>
      </c>
      <c r="B22" s="29" t="inlineStr">
        <is>
          <t>Gym BodySystems</t>
        </is>
      </c>
      <c r="C22" s="30" t="inlineStr">
        <is>
          <t>Servicios Fijos</t>
        </is>
      </c>
      <c r="D22" s="31" t="inlineStr">
        <is>
          <t>Normal</t>
        </is>
      </c>
      <c r="E22" s="32" t="n">
        <v>28500</v>
      </c>
      <c r="F22" s="30" t="inlineStr"/>
      <c r="G22" s="30" t="inlineStr"/>
    </row>
    <row r="23">
      <c r="A23" s="28" t="n">
        <v>46147</v>
      </c>
      <c r="B23" s="29" t="inlineStr">
        <is>
          <t>Edesur</t>
        </is>
      </c>
      <c r="C23" s="30" t="inlineStr">
        <is>
          <t>Servicios Fijos</t>
        </is>
      </c>
      <c r="D23" s="31" t="inlineStr">
        <is>
          <t>Normal</t>
        </is>
      </c>
      <c r="E23" s="32" t="n">
        <v>18400</v>
      </c>
      <c r="F23" s="30" t="inlineStr"/>
      <c r="G23" s="30" t="inlineStr"/>
    </row>
    <row r="24">
      <c r="A24" s="28" t="n">
        <v>46147</v>
      </c>
      <c r="B24" s="29" t="inlineStr">
        <is>
          <t>Metrogas</t>
        </is>
      </c>
      <c r="C24" s="30" t="inlineStr">
        <is>
          <t>Servicios Fijos</t>
        </is>
      </c>
      <c r="D24" s="31" t="inlineStr">
        <is>
          <t>Normal</t>
        </is>
      </c>
      <c r="E24" s="32" t="n">
        <v>12300</v>
      </c>
      <c r="F24" s="30" t="inlineStr"/>
      <c r="G24" s="30" t="inlineStr"/>
    </row>
    <row r="25">
      <c r="A25" s="38" t="n">
        <v>46151</v>
      </c>
      <c r="B25" s="39" t="inlineStr">
        <is>
          <t>LG Smart TV CTA 3/12</t>
        </is>
      </c>
      <c r="C25" s="40" t="inlineStr">
        <is>
          <t>Tecnología</t>
        </is>
      </c>
      <c r="D25" s="41" t="inlineStr">
        <is>
          <t>Cuota</t>
        </is>
      </c>
      <c r="E25" s="42" t="n">
        <v>45000</v>
      </c>
      <c r="F25" s="40" t="inlineStr">
        <is>
          <t>3/12</t>
        </is>
      </c>
      <c r="G25" s="40" t="n">
        <v>3</v>
      </c>
    </row>
    <row r="26">
      <c r="A26" s="43" t="n">
        <v>46151</v>
      </c>
      <c r="B26" s="44" t="inlineStr">
        <is>
          <t>Sillón Mepal CTA 5/18</t>
        </is>
      </c>
      <c r="C26" s="45" t="inlineStr">
        <is>
          <t>Hogar y Deco</t>
        </is>
      </c>
      <c r="D26" s="46" t="inlineStr">
        <is>
          <t>Cuota</t>
        </is>
      </c>
      <c r="E26" s="47" t="n">
        <v>38200</v>
      </c>
      <c r="F26" s="45" t="inlineStr">
        <is>
          <t>5/18</t>
        </is>
      </c>
      <c r="G26" s="45" t="n">
        <v>5</v>
      </c>
    </row>
    <row r="27">
      <c r="A27" s="38" t="n">
        <v>46151</v>
      </c>
      <c r="B27" s="39" t="inlineStr">
        <is>
          <t>iPhone 15 CTA 1/24</t>
        </is>
      </c>
      <c r="C27" s="40" t="inlineStr">
        <is>
          <t>Tecnología</t>
        </is>
      </c>
      <c r="D27" s="41" t="inlineStr">
        <is>
          <t>Cuota</t>
        </is>
      </c>
      <c r="E27" s="42" t="n">
        <v>82500</v>
      </c>
      <c r="F27" s="40" t="inlineStr">
        <is>
          <t>1/24</t>
        </is>
      </c>
      <c r="G27" s="40" t="n">
        <v>1</v>
      </c>
    </row>
    <row r="28">
      <c r="A28" s="8" t="n">
        <v>46151</v>
      </c>
      <c r="B28" s="9" t="inlineStr">
        <is>
          <t>Viaje Bariloche CTA 2/6</t>
        </is>
      </c>
      <c r="C28" s="10" t="inlineStr">
        <is>
          <t>Restaurantes y Bares</t>
        </is>
      </c>
      <c r="D28" s="11" t="inlineStr">
        <is>
          <t>Cuota</t>
        </is>
      </c>
      <c r="E28" s="12" t="n">
        <v>68400</v>
      </c>
      <c r="F28" s="10" t="inlineStr">
        <is>
          <t>2/6</t>
        </is>
      </c>
      <c r="G28" s="10" t="n">
        <v>2</v>
      </c>
    </row>
    <row r="29">
      <c r="A29" s="48" t="n">
        <v>46153</v>
      </c>
      <c r="B29" s="49" t="inlineStr">
        <is>
          <t>Farmacity Palermo</t>
        </is>
      </c>
      <c r="C29" s="50" t="inlineStr">
        <is>
          <t>Salud</t>
        </is>
      </c>
      <c r="D29" s="51" t="inlineStr">
        <is>
          <t>Normal</t>
        </is>
      </c>
      <c r="E29" s="52" t="n">
        <v>12400</v>
      </c>
      <c r="F29" s="50" t="inlineStr"/>
      <c r="G29" s="50" t="inlineStr"/>
    </row>
    <row r="30">
      <c r="A30" s="48" t="n">
        <v>46164</v>
      </c>
      <c r="B30" s="49" t="inlineStr">
        <is>
          <t>Farmacity Belgrano</t>
        </is>
      </c>
      <c r="C30" s="50" t="inlineStr">
        <is>
          <t>Salud</t>
        </is>
      </c>
      <c r="D30" s="51" t="inlineStr">
        <is>
          <t>Normal</t>
        </is>
      </c>
      <c r="E30" s="52" t="n">
        <v>8700</v>
      </c>
      <c r="F30" s="50" t="inlineStr"/>
      <c r="G30" s="50" t="inlineStr"/>
    </row>
    <row r="31">
      <c r="A31" s="48" t="n">
        <v>46158</v>
      </c>
      <c r="B31" s="49" t="inlineStr">
        <is>
          <t>Óptica Visión Sur</t>
        </is>
      </c>
      <c r="C31" s="50" t="inlineStr">
        <is>
          <t>Salud</t>
        </is>
      </c>
      <c r="D31" s="51" t="inlineStr">
        <is>
          <t>Normal</t>
        </is>
      </c>
      <c r="E31" s="52" t="n">
        <v>35000</v>
      </c>
      <c r="F31" s="50" t="inlineStr"/>
      <c r="G31" s="50" t="inlineStr"/>
    </row>
    <row r="32">
      <c r="A32" s="53" t="n">
        <v>46146</v>
      </c>
      <c r="B32" s="54" t="inlineStr">
        <is>
          <t>Uber</t>
        </is>
      </c>
      <c r="C32" s="55" t="inlineStr">
        <is>
          <t>Transporte Local</t>
        </is>
      </c>
      <c r="D32" s="56" t="inlineStr">
        <is>
          <t>Normal</t>
        </is>
      </c>
      <c r="E32" s="57" t="n">
        <v>4200</v>
      </c>
      <c r="F32" s="55" t="inlineStr"/>
      <c r="G32" s="55" t="inlineStr"/>
    </row>
    <row r="33">
      <c r="A33" s="53" t="n">
        <v>46155</v>
      </c>
      <c r="B33" s="54" t="inlineStr">
        <is>
          <t>Uber</t>
        </is>
      </c>
      <c r="C33" s="55" t="inlineStr">
        <is>
          <t>Transporte Local</t>
        </is>
      </c>
      <c r="D33" s="56" t="inlineStr">
        <is>
          <t>Normal</t>
        </is>
      </c>
      <c r="E33" s="57" t="n">
        <v>3800</v>
      </c>
      <c r="F33" s="55" t="inlineStr"/>
      <c r="G33" s="55" t="inlineStr"/>
    </row>
    <row r="34">
      <c r="A34" s="53" t="n">
        <v>46163</v>
      </c>
      <c r="B34" s="54" t="inlineStr">
        <is>
          <t>Uber</t>
        </is>
      </c>
      <c r="C34" s="55" t="inlineStr">
        <is>
          <t>Transporte Local</t>
        </is>
      </c>
      <c r="D34" s="56" t="inlineStr">
        <is>
          <t>Normal</t>
        </is>
      </c>
      <c r="E34" s="57" t="n">
        <v>5100</v>
      </c>
      <c r="F34" s="55" t="inlineStr"/>
      <c r="G34" s="55" t="inlineStr"/>
    </row>
    <row r="35">
      <c r="A35" s="53" t="n">
        <v>46149</v>
      </c>
      <c r="B35" s="54" t="inlineStr">
        <is>
          <t>Peaje AU Panamericana</t>
        </is>
      </c>
      <c r="C35" s="55" t="inlineStr">
        <is>
          <t>Transporte Local</t>
        </is>
      </c>
      <c r="D35" s="56" t="inlineStr">
        <is>
          <t>Normal</t>
        </is>
      </c>
      <c r="E35" s="57" t="n">
        <v>1200</v>
      </c>
      <c r="F35" s="55" t="inlineStr"/>
      <c r="G35" s="55" t="inlineStr"/>
    </row>
    <row r="37">
      <c r="A37" s="58" t="inlineStr">
        <is>
          <t>TOTAL</t>
        </is>
      </c>
      <c r="E37" s="59" t="n">
        <v>1023790</v>
      </c>
    </row>
    <row r="39">
      <c r="A39" s="60" t="inlineStr">
        <is>
          <t>Subtotales por Categoría</t>
        </is>
      </c>
    </row>
    <row r="40" ht="18" customHeight="1">
      <c r="A40" s="2" t="inlineStr">
        <is>
          <t>Categoría</t>
        </is>
      </c>
      <c r="B40" s="2" t="inlineStr">
        <is>
          <t>Total AR$</t>
        </is>
      </c>
      <c r="C40" s="2" t="inlineStr">
        <is>
          <t>%</t>
        </is>
      </c>
    </row>
    <row r="41">
      <c r="A41" s="29" t="inlineStr">
        <is>
          <t>Servicios Fijos</t>
        </is>
      </c>
      <c r="B41" s="32" t="n">
        <v>226000</v>
      </c>
      <c r="C41" s="61" t="n">
        <v>0.2207483956670802</v>
      </c>
    </row>
    <row r="42">
      <c r="A42" s="9" t="inlineStr">
        <is>
          <t>Restaurantes y Bares</t>
        </is>
      </c>
      <c r="B42" s="12" t="n">
        <v>183300</v>
      </c>
      <c r="C42" s="62" t="n">
        <v>0.1790406235653796</v>
      </c>
    </row>
    <row r="43">
      <c r="A43" s="4" t="inlineStr">
        <is>
          <t>Supermercado</t>
        </is>
      </c>
      <c r="B43" s="7" t="n">
        <v>175100</v>
      </c>
      <c r="C43" s="63" t="n">
        <v>0.1710311685013528</v>
      </c>
    </row>
    <row r="44">
      <c r="A44" s="39" t="inlineStr">
        <is>
          <t>Tecnología</t>
        </is>
      </c>
      <c r="B44" s="42" t="n">
        <v>127500</v>
      </c>
      <c r="C44" s="64" t="n">
        <v>0.1245372586174899</v>
      </c>
    </row>
    <row r="45">
      <c r="A45" s="24" t="inlineStr">
        <is>
          <t>Combustible</t>
        </is>
      </c>
      <c r="B45" s="27" t="n">
        <v>99500</v>
      </c>
      <c r="C45" s="65" t="n">
        <v>0.09718789986227644</v>
      </c>
    </row>
    <row r="46">
      <c r="A46" s="19" t="inlineStr">
        <is>
          <t>Delivery</t>
        </is>
      </c>
      <c r="B46" s="22" t="n">
        <v>88400</v>
      </c>
      <c r="C46" s="66" t="n">
        <v>0.08634583264145966</v>
      </c>
    </row>
    <row r="47">
      <c r="A47" s="49" t="inlineStr">
        <is>
          <t>Salud</t>
        </is>
      </c>
      <c r="B47" s="52" t="n">
        <v>56100</v>
      </c>
      <c r="C47" s="67" t="n">
        <v>0.05479639379169556</v>
      </c>
    </row>
    <row r="48">
      <c r="A48" s="44" t="inlineStr">
        <is>
          <t>Hogar y Deco</t>
        </is>
      </c>
      <c r="B48" s="47" t="n">
        <v>38200</v>
      </c>
      <c r="C48" s="68" t="n">
        <v>0.03731233944461267</v>
      </c>
    </row>
    <row r="49">
      <c r="A49" s="54" t="inlineStr">
        <is>
          <t>Transporte Local</t>
        </is>
      </c>
      <c r="B49" s="57" t="n">
        <v>14300</v>
      </c>
      <c r="C49" s="69" t="n">
        <v>0.01396770822141259</v>
      </c>
    </row>
    <row r="50">
      <c r="A50" s="14" t="inlineStr">
        <is>
          <t>Otros</t>
        </is>
      </c>
      <c r="B50" s="17" t="n">
        <v>8900</v>
      </c>
      <c r="C50" s="70" t="n">
        <v>0.008693189032907139</v>
      </c>
    </row>
    <row r="51">
      <c r="A51" s="34" t="inlineStr">
        <is>
          <t>Entretenimiento</t>
        </is>
      </c>
      <c r="B51" s="37" t="n">
        <v>6490</v>
      </c>
      <c r="C51" s="71" t="n">
        <v>0.006339190654333408</v>
      </c>
    </row>
  </sheetData>
  <mergeCells count="2">
    <mergeCell ref="A37:D3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9" customWidth="1" min="4" max="4"/>
    <col width="16" customWidth="1" min="5" max="5"/>
    <col width="9" customWidth="1" min="6" max="6"/>
    <col width="10" customWidth="1" min="7" max="7"/>
  </cols>
  <sheetData>
    <row r="1" ht="28" customHeight="1">
      <c r="A1" s="72" t="inlineStr">
        <is>
          <t>Tarjeta: Amex Santander  —  Mayo 2026</t>
        </is>
      </c>
    </row>
    <row r="2" ht="18" customHeight="1">
      <c r="A2" s="2" t="inlineStr">
        <is>
          <t>Fecha</t>
        </is>
      </c>
      <c r="B2" s="2" t="inlineStr">
        <is>
          <t>Descripción</t>
        </is>
      </c>
      <c r="C2" s="2" t="inlineStr">
        <is>
          <t>Categoría</t>
        </is>
      </c>
      <c r="D2" s="2" t="inlineStr">
        <is>
          <t>Tipo</t>
        </is>
      </c>
      <c r="E2" s="2" t="inlineStr">
        <is>
          <t>Monto AR$</t>
        </is>
      </c>
      <c r="F2" s="2" t="inlineStr">
        <is>
          <t>Cuota</t>
        </is>
      </c>
      <c r="G2" s="2" t="inlineStr">
        <is>
          <t>Nro Cuota</t>
        </is>
      </c>
    </row>
    <row r="3">
      <c r="A3" s="73" t="n">
        <v>46145</v>
      </c>
      <c r="B3" s="74" t="inlineStr">
        <is>
          <t>Aerolíneas Argentinas BUE-BRC</t>
        </is>
      </c>
      <c r="C3" s="75" t="inlineStr">
        <is>
          <t>Viajes</t>
        </is>
      </c>
      <c r="D3" s="76" t="inlineStr">
        <is>
          <t>Normal</t>
        </is>
      </c>
      <c r="E3" s="77" t="n">
        <v>185400</v>
      </c>
      <c r="F3" s="75" t="inlineStr"/>
      <c r="G3" s="75" t="inlineStr"/>
    </row>
    <row r="4">
      <c r="A4" s="73" t="n">
        <v>46160</v>
      </c>
      <c r="B4" s="74" t="inlineStr">
        <is>
          <t>Aerolíneas Argentinas BRC-BUE</t>
        </is>
      </c>
      <c r="C4" s="75" t="inlineStr">
        <is>
          <t>Viajes</t>
        </is>
      </c>
      <c r="D4" s="76" t="inlineStr">
        <is>
          <t>Normal</t>
        </is>
      </c>
      <c r="E4" s="77" t="n">
        <v>195200</v>
      </c>
      <c r="F4" s="75" t="inlineStr"/>
      <c r="G4" s="75" t="inlineStr"/>
    </row>
    <row r="5">
      <c r="A5" s="73" t="n">
        <v>46146</v>
      </c>
      <c r="B5" s="74" t="inlineStr">
        <is>
          <t>Booking.com Hotel Patagonico</t>
        </is>
      </c>
      <c r="C5" s="75" t="inlineStr">
        <is>
          <t>Viajes</t>
        </is>
      </c>
      <c r="D5" s="76" t="inlineStr">
        <is>
          <t>Normal</t>
        </is>
      </c>
      <c r="E5" s="77" t="n">
        <v>320000</v>
      </c>
      <c r="F5" s="75" t="inlineStr"/>
      <c r="G5" s="75" t="inlineStr"/>
    </row>
    <row r="6">
      <c r="A6" s="73" t="n">
        <v>46152</v>
      </c>
      <c r="B6" s="74" t="inlineStr">
        <is>
          <t>NH Hotel Crillon BA</t>
        </is>
      </c>
      <c r="C6" s="75" t="inlineStr">
        <is>
          <t>Viajes</t>
        </is>
      </c>
      <c r="D6" s="76" t="inlineStr">
        <is>
          <t>Normal</t>
        </is>
      </c>
      <c r="E6" s="77" t="n">
        <v>185000</v>
      </c>
      <c r="F6" s="75" t="inlineStr"/>
      <c r="G6" s="75" t="inlineStr"/>
    </row>
    <row r="7">
      <c r="A7" s="73" t="n">
        <v>46162</v>
      </c>
      <c r="B7" s="74" t="inlineStr">
        <is>
          <t>Despegar.com Mendoza</t>
        </is>
      </c>
      <c r="C7" s="75" t="inlineStr">
        <is>
          <t>Viajes</t>
        </is>
      </c>
      <c r="D7" s="76" t="inlineStr">
        <is>
          <t>Normal</t>
        </is>
      </c>
      <c r="E7" s="77" t="n">
        <v>248000</v>
      </c>
      <c r="F7" s="75" t="inlineStr"/>
      <c r="G7" s="75" t="inlineStr"/>
    </row>
    <row r="8">
      <c r="A8" s="8" t="n">
        <v>46148</v>
      </c>
      <c r="B8" s="9" t="inlineStr">
        <is>
          <t>Don Julio Palermo</t>
        </is>
      </c>
      <c r="C8" s="10" t="inlineStr">
        <is>
          <t>Restaurantes y Bares</t>
        </is>
      </c>
      <c r="D8" s="11" t="inlineStr">
        <is>
          <t>Normal</t>
        </is>
      </c>
      <c r="E8" s="12" t="n">
        <v>86500</v>
      </c>
      <c r="F8" s="10" t="inlineStr"/>
      <c r="G8" s="10" t="inlineStr"/>
    </row>
    <row r="9">
      <c r="A9" s="8" t="n">
        <v>46151</v>
      </c>
      <c r="B9" s="9" t="inlineStr">
        <is>
          <t>Mishiguene</t>
        </is>
      </c>
      <c r="C9" s="10" t="inlineStr">
        <is>
          <t>Restaurantes y Bares</t>
        </is>
      </c>
      <c r="D9" s="11" t="inlineStr">
        <is>
          <t>Normal</t>
        </is>
      </c>
      <c r="E9" s="12" t="n">
        <v>72300</v>
      </c>
      <c r="F9" s="10" t="inlineStr"/>
      <c r="G9" s="10" t="inlineStr"/>
    </row>
    <row r="10">
      <c r="A10" s="8" t="n">
        <v>46156</v>
      </c>
      <c r="B10" s="9" t="inlineStr">
        <is>
          <t>El Preferido de Palermo</t>
        </is>
      </c>
      <c r="C10" s="10" t="inlineStr">
        <is>
          <t>Restaurantes y Bares</t>
        </is>
      </c>
      <c r="D10" s="11" t="inlineStr">
        <is>
          <t>Normal</t>
        </is>
      </c>
      <c r="E10" s="12" t="n">
        <v>48200</v>
      </c>
      <c r="F10" s="10" t="inlineStr"/>
      <c r="G10" s="10" t="inlineStr"/>
    </row>
    <row r="11">
      <c r="A11" s="8" t="n">
        <v>46161</v>
      </c>
      <c r="B11" s="9" t="inlineStr">
        <is>
          <t>Aramburu Recoleta</t>
        </is>
      </c>
      <c r="C11" s="10" t="inlineStr">
        <is>
          <t>Restaurantes y Bares</t>
        </is>
      </c>
      <c r="D11" s="11" t="inlineStr">
        <is>
          <t>Normal</t>
        </is>
      </c>
      <c r="E11" s="12" t="n">
        <v>124000</v>
      </c>
      <c r="F11" s="10" t="inlineStr"/>
      <c r="G11" s="10" t="inlineStr"/>
    </row>
    <row r="12">
      <c r="A12" s="28" t="n">
        <v>46143</v>
      </c>
      <c r="B12" s="29" t="inlineStr">
        <is>
          <t>Personal HogarNet</t>
        </is>
      </c>
      <c r="C12" s="30" t="inlineStr">
        <is>
          <t>Servicios Fijos</t>
        </is>
      </c>
      <c r="D12" s="31" t="inlineStr">
        <is>
          <t>Normal</t>
        </is>
      </c>
      <c r="E12" s="32" t="n">
        <v>32400</v>
      </c>
      <c r="F12" s="30" t="inlineStr"/>
      <c r="G12" s="30" t="inlineStr"/>
    </row>
    <row r="13">
      <c r="A13" s="28" t="n">
        <v>46143</v>
      </c>
      <c r="B13" s="29" t="inlineStr">
        <is>
          <t>DirecTV GO</t>
        </is>
      </c>
      <c r="C13" s="30" t="inlineStr">
        <is>
          <t>Servicios Fijos</t>
        </is>
      </c>
      <c r="D13" s="31" t="inlineStr">
        <is>
          <t>Normal</t>
        </is>
      </c>
      <c r="E13" s="32" t="n">
        <v>18900</v>
      </c>
      <c r="F13" s="30" t="inlineStr"/>
      <c r="G13" s="30" t="inlineStr"/>
    </row>
    <row r="14">
      <c r="A14" s="33" t="n">
        <v>46143</v>
      </c>
      <c r="B14" s="34" t="inlineStr">
        <is>
          <t>Spotify</t>
        </is>
      </c>
      <c r="C14" s="35" t="inlineStr">
        <is>
          <t>Entretenimiento</t>
        </is>
      </c>
      <c r="D14" s="36" t="inlineStr">
        <is>
          <t>Normal</t>
        </is>
      </c>
      <c r="E14" s="37" t="n">
        <v>3990</v>
      </c>
      <c r="F14" s="35" t="inlineStr"/>
      <c r="G14" s="35" t="inlineStr"/>
    </row>
    <row r="15">
      <c r="A15" s="3" t="n">
        <v>46149</v>
      </c>
      <c r="B15" s="4" t="inlineStr">
        <is>
          <t>Jumbo Unicenter</t>
        </is>
      </c>
      <c r="C15" s="5" t="inlineStr">
        <is>
          <t>Supermercado</t>
        </is>
      </c>
      <c r="D15" s="6" t="inlineStr">
        <is>
          <t>Normal</t>
        </is>
      </c>
      <c r="E15" s="7" t="n">
        <v>98600</v>
      </c>
      <c r="F15" s="5" t="inlineStr"/>
      <c r="G15" s="5" t="inlineStr"/>
    </row>
    <row r="16">
      <c r="A16" s="3" t="n">
        <v>46157</v>
      </c>
      <c r="B16" s="4" t="inlineStr">
        <is>
          <t>Jumbo Martinez</t>
        </is>
      </c>
      <c r="C16" s="5" t="inlineStr">
        <is>
          <t>Supermercado</t>
        </is>
      </c>
      <c r="D16" s="6" t="inlineStr">
        <is>
          <t>Normal</t>
        </is>
      </c>
      <c r="E16" s="7" t="n">
        <v>76400</v>
      </c>
      <c r="F16" s="5" t="inlineStr"/>
      <c r="G16" s="5" t="inlineStr"/>
    </row>
    <row r="17">
      <c r="A17" s="23" t="n">
        <v>46147</v>
      </c>
      <c r="B17" s="24" t="inlineStr">
        <is>
          <t>Shell Av. Libertador</t>
        </is>
      </c>
      <c r="C17" s="25" t="inlineStr">
        <is>
          <t>Combustible</t>
        </is>
      </c>
      <c r="D17" s="26" t="inlineStr">
        <is>
          <t>Normal</t>
        </is>
      </c>
      <c r="E17" s="27" t="n">
        <v>52800</v>
      </c>
      <c r="F17" s="25" t="inlineStr"/>
      <c r="G17" s="25" t="inlineStr"/>
    </row>
    <row r="18">
      <c r="A18" s="23" t="n">
        <v>46158</v>
      </c>
      <c r="B18" s="24" t="inlineStr">
        <is>
          <t>Shell Panamericana</t>
        </is>
      </c>
      <c r="C18" s="25" t="inlineStr">
        <is>
          <t>Combustible</t>
        </is>
      </c>
      <c r="D18" s="26" t="inlineStr">
        <is>
          <t>Normal</t>
        </is>
      </c>
      <c r="E18" s="27" t="n">
        <v>49600</v>
      </c>
      <c r="F18" s="25" t="inlineStr"/>
      <c r="G18" s="25" t="inlineStr"/>
    </row>
    <row r="19">
      <c r="A19" s="28" t="n">
        <v>46143</v>
      </c>
      <c r="B19" s="29" t="inlineStr">
        <is>
          <t>Swiss Medical prepaga</t>
        </is>
      </c>
      <c r="C19" s="30" t="inlineStr">
        <is>
          <t>Servicios Fijos</t>
        </is>
      </c>
      <c r="D19" s="31" t="inlineStr">
        <is>
          <t>Normal</t>
        </is>
      </c>
      <c r="E19" s="32" t="n">
        <v>285000</v>
      </c>
      <c r="F19" s="30" t="inlineStr"/>
      <c r="G19" s="30" t="inlineStr"/>
    </row>
    <row r="20">
      <c r="A20" s="48" t="n">
        <v>46153</v>
      </c>
      <c r="B20" s="49" t="inlineStr">
        <is>
          <t>Farmacity Premium</t>
        </is>
      </c>
      <c r="C20" s="50" t="inlineStr">
        <is>
          <t>Salud</t>
        </is>
      </c>
      <c r="D20" s="51" t="inlineStr">
        <is>
          <t>Normal</t>
        </is>
      </c>
      <c r="E20" s="52" t="n">
        <v>24300</v>
      </c>
      <c r="F20" s="50" t="inlineStr"/>
      <c r="G20" s="50" t="inlineStr"/>
    </row>
    <row r="21">
      <c r="A21" s="38" t="n">
        <v>46150</v>
      </c>
      <c r="B21" s="39" t="inlineStr">
        <is>
          <t>Samsung Galaxy CTA 2/18</t>
        </is>
      </c>
      <c r="C21" s="40" t="inlineStr">
        <is>
          <t>Tecnología</t>
        </is>
      </c>
      <c r="D21" s="41" t="inlineStr">
        <is>
          <t>Cuota</t>
        </is>
      </c>
      <c r="E21" s="42" t="n">
        <v>78500</v>
      </c>
      <c r="F21" s="40" t="inlineStr">
        <is>
          <t>2/18</t>
        </is>
      </c>
      <c r="G21" s="40" t="n">
        <v>2</v>
      </c>
    </row>
    <row r="22">
      <c r="A22" s="43" t="n">
        <v>46150</v>
      </c>
      <c r="B22" s="44" t="inlineStr">
        <is>
          <t>Bicicleta Estática CTA 4/12</t>
        </is>
      </c>
      <c r="C22" s="45" t="inlineStr">
        <is>
          <t>Hogar y Deco</t>
        </is>
      </c>
      <c r="D22" s="46" t="inlineStr">
        <is>
          <t>Cuota</t>
        </is>
      </c>
      <c r="E22" s="47" t="n">
        <v>42000</v>
      </c>
      <c r="F22" s="45" t="inlineStr">
        <is>
          <t>4/12</t>
        </is>
      </c>
      <c r="G22" s="45" t="n">
        <v>4</v>
      </c>
    </row>
    <row r="23">
      <c r="A23" s="78" t="n">
        <v>46150</v>
      </c>
      <c r="B23" s="79" t="inlineStr">
        <is>
          <t>Viaje Europa CTA 1/12</t>
        </is>
      </c>
      <c r="C23" s="80" t="inlineStr">
        <is>
          <t>Indumentaria</t>
        </is>
      </c>
      <c r="D23" s="81" t="inlineStr">
        <is>
          <t>Cuota</t>
        </is>
      </c>
      <c r="E23" s="82" t="n">
        <v>168000</v>
      </c>
      <c r="F23" s="80" t="inlineStr">
        <is>
          <t>1/12</t>
        </is>
      </c>
      <c r="G23" s="80" t="n">
        <v>1</v>
      </c>
    </row>
    <row r="24">
      <c r="A24" s="78" t="n">
        <v>46154</v>
      </c>
      <c r="B24" s="79" t="inlineStr">
        <is>
          <t>Zara Abasto CTA 1/3</t>
        </is>
      </c>
      <c r="C24" s="80" t="inlineStr">
        <is>
          <t>Indumentaria</t>
        </is>
      </c>
      <c r="D24" s="81" t="inlineStr">
        <is>
          <t>Cuota</t>
        </is>
      </c>
      <c r="E24" s="82" t="n">
        <v>85200</v>
      </c>
      <c r="F24" s="80" t="inlineStr">
        <is>
          <t>1/3</t>
        </is>
      </c>
      <c r="G24" s="80" t="n">
        <v>1</v>
      </c>
    </row>
    <row r="25">
      <c r="A25" s="78" t="n">
        <v>46159</v>
      </c>
      <c r="B25" s="79" t="inlineStr">
        <is>
          <t>Nike Store Florida</t>
        </is>
      </c>
      <c r="C25" s="80" t="inlineStr">
        <is>
          <t>Indumentaria</t>
        </is>
      </c>
      <c r="D25" s="81" t="inlineStr">
        <is>
          <t>Normal</t>
        </is>
      </c>
      <c r="E25" s="82" t="n">
        <v>62000</v>
      </c>
      <c r="F25" s="80" t="inlineStr"/>
      <c r="G25" s="80" t="inlineStr"/>
    </row>
    <row r="26">
      <c r="A26" s="38" t="n">
        <v>46155</v>
      </c>
      <c r="B26" s="39" t="inlineStr">
        <is>
          <t>Megatone Smart TV CTA 3/12</t>
        </is>
      </c>
      <c r="C26" s="40" t="inlineStr">
        <is>
          <t>Tecnología</t>
        </is>
      </c>
      <c r="D26" s="41" t="inlineStr">
        <is>
          <t>Cuota</t>
        </is>
      </c>
      <c r="E26" s="42" t="n">
        <v>185000</v>
      </c>
      <c r="F26" s="40" t="inlineStr">
        <is>
          <t>3/12</t>
        </is>
      </c>
      <c r="G26" s="40" t="n">
        <v>3</v>
      </c>
    </row>
    <row r="27">
      <c r="A27" s="38" t="n">
        <v>46163</v>
      </c>
      <c r="B27" s="39" t="inlineStr">
        <is>
          <t>Apple App Store</t>
        </is>
      </c>
      <c r="C27" s="40" t="inlineStr">
        <is>
          <t>Tecnología</t>
        </is>
      </c>
      <c r="D27" s="41" t="inlineStr">
        <is>
          <t>Normal</t>
        </is>
      </c>
      <c r="E27" s="42" t="n">
        <v>4200</v>
      </c>
      <c r="F27" s="40" t="inlineStr"/>
      <c r="G27" s="40" t="inlineStr"/>
    </row>
    <row r="28">
      <c r="A28" s="53" t="n">
        <v>46146</v>
      </c>
      <c r="B28" s="54" t="inlineStr">
        <is>
          <t>Uber Premium</t>
        </is>
      </c>
      <c r="C28" s="55" t="inlineStr">
        <is>
          <t>Transporte Local</t>
        </is>
      </c>
      <c r="D28" s="56" t="inlineStr">
        <is>
          <t>Normal</t>
        </is>
      </c>
      <c r="E28" s="57" t="n">
        <v>8400</v>
      </c>
      <c r="F28" s="55" t="inlineStr"/>
      <c r="G28" s="55" t="inlineStr"/>
    </row>
    <row r="29">
      <c r="A29" s="53" t="n">
        <v>46162</v>
      </c>
      <c r="B29" s="54" t="inlineStr">
        <is>
          <t>Uber Premium</t>
        </is>
      </c>
      <c r="C29" s="55" t="inlineStr">
        <is>
          <t>Transporte Local</t>
        </is>
      </c>
      <c r="D29" s="56" t="inlineStr">
        <is>
          <t>Normal</t>
        </is>
      </c>
      <c r="E29" s="57" t="n">
        <v>6800</v>
      </c>
      <c r="F29" s="55" t="inlineStr"/>
      <c r="G29" s="55" t="inlineStr"/>
    </row>
    <row r="30">
      <c r="A30" s="53" t="n">
        <v>46152</v>
      </c>
      <c r="B30" s="54" t="inlineStr">
        <is>
          <t>Peaje Autopista</t>
        </is>
      </c>
      <c r="C30" s="55" t="inlineStr">
        <is>
          <t>Transporte Local</t>
        </is>
      </c>
      <c r="D30" s="56" t="inlineStr">
        <is>
          <t>Normal</t>
        </is>
      </c>
      <c r="E30" s="57" t="n">
        <v>1800</v>
      </c>
      <c r="F30" s="55" t="inlineStr"/>
      <c r="G30" s="55" t="inlineStr"/>
    </row>
    <row r="32">
      <c r="A32" s="58" t="inlineStr">
        <is>
          <t>TOTAL</t>
        </is>
      </c>
      <c r="E32" s="59" t="n">
        <v>2748490</v>
      </c>
    </row>
    <row r="34">
      <c r="A34" s="60" t="inlineStr">
        <is>
          <t>Subtotales por Categoría</t>
        </is>
      </c>
    </row>
    <row r="35" ht="18" customHeight="1">
      <c r="A35" s="2" t="inlineStr">
        <is>
          <t>Categoría</t>
        </is>
      </c>
      <c r="B35" s="2" t="inlineStr">
        <is>
          <t>Total AR$</t>
        </is>
      </c>
      <c r="C35" s="2" t="inlineStr">
        <is>
          <t>%</t>
        </is>
      </c>
    </row>
    <row r="36">
      <c r="A36" s="74" t="inlineStr">
        <is>
          <t>Viajes</t>
        </is>
      </c>
      <c r="B36" s="77" t="n">
        <v>1133600</v>
      </c>
      <c r="C36" s="83" t="n">
        <v>0.4124446514267834</v>
      </c>
    </row>
    <row r="37">
      <c r="A37" s="29" t="inlineStr">
        <is>
          <t>Servicios Fijos</t>
        </is>
      </c>
      <c r="B37" s="32" t="n">
        <v>336300</v>
      </c>
      <c r="C37" s="61" t="n">
        <v>0.1223580948084221</v>
      </c>
    </row>
    <row r="38">
      <c r="A38" s="9" t="inlineStr">
        <is>
          <t>Restaurantes y Bares</t>
        </is>
      </c>
      <c r="B38" s="12" t="n">
        <v>331000</v>
      </c>
      <c r="C38" s="62" t="n">
        <v>0.1204297632518219</v>
      </c>
    </row>
    <row r="39">
      <c r="A39" s="79" t="inlineStr">
        <is>
          <t>Indumentaria</t>
        </is>
      </c>
      <c r="B39" s="82" t="n">
        <v>315200</v>
      </c>
      <c r="C39" s="84" t="n">
        <v>0.1146811521962969</v>
      </c>
    </row>
    <row r="40">
      <c r="A40" s="39" t="inlineStr">
        <is>
          <t>Tecnología</t>
        </is>
      </c>
      <c r="B40" s="42" t="n">
        <v>267700</v>
      </c>
      <c r="C40" s="64" t="n">
        <v>0.09739893541544629</v>
      </c>
    </row>
    <row r="41">
      <c r="A41" s="4" t="inlineStr">
        <is>
          <t>Supermercado</t>
        </is>
      </c>
      <c r="B41" s="7" t="n">
        <v>175000</v>
      </c>
      <c r="C41" s="63" t="n">
        <v>0.06367132498208107</v>
      </c>
    </row>
    <row r="42">
      <c r="A42" s="24" t="inlineStr">
        <is>
          <t>Combustible</t>
        </is>
      </c>
      <c r="B42" s="27" t="n">
        <v>102400</v>
      </c>
      <c r="C42" s="65" t="n">
        <v>0.03725682101808629</v>
      </c>
    </row>
    <row r="43">
      <c r="A43" s="44" t="inlineStr">
        <is>
          <t>Hogar y Deco</t>
        </is>
      </c>
      <c r="B43" s="47" t="n">
        <v>42000</v>
      </c>
      <c r="C43" s="68" t="n">
        <v>0.01528111799569946</v>
      </c>
    </row>
    <row r="44">
      <c r="A44" s="49" t="inlineStr">
        <is>
          <t>Salud</t>
        </is>
      </c>
      <c r="B44" s="52" t="n">
        <v>24300</v>
      </c>
      <c r="C44" s="67" t="n">
        <v>0.008841218268940401</v>
      </c>
    </row>
    <row r="45">
      <c r="A45" s="54" t="inlineStr">
        <is>
          <t>Transporte Local</t>
        </is>
      </c>
      <c r="B45" s="57" t="n">
        <v>17000</v>
      </c>
      <c r="C45" s="69" t="n">
        <v>0.006185214426830733</v>
      </c>
    </row>
    <row r="46">
      <c r="A46" s="34" t="inlineStr">
        <is>
          <t>Entretenimiento</t>
        </is>
      </c>
      <c r="B46" s="37" t="n">
        <v>3990</v>
      </c>
      <c r="C46" s="71" t="n">
        <v>0.001451706209591448</v>
      </c>
    </row>
  </sheetData>
  <mergeCells count="2">
    <mergeCell ref="A32:D3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9" customWidth="1" min="4" max="4"/>
    <col width="16" customWidth="1" min="5" max="5"/>
    <col width="9" customWidth="1" min="6" max="6"/>
    <col width="10" customWidth="1" min="7" max="7"/>
  </cols>
  <sheetData>
    <row r="1" ht="28" customHeight="1">
      <c r="A1" s="85" t="inlineStr">
        <is>
          <t>Tarjeta: Amex  —  Mayo 2026</t>
        </is>
      </c>
    </row>
    <row r="2" ht="18" customHeight="1">
      <c r="A2" s="2" t="inlineStr">
        <is>
          <t>Fecha</t>
        </is>
      </c>
      <c r="B2" s="2" t="inlineStr">
        <is>
          <t>Descripción</t>
        </is>
      </c>
      <c r="C2" s="2" t="inlineStr">
        <is>
          <t>Categoría</t>
        </is>
      </c>
      <c r="D2" s="2" t="inlineStr">
        <is>
          <t>Tipo</t>
        </is>
      </c>
      <c r="E2" s="2" t="inlineStr">
        <is>
          <t>Monto AR$</t>
        </is>
      </c>
      <c r="F2" s="2" t="inlineStr">
        <is>
          <t>Cuota</t>
        </is>
      </c>
      <c r="G2" s="2" t="inlineStr">
        <is>
          <t>Nro Cuota</t>
        </is>
      </c>
    </row>
    <row r="3">
      <c r="A3" s="8" t="n">
        <v>46147</v>
      </c>
      <c r="B3" s="9" t="inlineStr">
        <is>
          <t>Tegui Palermo</t>
        </is>
      </c>
      <c r="C3" s="10" t="inlineStr">
        <is>
          <t>Restaurantes y Bares</t>
        </is>
      </c>
      <c r="D3" s="11" t="inlineStr">
        <is>
          <t>Normal</t>
        </is>
      </c>
      <c r="E3" s="12" t="n">
        <v>95000</v>
      </c>
      <c r="F3" s="10" t="inlineStr"/>
      <c r="G3" s="10" t="inlineStr"/>
    </row>
    <row r="4">
      <c r="A4" s="8" t="n">
        <v>46150</v>
      </c>
      <c r="B4" s="9" t="inlineStr">
        <is>
          <t>Elena Four Seasons</t>
        </is>
      </c>
      <c r="C4" s="10" t="inlineStr">
        <is>
          <t>Restaurantes y Bares</t>
        </is>
      </c>
      <c r="D4" s="11" t="inlineStr">
        <is>
          <t>Normal</t>
        </is>
      </c>
      <c r="E4" s="12" t="n">
        <v>138000</v>
      </c>
      <c r="F4" s="10" t="inlineStr"/>
      <c r="G4" s="10" t="inlineStr"/>
    </row>
    <row r="5">
      <c r="A5" s="8" t="n">
        <v>46155</v>
      </c>
      <c r="B5" s="9" t="inlineStr">
        <is>
          <t>Osaka Puerto Madero</t>
        </is>
      </c>
      <c r="C5" s="10" t="inlineStr">
        <is>
          <t>Restaurantes y Bares</t>
        </is>
      </c>
      <c r="D5" s="11" t="inlineStr">
        <is>
          <t>Normal</t>
        </is>
      </c>
      <c r="E5" s="12" t="n">
        <v>68400</v>
      </c>
      <c r="F5" s="10" t="inlineStr"/>
      <c r="G5" s="10" t="inlineStr"/>
    </row>
    <row r="6">
      <c r="A6" s="33" t="n">
        <v>46143</v>
      </c>
      <c r="B6" s="34" t="inlineStr">
        <is>
          <t>Disney+</t>
        </is>
      </c>
      <c r="C6" s="35" t="inlineStr">
        <is>
          <t>Entretenimiento</t>
        </is>
      </c>
      <c r="D6" s="36" t="inlineStr">
        <is>
          <t>Normal</t>
        </is>
      </c>
      <c r="E6" s="37" t="n">
        <v>4800</v>
      </c>
      <c r="F6" s="35" t="inlineStr"/>
      <c r="G6" s="35" t="inlineStr"/>
    </row>
    <row r="7">
      <c r="A7" s="33" t="n">
        <v>46143</v>
      </c>
      <c r="B7" s="34" t="inlineStr">
        <is>
          <t>HBO Max</t>
        </is>
      </c>
      <c r="C7" s="35" t="inlineStr">
        <is>
          <t>Entretenimiento</t>
        </is>
      </c>
      <c r="D7" s="36" t="inlineStr">
        <is>
          <t>Normal</t>
        </is>
      </c>
      <c r="E7" s="37" t="n">
        <v>5600</v>
      </c>
      <c r="F7" s="35" t="inlineStr"/>
      <c r="G7" s="35" t="inlineStr"/>
    </row>
    <row r="8">
      <c r="A8" s="33" t="n">
        <v>46143</v>
      </c>
      <c r="B8" s="34" t="inlineStr">
        <is>
          <t>Apple Music</t>
        </is>
      </c>
      <c r="C8" s="35" t="inlineStr">
        <is>
          <t>Entretenimiento</t>
        </is>
      </c>
      <c r="D8" s="36" t="inlineStr">
        <is>
          <t>Normal</t>
        </is>
      </c>
      <c r="E8" s="37" t="n">
        <v>3200</v>
      </c>
      <c r="F8" s="35" t="inlineStr"/>
      <c r="G8" s="35" t="inlineStr"/>
    </row>
    <row r="9">
      <c r="A9" s="33" t="n">
        <v>46158</v>
      </c>
      <c r="B9" s="34" t="inlineStr">
        <is>
          <t>Entradas Teatro Colón</t>
        </is>
      </c>
      <c r="C9" s="35" t="inlineStr">
        <is>
          <t>Entretenimiento</t>
        </is>
      </c>
      <c r="D9" s="36" t="inlineStr">
        <is>
          <t>Normal</t>
        </is>
      </c>
      <c r="E9" s="37" t="n">
        <v>42000</v>
      </c>
      <c r="F9" s="35" t="inlineStr"/>
      <c r="G9" s="35" t="inlineStr"/>
    </row>
    <row r="10">
      <c r="A10" s="3" t="n">
        <v>46149</v>
      </c>
      <c r="B10" s="4" t="inlineStr">
        <is>
          <t>Expedia vuelo internacional</t>
        </is>
      </c>
      <c r="C10" s="5" t="inlineStr">
        <is>
          <t>Supermercado</t>
        </is>
      </c>
      <c r="D10" s="6" t="inlineStr">
        <is>
          <t>Normal</t>
        </is>
      </c>
      <c r="E10" s="7" t="n">
        <v>425000</v>
      </c>
      <c r="F10" s="5" t="inlineStr"/>
      <c r="G10" s="5" t="inlineStr"/>
    </row>
    <row r="11">
      <c r="A11" s="73" t="n">
        <v>46151</v>
      </c>
      <c r="B11" s="74" t="inlineStr">
        <is>
          <t>LATAM Airlines</t>
        </is>
      </c>
      <c r="C11" s="75" t="inlineStr">
        <is>
          <t>Viajes</t>
        </is>
      </c>
      <c r="D11" s="76" t="inlineStr">
        <is>
          <t>Normal</t>
        </is>
      </c>
      <c r="E11" s="77" t="n">
        <v>218000</v>
      </c>
      <c r="F11" s="75" t="inlineStr"/>
      <c r="G11" s="75" t="inlineStr"/>
    </row>
    <row r="12">
      <c r="A12" s="73" t="n">
        <v>46146</v>
      </c>
      <c r="B12" s="74" t="inlineStr">
        <is>
          <t>Airbnb Mendoza</t>
        </is>
      </c>
      <c r="C12" s="75" t="inlineStr">
        <is>
          <t>Viajes</t>
        </is>
      </c>
      <c r="D12" s="76" t="inlineStr">
        <is>
          <t>Normal</t>
        </is>
      </c>
      <c r="E12" s="77" t="n">
        <v>245000</v>
      </c>
      <c r="F12" s="75" t="inlineStr"/>
      <c r="G12" s="75" t="inlineStr"/>
    </row>
    <row r="13">
      <c r="A13" s="73" t="n">
        <v>46153</v>
      </c>
      <c r="B13" s="74" t="inlineStr">
        <is>
          <t>Airbnb Córdoba</t>
        </is>
      </c>
      <c r="C13" s="75" t="inlineStr">
        <is>
          <t>Viajes</t>
        </is>
      </c>
      <c r="D13" s="76" t="inlineStr">
        <is>
          <t>Normal</t>
        </is>
      </c>
      <c r="E13" s="77" t="n">
        <v>189000</v>
      </c>
      <c r="F13" s="75" t="inlineStr"/>
      <c r="G13" s="75" t="inlineStr"/>
    </row>
    <row r="14">
      <c r="A14" s="3" t="n">
        <v>46148</v>
      </c>
      <c r="B14" s="4" t="inlineStr">
        <is>
          <t>Jumbo Palermo</t>
        </is>
      </c>
      <c r="C14" s="5" t="inlineStr">
        <is>
          <t>Supermercado</t>
        </is>
      </c>
      <c r="D14" s="6" t="inlineStr">
        <is>
          <t>Normal</t>
        </is>
      </c>
      <c r="E14" s="7" t="n">
        <v>68400</v>
      </c>
      <c r="F14" s="5" t="inlineStr"/>
      <c r="G14" s="5" t="inlineStr"/>
    </row>
    <row r="15">
      <c r="A15" s="3" t="n">
        <v>46156</v>
      </c>
      <c r="B15" s="4" t="inlineStr">
        <is>
          <t>Rapsodia CTA 1/3</t>
        </is>
      </c>
      <c r="C15" s="5" t="inlineStr">
        <is>
          <t>Supermercado</t>
        </is>
      </c>
      <c r="D15" s="6" t="inlineStr">
        <is>
          <t>Cuota</t>
        </is>
      </c>
      <c r="E15" s="7" t="n">
        <v>78000</v>
      </c>
      <c r="F15" s="5" t="inlineStr">
        <is>
          <t>1/3</t>
        </is>
      </c>
      <c r="G15" s="5" t="n">
        <v>1</v>
      </c>
    </row>
    <row r="16">
      <c r="A16" s="78" t="n">
        <v>46160</v>
      </c>
      <c r="B16" s="79" t="inlineStr">
        <is>
          <t>H&amp;M Dot</t>
        </is>
      </c>
      <c r="C16" s="80" t="inlineStr">
        <is>
          <t>Indumentaria</t>
        </is>
      </c>
      <c r="D16" s="81" t="inlineStr">
        <is>
          <t>Normal</t>
        </is>
      </c>
      <c r="E16" s="82" t="n">
        <v>45200</v>
      </c>
      <c r="F16" s="80" t="inlineStr"/>
      <c r="G16" s="80" t="inlineStr"/>
    </row>
    <row r="17">
      <c r="A17" s="78" t="n">
        <v>46162</v>
      </c>
      <c r="B17" s="79" t="inlineStr">
        <is>
          <t>Lacoste CTA 2/6</t>
        </is>
      </c>
      <c r="C17" s="80" t="inlineStr">
        <is>
          <t>Indumentaria</t>
        </is>
      </c>
      <c r="D17" s="81" t="inlineStr">
        <is>
          <t>Cuota</t>
        </is>
      </c>
      <c r="E17" s="82" t="n">
        <v>125000</v>
      </c>
      <c r="F17" s="80" t="inlineStr">
        <is>
          <t>2/6</t>
        </is>
      </c>
      <c r="G17" s="80" t="n">
        <v>2</v>
      </c>
    </row>
    <row r="18">
      <c r="A18" s="28" t="n">
        <v>46143</v>
      </c>
      <c r="B18" s="29" t="inlineStr">
        <is>
          <t>Medicus prepaga</t>
        </is>
      </c>
      <c r="C18" s="30" t="inlineStr">
        <is>
          <t>Servicios Fijos</t>
        </is>
      </c>
      <c r="D18" s="31" t="inlineStr">
        <is>
          <t>Normal</t>
        </is>
      </c>
      <c r="E18" s="32" t="n">
        <v>156000</v>
      </c>
      <c r="F18" s="30" t="inlineStr"/>
      <c r="G18" s="30" t="inlineStr"/>
    </row>
    <row r="19">
      <c r="A19" s="48" t="n">
        <v>46152</v>
      </c>
      <c r="B19" s="49" t="inlineStr">
        <is>
          <t>Farmacity Cabildo</t>
        </is>
      </c>
      <c r="C19" s="50" t="inlineStr">
        <is>
          <t>Salud</t>
        </is>
      </c>
      <c r="D19" s="51" t="inlineStr">
        <is>
          <t>Normal</t>
        </is>
      </c>
      <c r="E19" s="52" t="n">
        <v>18300</v>
      </c>
      <c r="F19" s="50" t="inlineStr"/>
      <c r="G19" s="50" t="inlineStr"/>
    </row>
    <row r="20">
      <c r="A20" s="48" t="n">
        <v>46159</v>
      </c>
      <c r="B20" s="49" t="inlineStr">
        <is>
          <t>Laboratorio Roffo</t>
        </is>
      </c>
      <c r="C20" s="50" t="inlineStr">
        <is>
          <t>Salud</t>
        </is>
      </c>
      <c r="D20" s="51" t="inlineStr">
        <is>
          <t>Normal</t>
        </is>
      </c>
      <c r="E20" s="52" t="n">
        <v>32400</v>
      </c>
      <c r="F20" s="50" t="inlineStr"/>
      <c r="G20" s="50" t="inlineStr"/>
    </row>
    <row r="21">
      <c r="A21" s="43" t="n">
        <v>46157</v>
      </c>
      <c r="B21" s="44" t="inlineStr">
        <is>
          <t>Easy San Fernando</t>
        </is>
      </c>
      <c r="C21" s="45" t="inlineStr">
        <is>
          <t>Hogar y Deco</t>
        </is>
      </c>
      <c r="D21" s="46" t="inlineStr">
        <is>
          <t>Normal</t>
        </is>
      </c>
      <c r="E21" s="47" t="n">
        <v>98600</v>
      </c>
      <c r="F21" s="45" t="inlineStr"/>
      <c r="G21" s="45" t="inlineStr"/>
    </row>
    <row r="22">
      <c r="A22" s="43" t="n">
        <v>46161</v>
      </c>
      <c r="B22" s="44" t="inlineStr">
        <is>
          <t>IKEA online CTA 1/6</t>
        </is>
      </c>
      <c r="C22" s="45" t="inlineStr">
        <is>
          <t>Hogar y Deco</t>
        </is>
      </c>
      <c r="D22" s="46" t="inlineStr">
        <is>
          <t>Cuota</t>
        </is>
      </c>
      <c r="E22" s="47" t="n">
        <v>145000</v>
      </c>
      <c r="F22" s="45" t="inlineStr">
        <is>
          <t>1/6</t>
        </is>
      </c>
      <c r="G22" s="45" t="n">
        <v>1</v>
      </c>
    </row>
    <row r="23">
      <c r="A23" s="13" t="n">
        <v>46150</v>
      </c>
      <c r="B23" s="14" t="inlineStr">
        <is>
          <t>Crucero Mediterráneo CTA 3/24</t>
        </is>
      </c>
      <c r="C23" s="15" t="inlineStr">
        <is>
          <t>Otros</t>
        </is>
      </c>
      <c r="D23" s="16" t="inlineStr">
        <is>
          <t>Cuota</t>
        </is>
      </c>
      <c r="E23" s="17" t="n">
        <v>245000</v>
      </c>
      <c r="F23" s="15" t="inlineStr">
        <is>
          <t>3/24</t>
        </is>
      </c>
      <c r="G23" s="15" t="n">
        <v>3</v>
      </c>
    </row>
    <row r="24">
      <c r="A24" s="43" t="n">
        <v>46150</v>
      </c>
      <c r="B24" s="44" t="inlineStr">
        <is>
          <t>Heladera Whirlpool CTA 2/12</t>
        </is>
      </c>
      <c r="C24" s="45" t="inlineStr">
        <is>
          <t>Hogar y Deco</t>
        </is>
      </c>
      <c r="D24" s="46" t="inlineStr">
        <is>
          <t>Cuota</t>
        </is>
      </c>
      <c r="E24" s="47" t="n">
        <v>68400</v>
      </c>
      <c r="F24" s="45" t="inlineStr">
        <is>
          <t>2/12</t>
        </is>
      </c>
      <c r="G24" s="45" t="n">
        <v>2</v>
      </c>
    </row>
    <row r="25">
      <c r="A25" s="43" t="n">
        <v>46150</v>
      </c>
      <c r="B25" s="44" t="inlineStr">
        <is>
          <t>Colchón Simmons CTA 1/12</t>
        </is>
      </c>
      <c r="C25" s="45" t="inlineStr">
        <is>
          <t>Hogar y Deco</t>
        </is>
      </c>
      <c r="D25" s="46" t="inlineStr">
        <is>
          <t>Cuota</t>
        </is>
      </c>
      <c r="E25" s="47" t="n">
        <v>95000</v>
      </c>
      <c r="F25" s="45" t="inlineStr">
        <is>
          <t>1/12</t>
        </is>
      </c>
      <c r="G25" s="45" t="n">
        <v>1</v>
      </c>
    </row>
    <row r="26">
      <c r="A26" s="38" t="n">
        <v>46163</v>
      </c>
      <c r="B26" s="39" t="inlineStr">
        <is>
          <t>Apple Store MacBook Accesorios</t>
        </is>
      </c>
      <c r="C26" s="40" t="inlineStr">
        <is>
          <t>Tecnología</t>
        </is>
      </c>
      <c r="D26" s="41" t="inlineStr">
        <is>
          <t>Normal</t>
        </is>
      </c>
      <c r="E26" s="42" t="n">
        <v>215000</v>
      </c>
      <c r="F26" s="40" t="inlineStr"/>
      <c r="G26" s="40" t="inlineStr"/>
    </row>
    <row r="27">
      <c r="A27" s="38" t="n">
        <v>46164</v>
      </c>
      <c r="B27" s="39" t="inlineStr">
        <is>
          <t>Amazon US importado</t>
        </is>
      </c>
      <c r="C27" s="40" t="inlineStr">
        <is>
          <t>Tecnología</t>
        </is>
      </c>
      <c r="D27" s="41" t="inlineStr">
        <is>
          <t>Normal</t>
        </is>
      </c>
      <c r="E27" s="42" t="n">
        <v>65000</v>
      </c>
      <c r="F27" s="40" t="inlineStr"/>
      <c r="G27" s="40" t="inlineStr"/>
    </row>
    <row r="29">
      <c r="A29" s="58" t="inlineStr">
        <is>
          <t>TOTAL</t>
        </is>
      </c>
      <c r="E29" s="59" t="n">
        <v>2889300</v>
      </c>
    </row>
    <row r="31">
      <c r="A31" s="60" t="inlineStr">
        <is>
          <t>Subtotales por Categoría</t>
        </is>
      </c>
    </row>
    <row r="32" ht="18" customHeight="1">
      <c r="A32" s="2" t="inlineStr">
        <is>
          <t>Categoría</t>
        </is>
      </c>
      <c r="B32" s="2" t="inlineStr">
        <is>
          <t>Total AR$</t>
        </is>
      </c>
      <c r="C32" s="2" t="inlineStr">
        <is>
          <t>%</t>
        </is>
      </c>
    </row>
    <row r="33">
      <c r="A33" s="74" t="inlineStr">
        <is>
          <t>Viajes</t>
        </is>
      </c>
      <c r="B33" s="77" t="n">
        <v>652000</v>
      </c>
      <c r="C33" s="83" t="n">
        <v>0.2256601945107811</v>
      </c>
    </row>
    <row r="34">
      <c r="A34" s="4" t="inlineStr">
        <is>
          <t>Supermercado</t>
        </is>
      </c>
      <c r="B34" s="7" t="n">
        <v>571400</v>
      </c>
      <c r="C34" s="63" t="n">
        <v>0.1977641643304607</v>
      </c>
    </row>
    <row r="35">
      <c r="A35" s="44" t="inlineStr">
        <is>
          <t>Hogar y Deco</t>
        </is>
      </c>
      <c r="B35" s="47" t="n">
        <v>407000</v>
      </c>
      <c r="C35" s="68" t="n">
        <v>0.1408645692728343</v>
      </c>
    </row>
    <row r="36">
      <c r="A36" s="9" t="inlineStr">
        <is>
          <t>Restaurantes y Bares</t>
        </is>
      </c>
      <c r="B36" s="12" t="n">
        <v>301400</v>
      </c>
      <c r="C36" s="62" t="n">
        <v>0.1043159242723151</v>
      </c>
    </row>
    <row r="37">
      <c r="A37" s="39" t="inlineStr">
        <is>
          <t>Tecnología</t>
        </is>
      </c>
      <c r="B37" s="42" t="n">
        <v>280000</v>
      </c>
      <c r="C37" s="64" t="n">
        <v>0.09690928598622504</v>
      </c>
    </row>
    <row r="38">
      <c r="A38" s="14" t="inlineStr">
        <is>
          <t>Otros</t>
        </is>
      </c>
      <c r="B38" s="17" t="n">
        <v>245000</v>
      </c>
      <c r="C38" s="70" t="n">
        <v>0.08479562523794691</v>
      </c>
    </row>
    <row r="39">
      <c r="A39" s="79" t="inlineStr">
        <is>
          <t>Indumentaria</t>
        </is>
      </c>
      <c r="B39" s="82" t="n">
        <v>170200</v>
      </c>
      <c r="C39" s="84" t="n">
        <v>0.0589070016959125</v>
      </c>
    </row>
    <row r="40">
      <c r="A40" s="29" t="inlineStr">
        <is>
          <t>Servicios Fijos</t>
        </is>
      </c>
      <c r="B40" s="32" t="n">
        <v>156000</v>
      </c>
      <c r="C40" s="61" t="n">
        <v>0.05399231647803966</v>
      </c>
    </row>
    <row r="41">
      <c r="A41" s="34" t="inlineStr">
        <is>
          <t>Entretenimiento</t>
        </is>
      </c>
      <c r="B41" s="37" t="n">
        <v>55600</v>
      </c>
      <c r="C41" s="71" t="n">
        <v>0.01924341536012183</v>
      </c>
    </row>
    <row r="42">
      <c r="A42" s="49" t="inlineStr">
        <is>
          <t>Salud</t>
        </is>
      </c>
      <c r="B42" s="52" t="n">
        <v>50700</v>
      </c>
      <c r="C42" s="67" t="n">
        <v>0.01754750285536289</v>
      </c>
    </row>
  </sheetData>
  <mergeCells count="2">
    <mergeCell ref="A29:D2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 ht="28" customHeight="1">
      <c r="A1" s="1" t="inlineStr">
        <is>
          <t>Resumen Consolidado — Mayo 2026</t>
        </is>
      </c>
    </row>
    <row r="2" ht="18" customHeight="1">
      <c r="A2" s="2" t="inlineStr">
        <is>
          <t>Tarjeta</t>
        </is>
      </c>
      <c r="B2" s="2" t="inlineStr">
        <is>
          <t>Total AR$</t>
        </is>
      </c>
      <c r="C2" s="2" t="inlineStr">
        <is>
          <t>% del Total</t>
        </is>
      </c>
    </row>
    <row r="3">
      <c r="A3" s="86" t="inlineStr">
        <is>
          <t>Visa Santander</t>
        </is>
      </c>
      <c r="B3" s="87" t="n">
        <v>1023790</v>
      </c>
      <c r="C3" s="88" t="n">
        <v>0.1536857622365865</v>
      </c>
    </row>
    <row r="4">
      <c r="A4" s="86" t="inlineStr">
        <is>
          <t>Amex Santander</t>
        </is>
      </c>
      <c r="B4" s="87" t="n">
        <v>2748490</v>
      </c>
      <c r="C4" s="88" t="n">
        <v>0.4125883048766208</v>
      </c>
    </row>
    <row r="5">
      <c r="A5" s="86" t="inlineStr">
        <is>
          <t>Amex</t>
        </is>
      </c>
      <c r="B5" s="87" t="n">
        <v>2889300</v>
      </c>
      <c r="C5" s="88" t="n">
        <v>0.4337259328867926</v>
      </c>
    </row>
    <row r="6">
      <c r="A6" s="89" t="inlineStr">
        <is>
          <t>GRAN TOTAL</t>
        </is>
      </c>
      <c r="B6" s="59" t="n">
        <v>6661580</v>
      </c>
      <c r="C6" s="90" t="n">
        <v>1</v>
      </c>
    </row>
    <row r="9" ht="28" customHeight="1">
      <c r="A9" s="91" t="inlineStr">
        <is>
          <t>Gasto por Categoría</t>
        </is>
      </c>
    </row>
    <row r="10" ht="18" customHeight="1">
      <c r="A10" s="2" t="inlineStr">
        <is>
          <t>Categoría</t>
        </is>
      </c>
      <c r="B10" s="2" t="inlineStr">
        <is>
          <t>Visa Santander</t>
        </is>
      </c>
      <c r="C10" s="2" t="inlineStr">
        <is>
          <t>Amex Santander</t>
        </is>
      </c>
      <c r="D10" s="2" t="inlineStr">
        <is>
          <t>Amex</t>
        </is>
      </c>
      <c r="E10" s="2" t="inlineStr">
        <is>
          <t>Total</t>
        </is>
      </c>
      <c r="F10" s="2" t="inlineStr">
        <is>
          <t>% del Total</t>
        </is>
      </c>
    </row>
    <row r="11">
      <c r="A11" s="92" t="inlineStr">
        <is>
          <t>Viajes</t>
        </is>
      </c>
      <c r="B11" s="93" t="n">
        <v>0</v>
      </c>
      <c r="C11" s="93" t="n">
        <v>1133600</v>
      </c>
      <c r="D11" s="93" t="n">
        <v>652000</v>
      </c>
      <c r="E11" s="77" t="n">
        <v>1785600</v>
      </c>
      <c r="F11" s="83" t="n">
        <v>0.268044517967209</v>
      </c>
    </row>
    <row r="12">
      <c r="A12" s="94" t="inlineStr">
        <is>
          <t>Supermercado</t>
        </is>
      </c>
      <c r="B12" s="95" t="n">
        <v>175100</v>
      </c>
      <c r="C12" s="95" t="n">
        <v>175000</v>
      </c>
      <c r="D12" s="95" t="n">
        <v>571400</v>
      </c>
      <c r="E12" s="7" t="n">
        <v>921500</v>
      </c>
      <c r="F12" s="63" t="n">
        <v>0.1383305462067558</v>
      </c>
    </row>
    <row r="13">
      <c r="A13" s="96" t="inlineStr">
        <is>
          <t>Restaurantes y Bares</t>
        </is>
      </c>
      <c r="B13" s="97" t="n">
        <v>183300</v>
      </c>
      <c r="C13" s="97" t="n">
        <v>331000</v>
      </c>
      <c r="D13" s="97" t="n">
        <v>301400</v>
      </c>
      <c r="E13" s="12" t="n">
        <v>815700</v>
      </c>
      <c r="F13" s="62" t="n">
        <v>0.122448428150679</v>
      </c>
    </row>
    <row r="14">
      <c r="A14" s="98" t="inlineStr">
        <is>
          <t>Servicios Fijos</t>
        </is>
      </c>
      <c r="B14" s="99" t="n">
        <v>226000</v>
      </c>
      <c r="C14" s="99" t="n">
        <v>336300</v>
      </c>
      <c r="D14" s="99" t="n">
        <v>156000</v>
      </c>
      <c r="E14" s="32" t="n">
        <v>718300</v>
      </c>
      <c r="F14" s="61" t="n">
        <v>0.1078272722086952</v>
      </c>
    </row>
    <row r="15">
      <c r="A15" s="100" t="inlineStr">
        <is>
          <t>Tecnología</t>
        </is>
      </c>
      <c r="B15" s="101" t="n">
        <v>127500</v>
      </c>
      <c r="C15" s="101" t="n">
        <v>267700</v>
      </c>
      <c r="D15" s="101" t="n">
        <v>280000</v>
      </c>
      <c r="E15" s="42" t="n">
        <v>675200</v>
      </c>
      <c r="F15" s="64" t="n">
        <v>0.1013573356470987</v>
      </c>
    </row>
    <row r="16">
      <c r="A16" s="102" t="inlineStr">
        <is>
          <t>Hogar y Deco</t>
        </is>
      </c>
      <c r="B16" s="103" t="n">
        <v>38200</v>
      </c>
      <c r="C16" s="103" t="n">
        <v>42000</v>
      </c>
      <c r="D16" s="103" t="n">
        <v>407000</v>
      </c>
      <c r="E16" s="47" t="n">
        <v>487200</v>
      </c>
      <c r="F16" s="68" t="n">
        <v>0.07313580261739708</v>
      </c>
    </row>
    <row r="17">
      <c r="A17" s="104" t="inlineStr">
        <is>
          <t>Indumentaria</t>
        </is>
      </c>
      <c r="B17" s="105" t="n">
        <v>0</v>
      </c>
      <c r="C17" s="105" t="n">
        <v>315200</v>
      </c>
      <c r="D17" s="105" t="n">
        <v>170200</v>
      </c>
      <c r="E17" s="82" t="n">
        <v>485400</v>
      </c>
      <c r="F17" s="84" t="n">
        <v>0.07286559645009141</v>
      </c>
    </row>
    <row r="18">
      <c r="A18" s="106" t="inlineStr">
        <is>
          <t>Otros</t>
        </is>
      </c>
      <c r="B18" s="107" t="n">
        <v>8900</v>
      </c>
      <c r="C18" s="107" t="n">
        <v>0</v>
      </c>
      <c r="D18" s="107" t="n">
        <v>245000</v>
      </c>
      <c r="E18" s="17" t="n">
        <v>253900</v>
      </c>
      <c r="F18" s="70" t="n">
        <v>0.03811408104383645</v>
      </c>
    </row>
    <row r="19">
      <c r="A19" s="108" t="inlineStr">
        <is>
          <t>Combustible</t>
        </is>
      </c>
      <c r="B19" s="109" t="n">
        <v>99500</v>
      </c>
      <c r="C19" s="109" t="n">
        <v>102400</v>
      </c>
      <c r="D19" s="109" t="n">
        <v>0</v>
      </c>
      <c r="E19" s="27" t="n">
        <v>201900</v>
      </c>
      <c r="F19" s="65" t="n">
        <v>0.03030812509945088</v>
      </c>
    </row>
    <row r="20">
      <c r="A20" s="110" t="inlineStr">
        <is>
          <t>Salud</t>
        </is>
      </c>
      <c r="B20" s="111" t="n">
        <v>56100</v>
      </c>
      <c r="C20" s="111" t="n">
        <v>24300</v>
      </c>
      <c r="D20" s="111" t="n">
        <v>50700</v>
      </c>
      <c r="E20" s="52" t="n">
        <v>131100</v>
      </c>
      <c r="F20" s="67" t="n">
        <v>0.01968001585209515</v>
      </c>
    </row>
    <row r="21">
      <c r="A21" s="112" t="inlineStr">
        <is>
          <t>Delivery</t>
        </is>
      </c>
      <c r="B21" s="113" t="n">
        <v>88400</v>
      </c>
      <c r="C21" s="113" t="n">
        <v>0</v>
      </c>
      <c r="D21" s="113" t="n">
        <v>0</v>
      </c>
      <c r="E21" s="22" t="n">
        <v>88400</v>
      </c>
      <c r="F21" s="66" t="n">
        <v>0.01327012510545546</v>
      </c>
    </row>
    <row r="22">
      <c r="A22" s="114" t="inlineStr">
        <is>
          <t>Entretenimiento</t>
        </is>
      </c>
      <c r="B22" s="115" t="n">
        <v>6490</v>
      </c>
      <c r="C22" s="115" t="n">
        <v>3990</v>
      </c>
      <c r="D22" s="115" t="n">
        <v>55600</v>
      </c>
      <c r="E22" s="37" t="n">
        <v>66080</v>
      </c>
      <c r="F22" s="71" t="n">
        <v>0.00991956863086535</v>
      </c>
    </row>
    <row r="23">
      <c r="A23" s="116" t="inlineStr">
        <is>
          <t>Transporte Local</t>
        </is>
      </c>
      <c r="B23" s="117" t="n">
        <v>14300</v>
      </c>
      <c r="C23" s="117" t="n">
        <v>17000</v>
      </c>
      <c r="D23" s="117" t="n">
        <v>0</v>
      </c>
      <c r="E23" s="57" t="n">
        <v>31300</v>
      </c>
      <c r="F23" s="69" t="n">
        <v>0.004698585020370543</v>
      </c>
    </row>
  </sheetData>
  <mergeCells count="2">
    <mergeCell ref="A9:H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22" customWidth="1" min="4" max="4"/>
    <col width="10" customWidth="1" min="5" max="5"/>
    <col width="16" customWidth="1" min="6" max="6"/>
    <col width="9" customWidth="1" min="7" max="7"/>
    <col width="10" customWidth="1" min="8" max="8"/>
  </cols>
  <sheetData>
    <row r="1" ht="28" customHeight="1">
      <c r="A1" s="1" t="inlineStr">
        <is>
          <t>Detalle por Categoría — Todas las Tarjetas</t>
        </is>
      </c>
    </row>
    <row r="2" ht="18" customHeight="1">
      <c r="A2" s="2" t="inlineStr">
        <is>
          <t>Tarjeta</t>
        </is>
      </c>
      <c r="B2" s="2" t="inlineStr">
        <is>
          <t>Fecha</t>
        </is>
      </c>
      <c r="C2" s="2" t="inlineStr">
        <is>
          <t>Descripción</t>
        </is>
      </c>
      <c r="D2" s="2" t="inlineStr">
        <is>
          <t>Categoría</t>
        </is>
      </c>
      <c r="E2" s="2" t="inlineStr">
        <is>
          <t>Tipo</t>
        </is>
      </c>
      <c r="F2" s="2" t="inlineStr">
        <is>
          <t>Monto AR$</t>
        </is>
      </c>
      <c r="G2" s="2" t="inlineStr">
        <is>
          <t>Cuota</t>
        </is>
      </c>
      <c r="H2" s="2" t="inlineStr">
        <is>
          <t>Nro Cuota</t>
        </is>
      </c>
    </row>
    <row r="3">
      <c r="A3" s="118" t="inlineStr">
        <is>
          <t>Amex Santander</t>
        </is>
      </c>
      <c r="B3" s="23" t="n">
        <v>46147</v>
      </c>
      <c r="C3" s="24" t="inlineStr">
        <is>
          <t>Shell Av. Libertador</t>
        </is>
      </c>
      <c r="D3" s="25" t="inlineStr">
        <is>
          <t>Combustible</t>
        </is>
      </c>
      <c r="E3" s="26" t="inlineStr">
        <is>
          <t>Normal</t>
        </is>
      </c>
      <c r="F3" s="27" t="n">
        <v>52800</v>
      </c>
      <c r="G3" s="25" t="inlineStr"/>
      <c r="H3" s="25" t="inlineStr"/>
    </row>
    <row r="4">
      <c r="A4" s="118" t="inlineStr">
        <is>
          <t>Amex Santander</t>
        </is>
      </c>
      <c r="B4" s="23" t="n">
        <v>46158</v>
      </c>
      <c r="C4" s="24" t="inlineStr">
        <is>
          <t>Shell Panamericana</t>
        </is>
      </c>
      <c r="D4" s="25" t="inlineStr">
        <is>
          <t>Combustible</t>
        </is>
      </c>
      <c r="E4" s="26" t="inlineStr">
        <is>
          <t>Normal</t>
        </is>
      </c>
      <c r="F4" s="27" t="n">
        <v>49600</v>
      </c>
      <c r="G4" s="25" t="inlineStr"/>
      <c r="H4" s="25" t="inlineStr"/>
    </row>
    <row r="5">
      <c r="A5" s="118" t="inlineStr">
        <is>
          <t>Visa Santander</t>
        </is>
      </c>
      <c r="B5" s="23" t="n">
        <v>46148</v>
      </c>
      <c r="C5" s="24" t="inlineStr">
        <is>
          <t>YPF Palermo</t>
        </is>
      </c>
      <c r="D5" s="25" t="inlineStr">
        <is>
          <t>Combustible</t>
        </is>
      </c>
      <c r="E5" s="26" t="inlineStr">
        <is>
          <t>Normal</t>
        </is>
      </c>
      <c r="F5" s="27" t="n">
        <v>48300</v>
      </c>
      <c r="G5" s="25" t="inlineStr"/>
      <c r="H5" s="25" t="inlineStr"/>
    </row>
    <row r="6">
      <c r="A6" s="118" t="inlineStr">
        <is>
          <t>Visa Santander</t>
        </is>
      </c>
      <c r="B6" s="23" t="n">
        <v>46161</v>
      </c>
      <c r="C6" s="24" t="inlineStr">
        <is>
          <t>YPF España</t>
        </is>
      </c>
      <c r="D6" s="25" t="inlineStr">
        <is>
          <t>Combustible</t>
        </is>
      </c>
      <c r="E6" s="26" t="inlineStr">
        <is>
          <t>Normal</t>
        </is>
      </c>
      <c r="F6" s="27" t="n">
        <v>51200</v>
      </c>
      <c r="G6" s="25" t="inlineStr"/>
      <c r="H6" s="25" t="inlineStr"/>
    </row>
    <row r="7">
      <c r="A7" s="119" t="inlineStr">
        <is>
          <t>Visa Santander</t>
        </is>
      </c>
      <c r="B7" s="18" t="n">
        <v>46145</v>
      </c>
      <c r="C7" s="19" t="inlineStr">
        <is>
          <t>Rappi Delivery</t>
        </is>
      </c>
      <c r="D7" s="20" t="inlineStr">
        <is>
          <t>Delivery</t>
        </is>
      </c>
      <c r="E7" s="21" t="inlineStr">
        <is>
          <t>Normal</t>
        </is>
      </c>
      <c r="F7" s="22" t="n">
        <v>18200</v>
      </c>
      <c r="G7" s="20" t="inlineStr"/>
      <c r="H7" s="20" t="inlineStr"/>
    </row>
    <row r="8">
      <c r="A8" s="119" t="inlineStr">
        <is>
          <t>Visa Santander</t>
        </is>
      </c>
      <c r="B8" s="18" t="n">
        <v>46152</v>
      </c>
      <c r="C8" s="19" t="inlineStr">
        <is>
          <t>Rappi Delivery</t>
        </is>
      </c>
      <c r="D8" s="20" t="inlineStr">
        <is>
          <t>Delivery</t>
        </is>
      </c>
      <c r="E8" s="21" t="inlineStr">
        <is>
          <t>Normal</t>
        </is>
      </c>
      <c r="F8" s="22" t="n">
        <v>22400</v>
      </c>
      <c r="G8" s="20" t="inlineStr"/>
      <c r="H8" s="20" t="inlineStr"/>
    </row>
    <row r="9">
      <c r="A9" s="119" t="inlineStr">
        <is>
          <t>Visa Santander</t>
        </is>
      </c>
      <c r="B9" s="18" t="n">
        <v>46159</v>
      </c>
      <c r="C9" s="19" t="inlineStr">
        <is>
          <t>Rappi Delivery</t>
        </is>
      </c>
      <c r="D9" s="20" t="inlineStr">
        <is>
          <t>Delivery</t>
        </is>
      </c>
      <c r="E9" s="21" t="inlineStr">
        <is>
          <t>Normal</t>
        </is>
      </c>
      <c r="F9" s="22" t="n">
        <v>19800</v>
      </c>
      <c r="G9" s="20" t="inlineStr"/>
      <c r="H9" s="20" t="inlineStr"/>
    </row>
    <row r="10">
      <c r="A10" s="119" t="inlineStr">
        <is>
          <t>Visa Santander</t>
        </is>
      </c>
      <c r="B10" s="18" t="n">
        <v>46149</v>
      </c>
      <c r="C10" s="19" t="inlineStr">
        <is>
          <t>PedidosYa</t>
        </is>
      </c>
      <c r="D10" s="20" t="inlineStr">
        <is>
          <t>Delivery</t>
        </is>
      </c>
      <c r="E10" s="21" t="inlineStr">
        <is>
          <t>Normal</t>
        </is>
      </c>
      <c r="F10" s="22" t="n">
        <v>15600</v>
      </c>
      <c r="G10" s="20" t="inlineStr"/>
      <c r="H10" s="20" t="inlineStr"/>
    </row>
    <row r="11">
      <c r="A11" s="119" t="inlineStr">
        <is>
          <t>Visa Santander</t>
        </is>
      </c>
      <c r="B11" s="18" t="n">
        <v>46156</v>
      </c>
      <c r="C11" s="19" t="inlineStr">
        <is>
          <t>PedidosYa</t>
        </is>
      </c>
      <c r="D11" s="20" t="inlineStr">
        <is>
          <t>Delivery</t>
        </is>
      </c>
      <c r="E11" s="21" t="inlineStr">
        <is>
          <t>Normal</t>
        </is>
      </c>
      <c r="F11" s="22" t="n">
        <v>12400</v>
      </c>
      <c r="G11" s="20" t="inlineStr"/>
      <c r="H11" s="20" t="inlineStr"/>
    </row>
    <row r="12">
      <c r="A12" s="120" t="inlineStr">
        <is>
          <t>Amex</t>
        </is>
      </c>
      <c r="B12" s="33" t="n">
        <v>46143</v>
      </c>
      <c r="C12" s="34" t="inlineStr">
        <is>
          <t>Disney+</t>
        </is>
      </c>
      <c r="D12" s="35" t="inlineStr">
        <is>
          <t>Entretenimiento</t>
        </is>
      </c>
      <c r="E12" s="36" t="inlineStr">
        <is>
          <t>Normal</t>
        </is>
      </c>
      <c r="F12" s="37" t="n">
        <v>4800</v>
      </c>
      <c r="G12" s="35" t="inlineStr"/>
      <c r="H12" s="35" t="inlineStr"/>
    </row>
    <row r="13">
      <c r="A13" s="120" t="inlineStr">
        <is>
          <t>Amex</t>
        </is>
      </c>
      <c r="B13" s="33" t="n">
        <v>46143</v>
      </c>
      <c r="C13" s="34" t="inlineStr">
        <is>
          <t>HBO Max</t>
        </is>
      </c>
      <c r="D13" s="35" t="inlineStr">
        <is>
          <t>Entretenimiento</t>
        </is>
      </c>
      <c r="E13" s="36" t="inlineStr">
        <is>
          <t>Normal</t>
        </is>
      </c>
      <c r="F13" s="37" t="n">
        <v>5600</v>
      </c>
      <c r="G13" s="35" t="inlineStr"/>
      <c r="H13" s="35" t="inlineStr"/>
    </row>
    <row r="14">
      <c r="A14" s="120" t="inlineStr">
        <is>
          <t>Amex</t>
        </is>
      </c>
      <c r="B14" s="33" t="n">
        <v>46143</v>
      </c>
      <c r="C14" s="34" t="inlineStr">
        <is>
          <t>Apple Music</t>
        </is>
      </c>
      <c r="D14" s="35" t="inlineStr">
        <is>
          <t>Entretenimiento</t>
        </is>
      </c>
      <c r="E14" s="36" t="inlineStr">
        <is>
          <t>Normal</t>
        </is>
      </c>
      <c r="F14" s="37" t="n">
        <v>3200</v>
      </c>
      <c r="G14" s="35" t="inlineStr"/>
      <c r="H14" s="35" t="inlineStr"/>
    </row>
    <row r="15">
      <c r="A15" s="120" t="inlineStr">
        <is>
          <t>Amex</t>
        </is>
      </c>
      <c r="B15" s="33" t="n">
        <v>46158</v>
      </c>
      <c r="C15" s="34" t="inlineStr">
        <is>
          <t>Entradas Teatro Colón</t>
        </is>
      </c>
      <c r="D15" s="35" t="inlineStr">
        <is>
          <t>Entretenimiento</t>
        </is>
      </c>
      <c r="E15" s="36" t="inlineStr">
        <is>
          <t>Normal</t>
        </is>
      </c>
      <c r="F15" s="37" t="n">
        <v>42000</v>
      </c>
      <c r="G15" s="35" t="inlineStr"/>
      <c r="H15" s="35" t="inlineStr"/>
    </row>
    <row r="16">
      <c r="A16" s="120" t="inlineStr">
        <is>
          <t>Amex Santander</t>
        </is>
      </c>
      <c r="B16" s="33" t="n">
        <v>46143</v>
      </c>
      <c r="C16" s="34" t="inlineStr">
        <is>
          <t>Spotify</t>
        </is>
      </c>
      <c r="D16" s="35" t="inlineStr">
        <is>
          <t>Entretenimiento</t>
        </is>
      </c>
      <c r="E16" s="36" t="inlineStr">
        <is>
          <t>Normal</t>
        </is>
      </c>
      <c r="F16" s="37" t="n">
        <v>3990</v>
      </c>
      <c r="G16" s="35" t="inlineStr"/>
      <c r="H16" s="35" t="inlineStr"/>
    </row>
    <row r="17">
      <c r="A17" s="120" t="inlineStr">
        <is>
          <t>Visa Santander</t>
        </is>
      </c>
      <c r="B17" s="33" t="n">
        <v>46143</v>
      </c>
      <c r="C17" s="34" t="inlineStr">
        <is>
          <t>Netflix</t>
        </is>
      </c>
      <c r="D17" s="35" t="inlineStr">
        <is>
          <t>Entretenimiento</t>
        </is>
      </c>
      <c r="E17" s="36" t="inlineStr">
        <is>
          <t>Normal</t>
        </is>
      </c>
      <c r="F17" s="37" t="n">
        <v>6490</v>
      </c>
      <c r="G17" s="35" t="inlineStr"/>
      <c r="H17" s="35" t="inlineStr"/>
    </row>
    <row r="18">
      <c r="A18" s="121" t="inlineStr">
        <is>
          <t>Amex</t>
        </is>
      </c>
      <c r="B18" s="43" t="n">
        <v>46157</v>
      </c>
      <c r="C18" s="44" t="inlineStr">
        <is>
          <t>Easy San Fernando</t>
        </is>
      </c>
      <c r="D18" s="45" t="inlineStr">
        <is>
          <t>Hogar y Deco</t>
        </is>
      </c>
      <c r="E18" s="46" t="inlineStr">
        <is>
          <t>Normal</t>
        </is>
      </c>
      <c r="F18" s="47" t="n">
        <v>98600</v>
      </c>
      <c r="G18" s="45" t="inlineStr"/>
      <c r="H18" s="45" t="inlineStr"/>
    </row>
    <row r="19">
      <c r="A19" s="121" t="inlineStr">
        <is>
          <t>Amex</t>
        </is>
      </c>
      <c r="B19" s="43" t="n">
        <v>46161</v>
      </c>
      <c r="C19" s="44" t="inlineStr">
        <is>
          <t>IKEA online CTA 1/6</t>
        </is>
      </c>
      <c r="D19" s="45" t="inlineStr">
        <is>
          <t>Hogar y Deco</t>
        </is>
      </c>
      <c r="E19" s="46" t="inlineStr">
        <is>
          <t>Cuota</t>
        </is>
      </c>
      <c r="F19" s="47" t="n">
        <v>145000</v>
      </c>
      <c r="G19" s="45" t="inlineStr">
        <is>
          <t>1/6</t>
        </is>
      </c>
      <c r="H19" s="45" t="n">
        <v>1</v>
      </c>
    </row>
    <row r="20">
      <c r="A20" s="121" t="inlineStr">
        <is>
          <t>Amex</t>
        </is>
      </c>
      <c r="B20" s="43" t="n">
        <v>46150</v>
      </c>
      <c r="C20" s="44" t="inlineStr">
        <is>
          <t>Heladera Whirlpool CTA 2/12</t>
        </is>
      </c>
      <c r="D20" s="45" t="inlineStr">
        <is>
          <t>Hogar y Deco</t>
        </is>
      </c>
      <c r="E20" s="46" t="inlineStr">
        <is>
          <t>Cuota</t>
        </is>
      </c>
      <c r="F20" s="47" t="n">
        <v>68400</v>
      </c>
      <c r="G20" s="45" t="inlineStr">
        <is>
          <t>2/12</t>
        </is>
      </c>
      <c r="H20" s="45" t="n">
        <v>2</v>
      </c>
    </row>
    <row r="21">
      <c r="A21" s="121" t="inlineStr">
        <is>
          <t>Amex</t>
        </is>
      </c>
      <c r="B21" s="43" t="n">
        <v>46150</v>
      </c>
      <c r="C21" s="44" t="inlineStr">
        <is>
          <t>Colchón Simmons CTA 1/12</t>
        </is>
      </c>
      <c r="D21" s="45" t="inlineStr">
        <is>
          <t>Hogar y Deco</t>
        </is>
      </c>
      <c r="E21" s="46" t="inlineStr">
        <is>
          <t>Cuota</t>
        </is>
      </c>
      <c r="F21" s="47" t="n">
        <v>95000</v>
      </c>
      <c r="G21" s="45" t="inlineStr">
        <is>
          <t>1/12</t>
        </is>
      </c>
      <c r="H21" s="45" t="n">
        <v>1</v>
      </c>
    </row>
    <row r="22">
      <c r="A22" s="121" t="inlineStr">
        <is>
          <t>Amex Santander</t>
        </is>
      </c>
      <c r="B22" s="43" t="n">
        <v>46150</v>
      </c>
      <c r="C22" s="44" t="inlineStr">
        <is>
          <t>Bicicleta Estática CTA 4/12</t>
        </is>
      </c>
      <c r="D22" s="45" t="inlineStr">
        <is>
          <t>Hogar y Deco</t>
        </is>
      </c>
      <c r="E22" s="46" t="inlineStr">
        <is>
          <t>Cuota</t>
        </is>
      </c>
      <c r="F22" s="47" t="n">
        <v>42000</v>
      </c>
      <c r="G22" s="45" t="inlineStr">
        <is>
          <t>4/12</t>
        </is>
      </c>
      <c r="H22" s="45" t="n">
        <v>4</v>
      </c>
    </row>
    <row r="23">
      <c r="A23" s="121" t="inlineStr">
        <is>
          <t>Visa Santander</t>
        </is>
      </c>
      <c r="B23" s="43" t="n">
        <v>46151</v>
      </c>
      <c r="C23" s="44" t="inlineStr">
        <is>
          <t>Sillón Mepal CTA 5/18</t>
        </is>
      </c>
      <c r="D23" s="45" t="inlineStr">
        <is>
          <t>Hogar y Deco</t>
        </is>
      </c>
      <c r="E23" s="46" t="inlineStr">
        <is>
          <t>Cuota</t>
        </is>
      </c>
      <c r="F23" s="47" t="n">
        <v>38200</v>
      </c>
      <c r="G23" s="45" t="inlineStr">
        <is>
          <t>5/18</t>
        </is>
      </c>
      <c r="H23" s="45" t="n">
        <v>5</v>
      </c>
    </row>
    <row r="24">
      <c r="A24" s="122" t="inlineStr">
        <is>
          <t>Amex</t>
        </is>
      </c>
      <c r="B24" s="78" t="n">
        <v>46160</v>
      </c>
      <c r="C24" s="79" t="inlineStr">
        <is>
          <t>H&amp;M Dot</t>
        </is>
      </c>
      <c r="D24" s="80" t="inlineStr">
        <is>
          <t>Indumentaria</t>
        </is>
      </c>
      <c r="E24" s="81" t="inlineStr">
        <is>
          <t>Normal</t>
        </is>
      </c>
      <c r="F24" s="82" t="n">
        <v>45200</v>
      </c>
      <c r="G24" s="80" t="inlineStr"/>
      <c r="H24" s="80" t="inlineStr"/>
    </row>
    <row r="25">
      <c r="A25" s="122" t="inlineStr">
        <is>
          <t>Amex</t>
        </is>
      </c>
      <c r="B25" s="78" t="n">
        <v>46162</v>
      </c>
      <c r="C25" s="79" t="inlineStr">
        <is>
          <t>Lacoste CTA 2/6</t>
        </is>
      </c>
      <c r="D25" s="80" t="inlineStr">
        <is>
          <t>Indumentaria</t>
        </is>
      </c>
      <c r="E25" s="81" t="inlineStr">
        <is>
          <t>Cuota</t>
        </is>
      </c>
      <c r="F25" s="82" t="n">
        <v>125000</v>
      </c>
      <c r="G25" s="80" t="inlineStr">
        <is>
          <t>2/6</t>
        </is>
      </c>
      <c r="H25" s="80" t="n">
        <v>2</v>
      </c>
    </row>
    <row r="26">
      <c r="A26" s="122" t="inlineStr">
        <is>
          <t>Amex Santander</t>
        </is>
      </c>
      <c r="B26" s="78" t="n">
        <v>46150</v>
      </c>
      <c r="C26" s="79" t="inlineStr">
        <is>
          <t>Viaje Europa CTA 1/12</t>
        </is>
      </c>
      <c r="D26" s="80" t="inlineStr">
        <is>
          <t>Indumentaria</t>
        </is>
      </c>
      <c r="E26" s="81" t="inlineStr">
        <is>
          <t>Cuota</t>
        </is>
      </c>
      <c r="F26" s="82" t="n">
        <v>168000</v>
      </c>
      <c r="G26" s="80" t="inlineStr">
        <is>
          <t>1/12</t>
        </is>
      </c>
      <c r="H26" s="80" t="n">
        <v>1</v>
      </c>
    </row>
    <row r="27">
      <c r="A27" s="122" t="inlineStr">
        <is>
          <t>Amex Santander</t>
        </is>
      </c>
      <c r="B27" s="78" t="n">
        <v>46154</v>
      </c>
      <c r="C27" s="79" t="inlineStr">
        <is>
          <t>Zara Abasto CTA 1/3</t>
        </is>
      </c>
      <c r="D27" s="80" t="inlineStr">
        <is>
          <t>Indumentaria</t>
        </is>
      </c>
      <c r="E27" s="81" t="inlineStr">
        <is>
          <t>Cuota</t>
        </is>
      </c>
      <c r="F27" s="82" t="n">
        <v>85200</v>
      </c>
      <c r="G27" s="80" t="inlineStr">
        <is>
          <t>1/3</t>
        </is>
      </c>
      <c r="H27" s="80" t="n">
        <v>1</v>
      </c>
    </row>
    <row r="28">
      <c r="A28" s="122" t="inlineStr">
        <is>
          <t>Amex Santander</t>
        </is>
      </c>
      <c r="B28" s="78" t="n">
        <v>46159</v>
      </c>
      <c r="C28" s="79" t="inlineStr">
        <is>
          <t>Nike Store Florida</t>
        </is>
      </c>
      <c r="D28" s="80" t="inlineStr">
        <is>
          <t>Indumentaria</t>
        </is>
      </c>
      <c r="E28" s="81" t="inlineStr">
        <is>
          <t>Normal</t>
        </is>
      </c>
      <c r="F28" s="82" t="n">
        <v>62000</v>
      </c>
      <c r="G28" s="80" t="inlineStr"/>
      <c r="H28" s="80" t="inlineStr"/>
    </row>
    <row r="29">
      <c r="A29" s="123" t="inlineStr">
        <is>
          <t>Amex</t>
        </is>
      </c>
      <c r="B29" s="13" t="n">
        <v>46150</v>
      </c>
      <c r="C29" s="14" t="inlineStr">
        <is>
          <t>Crucero Mediterráneo CTA 3/24</t>
        </is>
      </c>
      <c r="D29" s="15" t="inlineStr">
        <is>
          <t>Otros</t>
        </is>
      </c>
      <c r="E29" s="16" t="inlineStr">
        <is>
          <t>Cuota</t>
        </is>
      </c>
      <c r="F29" s="17" t="n">
        <v>245000</v>
      </c>
      <c r="G29" s="15" t="inlineStr">
        <is>
          <t>3/24</t>
        </is>
      </c>
      <c r="H29" s="15" t="n">
        <v>3</v>
      </c>
    </row>
    <row r="30">
      <c r="A30" s="123" t="inlineStr">
        <is>
          <t>Visa Santander</t>
        </is>
      </c>
      <c r="B30" s="13" t="n">
        <v>46162</v>
      </c>
      <c r="C30" s="14" t="inlineStr">
        <is>
          <t>Café Martínez Recoleta</t>
        </is>
      </c>
      <c r="D30" s="15" t="inlineStr">
        <is>
          <t>Otros</t>
        </is>
      </c>
      <c r="E30" s="16" t="inlineStr">
        <is>
          <t>Normal</t>
        </is>
      </c>
      <c r="F30" s="17" t="n">
        <v>8900</v>
      </c>
      <c r="G30" s="15" t="inlineStr"/>
      <c r="H30" s="15" t="inlineStr"/>
    </row>
    <row r="31">
      <c r="A31" s="124" t="inlineStr">
        <is>
          <t>Amex</t>
        </is>
      </c>
      <c r="B31" s="8" t="n">
        <v>46147</v>
      </c>
      <c r="C31" s="9" t="inlineStr">
        <is>
          <t>Tegui Palermo</t>
        </is>
      </c>
      <c r="D31" s="10" t="inlineStr">
        <is>
          <t>Restaurantes y Bares</t>
        </is>
      </c>
      <c r="E31" s="11" t="inlineStr">
        <is>
          <t>Normal</t>
        </is>
      </c>
      <c r="F31" s="12" t="n">
        <v>95000</v>
      </c>
      <c r="G31" s="10" t="inlineStr"/>
      <c r="H31" s="10" t="inlineStr"/>
    </row>
    <row r="32">
      <c r="A32" s="124" t="inlineStr">
        <is>
          <t>Amex</t>
        </is>
      </c>
      <c r="B32" s="8" t="n">
        <v>46150</v>
      </c>
      <c r="C32" s="9" t="inlineStr">
        <is>
          <t>Elena Four Seasons</t>
        </is>
      </c>
      <c r="D32" s="10" t="inlineStr">
        <is>
          <t>Restaurantes y Bares</t>
        </is>
      </c>
      <c r="E32" s="11" t="inlineStr">
        <is>
          <t>Normal</t>
        </is>
      </c>
      <c r="F32" s="12" t="n">
        <v>138000</v>
      </c>
      <c r="G32" s="10" t="inlineStr"/>
      <c r="H32" s="10" t="inlineStr"/>
    </row>
    <row r="33">
      <c r="A33" s="124" t="inlineStr">
        <is>
          <t>Amex</t>
        </is>
      </c>
      <c r="B33" s="8" t="n">
        <v>46155</v>
      </c>
      <c r="C33" s="9" t="inlineStr">
        <is>
          <t>Osaka Puerto Madero</t>
        </is>
      </c>
      <c r="D33" s="10" t="inlineStr">
        <is>
          <t>Restaurantes y Bares</t>
        </is>
      </c>
      <c r="E33" s="11" t="inlineStr">
        <is>
          <t>Normal</t>
        </is>
      </c>
      <c r="F33" s="12" t="n">
        <v>68400</v>
      </c>
      <c r="G33" s="10" t="inlineStr"/>
      <c r="H33" s="10" t="inlineStr"/>
    </row>
    <row r="34">
      <c r="A34" s="124" t="inlineStr">
        <is>
          <t>Amex Santander</t>
        </is>
      </c>
      <c r="B34" s="8" t="n">
        <v>46148</v>
      </c>
      <c r="C34" s="9" t="inlineStr">
        <is>
          <t>Don Julio Palermo</t>
        </is>
      </c>
      <c r="D34" s="10" t="inlineStr">
        <is>
          <t>Restaurantes y Bares</t>
        </is>
      </c>
      <c r="E34" s="11" t="inlineStr">
        <is>
          <t>Normal</t>
        </is>
      </c>
      <c r="F34" s="12" t="n">
        <v>86500</v>
      </c>
      <c r="G34" s="10" t="inlineStr"/>
      <c r="H34" s="10" t="inlineStr"/>
    </row>
    <row r="35">
      <c r="A35" s="124" t="inlineStr">
        <is>
          <t>Amex Santander</t>
        </is>
      </c>
      <c r="B35" s="8" t="n">
        <v>46151</v>
      </c>
      <c r="C35" s="9" t="inlineStr">
        <is>
          <t>Mishiguene</t>
        </is>
      </c>
      <c r="D35" s="10" t="inlineStr">
        <is>
          <t>Restaurantes y Bares</t>
        </is>
      </c>
      <c r="E35" s="11" t="inlineStr">
        <is>
          <t>Normal</t>
        </is>
      </c>
      <c r="F35" s="12" t="n">
        <v>72300</v>
      </c>
      <c r="G35" s="10" t="inlineStr"/>
      <c r="H35" s="10" t="inlineStr"/>
    </row>
    <row r="36">
      <c r="A36" s="124" t="inlineStr">
        <is>
          <t>Amex Santander</t>
        </is>
      </c>
      <c r="B36" s="8" t="n">
        <v>46156</v>
      </c>
      <c r="C36" s="9" t="inlineStr">
        <is>
          <t>El Preferido de Palermo</t>
        </is>
      </c>
      <c r="D36" s="10" t="inlineStr">
        <is>
          <t>Restaurantes y Bares</t>
        </is>
      </c>
      <c r="E36" s="11" t="inlineStr">
        <is>
          <t>Normal</t>
        </is>
      </c>
      <c r="F36" s="12" t="n">
        <v>48200</v>
      </c>
      <c r="G36" s="10" t="inlineStr"/>
      <c r="H36" s="10" t="inlineStr"/>
    </row>
    <row r="37">
      <c r="A37" s="124" t="inlineStr">
        <is>
          <t>Amex Santander</t>
        </is>
      </c>
      <c r="B37" s="8" t="n">
        <v>46161</v>
      </c>
      <c r="C37" s="9" t="inlineStr">
        <is>
          <t>Aramburu Recoleta</t>
        </is>
      </c>
      <c r="D37" s="10" t="inlineStr">
        <is>
          <t>Restaurantes y Bares</t>
        </is>
      </c>
      <c r="E37" s="11" t="inlineStr">
        <is>
          <t>Normal</t>
        </is>
      </c>
      <c r="F37" s="12" t="n">
        <v>124000</v>
      </c>
      <c r="G37" s="10" t="inlineStr"/>
      <c r="H37" s="10" t="inlineStr"/>
    </row>
    <row r="38">
      <c r="A38" s="124" t="inlineStr">
        <is>
          <t>Visa Santander</t>
        </is>
      </c>
      <c r="B38" s="8" t="n">
        <v>46146</v>
      </c>
      <c r="C38" s="9" t="inlineStr">
        <is>
          <t>La Cabrera Palermo</t>
        </is>
      </c>
      <c r="D38" s="10" t="inlineStr">
        <is>
          <t>Restaurantes y Bares</t>
        </is>
      </c>
      <c r="E38" s="11" t="inlineStr">
        <is>
          <t>Normal</t>
        </is>
      </c>
      <c r="F38" s="12" t="n">
        <v>42000</v>
      </c>
      <c r="G38" s="10" t="inlineStr"/>
      <c r="H38" s="10" t="inlineStr"/>
    </row>
    <row r="39">
      <c r="A39" s="124" t="inlineStr">
        <is>
          <t>Visa Santander</t>
        </is>
      </c>
      <c r="B39" s="8" t="n">
        <v>46150</v>
      </c>
      <c r="C39" s="9" t="inlineStr">
        <is>
          <t>Sushi Pop Núñez</t>
        </is>
      </c>
      <c r="D39" s="10" t="inlineStr">
        <is>
          <t>Restaurantes y Bares</t>
        </is>
      </c>
      <c r="E39" s="11" t="inlineStr">
        <is>
          <t>Normal</t>
        </is>
      </c>
      <c r="F39" s="12" t="n">
        <v>38500</v>
      </c>
      <c r="G39" s="10" t="inlineStr"/>
      <c r="H39" s="10" t="inlineStr"/>
    </row>
    <row r="40">
      <c r="A40" s="124" t="inlineStr">
        <is>
          <t>Visa Santander</t>
        </is>
      </c>
      <c r="B40" s="8" t="n">
        <v>46154</v>
      </c>
      <c r="C40" s="9" t="inlineStr">
        <is>
          <t>Hamburguesa Nostra Villa Urquiza</t>
        </is>
      </c>
      <c r="D40" s="10" t="inlineStr">
        <is>
          <t>Restaurantes y Bares</t>
        </is>
      </c>
      <c r="E40" s="11" t="inlineStr">
        <is>
          <t>Normal</t>
        </is>
      </c>
      <c r="F40" s="12" t="n">
        <v>24800</v>
      </c>
      <c r="G40" s="10" t="inlineStr"/>
      <c r="H40" s="10" t="inlineStr"/>
    </row>
    <row r="41">
      <c r="A41" s="124" t="inlineStr">
        <is>
          <t>Visa Santander</t>
        </is>
      </c>
      <c r="B41" s="8" t="n">
        <v>46157</v>
      </c>
      <c r="C41" s="9" t="inlineStr">
        <is>
          <t>Freddo Belgrano</t>
        </is>
      </c>
      <c r="D41" s="10" t="inlineStr">
        <is>
          <t>Restaurantes y Bares</t>
        </is>
      </c>
      <c r="E41" s="11" t="inlineStr">
        <is>
          <t>Normal</t>
        </is>
      </c>
      <c r="F41" s="12" t="n">
        <v>9600</v>
      </c>
      <c r="G41" s="10" t="inlineStr"/>
      <c r="H41" s="10" t="inlineStr"/>
    </row>
    <row r="42">
      <c r="A42" s="124" t="inlineStr">
        <is>
          <t>Visa Santander</t>
        </is>
      </c>
      <c r="B42" s="8" t="n">
        <v>46151</v>
      </c>
      <c r="C42" s="9" t="inlineStr">
        <is>
          <t>Viaje Bariloche CTA 2/6</t>
        </is>
      </c>
      <c r="D42" s="10" t="inlineStr">
        <is>
          <t>Restaurantes y Bares</t>
        </is>
      </c>
      <c r="E42" s="11" t="inlineStr">
        <is>
          <t>Cuota</t>
        </is>
      </c>
      <c r="F42" s="12" t="n">
        <v>68400</v>
      </c>
      <c r="G42" s="10" t="inlineStr">
        <is>
          <t>2/6</t>
        </is>
      </c>
      <c r="H42" s="10" t="n">
        <v>2</v>
      </c>
    </row>
    <row r="43">
      <c r="A43" s="125" t="inlineStr">
        <is>
          <t>Amex</t>
        </is>
      </c>
      <c r="B43" s="48" t="n">
        <v>46152</v>
      </c>
      <c r="C43" s="49" t="inlineStr">
        <is>
          <t>Farmacity Cabildo</t>
        </is>
      </c>
      <c r="D43" s="50" t="inlineStr">
        <is>
          <t>Salud</t>
        </is>
      </c>
      <c r="E43" s="51" t="inlineStr">
        <is>
          <t>Normal</t>
        </is>
      </c>
      <c r="F43" s="52" t="n">
        <v>18300</v>
      </c>
      <c r="G43" s="50" t="inlineStr"/>
      <c r="H43" s="50" t="inlineStr"/>
    </row>
    <row r="44">
      <c r="A44" s="125" t="inlineStr">
        <is>
          <t>Amex</t>
        </is>
      </c>
      <c r="B44" s="48" t="n">
        <v>46159</v>
      </c>
      <c r="C44" s="49" t="inlineStr">
        <is>
          <t>Laboratorio Roffo</t>
        </is>
      </c>
      <c r="D44" s="50" t="inlineStr">
        <is>
          <t>Salud</t>
        </is>
      </c>
      <c r="E44" s="51" t="inlineStr">
        <is>
          <t>Normal</t>
        </is>
      </c>
      <c r="F44" s="52" t="n">
        <v>32400</v>
      </c>
      <c r="G44" s="50" t="inlineStr"/>
      <c r="H44" s="50" t="inlineStr"/>
    </row>
    <row r="45">
      <c r="A45" s="125" t="inlineStr">
        <is>
          <t>Amex Santander</t>
        </is>
      </c>
      <c r="B45" s="48" t="n">
        <v>46153</v>
      </c>
      <c r="C45" s="49" t="inlineStr">
        <is>
          <t>Farmacity Premium</t>
        </is>
      </c>
      <c r="D45" s="50" t="inlineStr">
        <is>
          <t>Salud</t>
        </is>
      </c>
      <c r="E45" s="51" t="inlineStr">
        <is>
          <t>Normal</t>
        </is>
      </c>
      <c r="F45" s="52" t="n">
        <v>24300</v>
      </c>
      <c r="G45" s="50" t="inlineStr"/>
      <c r="H45" s="50" t="inlineStr"/>
    </row>
    <row r="46">
      <c r="A46" s="125" t="inlineStr">
        <is>
          <t>Visa Santander</t>
        </is>
      </c>
      <c r="B46" s="48" t="n">
        <v>46153</v>
      </c>
      <c r="C46" s="49" t="inlineStr">
        <is>
          <t>Farmacity Palermo</t>
        </is>
      </c>
      <c r="D46" s="50" t="inlineStr">
        <is>
          <t>Salud</t>
        </is>
      </c>
      <c r="E46" s="51" t="inlineStr">
        <is>
          <t>Normal</t>
        </is>
      </c>
      <c r="F46" s="52" t="n">
        <v>12400</v>
      </c>
      <c r="G46" s="50" t="inlineStr"/>
      <c r="H46" s="50" t="inlineStr"/>
    </row>
    <row r="47">
      <c r="A47" s="125" t="inlineStr">
        <is>
          <t>Visa Santander</t>
        </is>
      </c>
      <c r="B47" s="48" t="n">
        <v>46164</v>
      </c>
      <c r="C47" s="49" t="inlineStr">
        <is>
          <t>Farmacity Belgrano</t>
        </is>
      </c>
      <c r="D47" s="50" t="inlineStr">
        <is>
          <t>Salud</t>
        </is>
      </c>
      <c r="E47" s="51" t="inlineStr">
        <is>
          <t>Normal</t>
        </is>
      </c>
      <c r="F47" s="52" t="n">
        <v>8700</v>
      </c>
      <c r="G47" s="50" t="inlineStr"/>
      <c r="H47" s="50" t="inlineStr"/>
    </row>
    <row r="48">
      <c r="A48" s="125" t="inlineStr">
        <is>
          <t>Visa Santander</t>
        </is>
      </c>
      <c r="B48" s="48" t="n">
        <v>46158</v>
      </c>
      <c r="C48" s="49" t="inlineStr">
        <is>
          <t>Óptica Visión Sur</t>
        </is>
      </c>
      <c r="D48" s="50" t="inlineStr">
        <is>
          <t>Salud</t>
        </is>
      </c>
      <c r="E48" s="51" t="inlineStr">
        <is>
          <t>Normal</t>
        </is>
      </c>
      <c r="F48" s="52" t="n">
        <v>35000</v>
      </c>
      <c r="G48" s="50" t="inlineStr"/>
      <c r="H48" s="50" t="inlineStr"/>
    </row>
    <row r="49">
      <c r="A49" s="126" t="inlineStr">
        <is>
          <t>Amex</t>
        </is>
      </c>
      <c r="B49" s="28" t="n">
        <v>46143</v>
      </c>
      <c r="C49" s="29" t="inlineStr">
        <is>
          <t>Medicus prepaga</t>
        </is>
      </c>
      <c r="D49" s="30" t="inlineStr">
        <is>
          <t>Servicios Fijos</t>
        </is>
      </c>
      <c r="E49" s="31" t="inlineStr">
        <is>
          <t>Normal</t>
        </is>
      </c>
      <c r="F49" s="32" t="n">
        <v>156000</v>
      </c>
      <c r="G49" s="30" t="inlineStr"/>
      <c r="H49" s="30" t="inlineStr"/>
    </row>
    <row r="50">
      <c r="A50" s="126" t="inlineStr">
        <is>
          <t>Amex Santander</t>
        </is>
      </c>
      <c r="B50" s="28" t="n">
        <v>46143</v>
      </c>
      <c r="C50" s="29" t="inlineStr">
        <is>
          <t>Personal HogarNet</t>
        </is>
      </c>
      <c r="D50" s="30" t="inlineStr">
        <is>
          <t>Servicios Fijos</t>
        </is>
      </c>
      <c r="E50" s="31" t="inlineStr">
        <is>
          <t>Normal</t>
        </is>
      </c>
      <c r="F50" s="32" t="n">
        <v>32400</v>
      </c>
      <c r="G50" s="30" t="inlineStr"/>
      <c r="H50" s="30" t="inlineStr"/>
    </row>
    <row r="51">
      <c r="A51" s="126" t="inlineStr">
        <is>
          <t>Amex Santander</t>
        </is>
      </c>
      <c r="B51" s="28" t="n">
        <v>46143</v>
      </c>
      <c r="C51" s="29" t="inlineStr">
        <is>
          <t>DirecTV GO</t>
        </is>
      </c>
      <c r="D51" s="30" t="inlineStr">
        <is>
          <t>Servicios Fijos</t>
        </is>
      </c>
      <c r="E51" s="31" t="inlineStr">
        <is>
          <t>Normal</t>
        </is>
      </c>
      <c r="F51" s="32" t="n">
        <v>18900</v>
      </c>
      <c r="G51" s="30" t="inlineStr"/>
      <c r="H51" s="30" t="inlineStr"/>
    </row>
    <row r="52">
      <c r="A52" s="126" t="inlineStr">
        <is>
          <t>Amex Santander</t>
        </is>
      </c>
      <c r="B52" s="28" t="n">
        <v>46143</v>
      </c>
      <c r="C52" s="29" t="inlineStr">
        <is>
          <t>Swiss Medical prepaga</t>
        </is>
      </c>
      <c r="D52" s="30" t="inlineStr">
        <is>
          <t>Servicios Fijos</t>
        </is>
      </c>
      <c r="E52" s="31" t="inlineStr">
        <is>
          <t>Normal</t>
        </is>
      </c>
      <c r="F52" s="32" t="n">
        <v>285000</v>
      </c>
      <c r="G52" s="30" t="inlineStr"/>
      <c r="H52" s="30" t="inlineStr"/>
    </row>
    <row r="53">
      <c r="A53" s="126" t="inlineStr">
        <is>
          <t>Visa Santander</t>
        </is>
      </c>
      <c r="B53" s="28" t="n">
        <v>46143</v>
      </c>
      <c r="C53" s="29" t="inlineStr">
        <is>
          <t>Movistar</t>
        </is>
      </c>
      <c r="D53" s="30" t="inlineStr">
        <is>
          <t>Servicios Fijos</t>
        </is>
      </c>
      <c r="E53" s="31" t="inlineStr">
        <is>
          <t>Normal</t>
        </is>
      </c>
      <c r="F53" s="32" t="n">
        <v>24800</v>
      </c>
      <c r="G53" s="30" t="inlineStr"/>
      <c r="H53" s="30" t="inlineStr"/>
    </row>
    <row r="54">
      <c r="A54" s="126" t="inlineStr">
        <is>
          <t>Visa Santander</t>
        </is>
      </c>
      <c r="B54" s="28" t="n">
        <v>46143</v>
      </c>
      <c r="C54" s="29" t="inlineStr">
        <is>
          <t>OSDE prepaga</t>
        </is>
      </c>
      <c r="D54" s="30" t="inlineStr">
        <is>
          <t>Servicios Fijos</t>
        </is>
      </c>
      <c r="E54" s="31" t="inlineStr">
        <is>
          <t>Normal</t>
        </is>
      </c>
      <c r="F54" s="32" t="n">
        <v>142000</v>
      </c>
      <c r="G54" s="30" t="inlineStr"/>
      <c r="H54" s="30" t="inlineStr"/>
    </row>
    <row r="55">
      <c r="A55" s="126" t="inlineStr">
        <is>
          <t>Visa Santander</t>
        </is>
      </c>
      <c r="B55" s="28" t="n">
        <v>46144</v>
      </c>
      <c r="C55" s="29" t="inlineStr">
        <is>
          <t>Gym BodySystems</t>
        </is>
      </c>
      <c r="D55" s="30" t="inlineStr">
        <is>
          <t>Servicios Fijos</t>
        </is>
      </c>
      <c r="E55" s="31" t="inlineStr">
        <is>
          <t>Normal</t>
        </is>
      </c>
      <c r="F55" s="32" t="n">
        <v>28500</v>
      </c>
      <c r="G55" s="30" t="inlineStr"/>
      <c r="H55" s="30" t="inlineStr"/>
    </row>
    <row r="56">
      <c r="A56" s="126" t="inlineStr">
        <is>
          <t>Visa Santander</t>
        </is>
      </c>
      <c r="B56" s="28" t="n">
        <v>46147</v>
      </c>
      <c r="C56" s="29" t="inlineStr">
        <is>
          <t>Edesur</t>
        </is>
      </c>
      <c r="D56" s="30" t="inlineStr">
        <is>
          <t>Servicios Fijos</t>
        </is>
      </c>
      <c r="E56" s="31" t="inlineStr">
        <is>
          <t>Normal</t>
        </is>
      </c>
      <c r="F56" s="32" t="n">
        <v>18400</v>
      </c>
      <c r="G56" s="30" t="inlineStr"/>
      <c r="H56" s="30" t="inlineStr"/>
    </row>
    <row r="57">
      <c r="A57" s="126" t="inlineStr">
        <is>
          <t>Visa Santander</t>
        </is>
      </c>
      <c r="B57" s="28" t="n">
        <v>46147</v>
      </c>
      <c r="C57" s="29" t="inlineStr">
        <is>
          <t>Metrogas</t>
        </is>
      </c>
      <c r="D57" s="30" t="inlineStr">
        <is>
          <t>Servicios Fijos</t>
        </is>
      </c>
      <c r="E57" s="31" t="inlineStr">
        <is>
          <t>Normal</t>
        </is>
      </c>
      <c r="F57" s="32" t="n">
        <v>12300</v>
      </c>
      <c r="G57" s="30" t="inlineStr"/>
      <c r="H57" s="30" t="inlineStr"/>
    </row>
    <row r="58">
      <c r="A58" s="127" t="inlineStr">
        <is>
          <t>Amex</t>
        </is>
      </c>
      <c r="B58" s="3" t="n">
        <v>46149</v>
      </c>
      <c r="C58" s="4" t="inlineStr">
        <is>
          <t>Expedia vuelo internacional</t>
        </is>
      </c>
      <c r="D58" s="5" t="inlineStr">
        <is>
          <t>Supermercado</t>
        </is>
      </c>
      <c r="E58" s="6" t="inlineStr">
        <is>
          <t>Normal</t>
        </is>
      </c>
      <c r="F58" s="7" t="n">
        <v>425000</v>
      </c>
      <c r="G58" s="5" t="inlineStr"/>
      <c r="H58" s="5" t="inlineStr"/>
    </row>
    <row r="59">
      <c r="A59" s="127" t="inlineStr">
        <is>
          <t>Amex</t>
        </is>
      </c>
      <c r="B59" s="3" t="n">
        <v>46148</v>
      </c>
      <c r="C59" s="4" t="inlineStr">
        <is>
          <t>Jumbo Palermo</t>
        </is>
      </c>
      <c r="D59" s="5" t="inlineStr">
        <is>
          <t>Supermercado</t>
        </is>
      </c>
      <c r="E59" s="6" t="inlineStr">
        <is>
          <t>Normal</t>
        </is>
      </c>
      <c r="F59" s="7" t="n">
        <v>68400</v>
      </c>
      <c r="G59" s="5" t="inlineStr"/>
      <c r="H59" s="5" t="inlineStr"/>
    </row>
    <row r="60">
      <c r="A60" s="127" t="inlineStr">
        <is>
          <t>Amex</t>
        </is>
      </c>
      <c r="B60" s="3" t="n">
        <v>46156</v>
      </c>
      <c r="C60" s="4" t="inlineStr">
        <is>
          <t>Rapsodia CTA 1/3</t>
        </is>
      </c>
      <c r="D60" s="5" t="inlineStr">
        <is>
          <t>Supermercado</t>
        </is>
      </c>
      <c r="E60" s="6" t="inlineStr">
        <is>
          <t>Cuota</t>
        </is>
      </c>
      <c r="F60" s="7" t="n">
        <v>78000</v>
      </c>
      <c r="G60" s="5" t="inlineStr">
        <is>
          <t>1/3</t>
        </is>
      </c>
      <c r="H60" s="5" t="n">
        <v>1</v>
      </c>
    </row>
    <row r="61">
      <c r="A61" s="127" t="inlineStr">
        <is>
          <t>Amex Santander</t>
        </is>
      </c>
      <c r="B61" s="3" t="n">
        <v>46149</v>
      </c>
      <c r="C61" s="4" t="inlineStr">
        <is>
          <t>Jumbo Unicenter</t>
        </is>
      </c>
      <c r="D61" s="5" t="inlineStr">
        <is>
          <t>Supermercado</t>
        </is>
      </c>
      <c r="E61" s="6" t="inlineStr">
        <is>
          <t>Normal</t>
        </is>
      </c>
      <c r="F61" s="7" t="n">
        <v>98600</v>
      </c>
      <c r="G61" s="5" t="inlineStr"/>
      <c r="H61" s="5" t="inlineStr"/>
    </row>
    <row r="62">
      <c r="A62" s="127" t="inlineStr">
        <is>
          <t>Amex Santander</t>
        </is>
      </c>
      <c r="B62" s="3" t="n">
        <v>46157</v>
      </c>
      <c r="C62" s="4" t="inlineStr">
        <is>
          <t>Jumbo Martinez</t>
        </is>
      </c>
      <c r="D62" s="5" t="inlineStr">
        <is>
          <t>Supermercado</t>
        </is>
      </c>
      <c r="E62" s="6" t="inlineStr">
        <is>
          <t>Normal</t>
        </is>
      </c>
      <c r="F62" s="7" t="n">
        <v>76400</v>
      </c>
      <c r="G62" s="5" t="inlineStr"/>
      <c r="H62" s="5" t="inlineStr"/>
    </row>
    <row r="63">
      <c r="A63" s="127" t="inlineStr">
        <is>
          <t>Visa Santander</t>
        </is>
      </c>
      <c r="B63" s="3" t="n">
        <v>46144</v>
      </c>
      <c r="C63" s="4" t="inlineStr">
        <is>
          <t>Carrefour Express Palermo</t>
        </is>
      </c>
      <c r="D63" s="5" t="inlineStr">
        <is>
          <t>Supermercado</t>
        </is>
      </c>
      <c r="E63" s="6" t="inlineStr">
        <is>
          <t>Normal</t>
        </is>
      </c>
      <c r="F63" s="7" t="n">
        <v>68400</v>
      </c>
      <c r="G63" s="5" t="inlineStr"/>
      <c r="H63" s="5" t="inlineStr"/>
    </row>
    <row r="64">
      <c r="A64" s="127" t="inlineStr">
        <is>
          <t>Visa Santander</t>
        </is>
      </c>
      <c r="B64" s="3" t="n">
        <v>46145</v>
      </c>
      <c r="C64" s="4" t="inlineStr">
        <is>
          <t>Coto Martinez</t>
        </is>
      </c>
      <c r="D64" s="5" t="inlineStr">
        <is>
          <t>Supermercado</t>
        </is>
      </c>
      <c r="E64" s="6" t="inlineStr">
        <is>
          <t>Normal</t>
        </is>
      </c>
      <c r="F64" s="7" t="n">
        <v>42300</v>
      </c>
      <c r="G64" s="5" t="inlineStr"/>
      <c r="H64" s="5" t="inlineStr"/>
    </row>
    <row r="65">
      <c r="A65" s="127" t="inlineStr">
        <is>
          <t>Visa Santander</t>
        </is>
      </c>
      <c r="B65" s="3" t="n">
        <v>46147</v>
      </c>
      <c r="C65" s="4" t="inlineStr">
        <is>
          <t>Disco Belgrano</t>
        </is>
      </c>
      <c r="D65" s="5" t="inlineStr">
        <is>
          <t>Supermercado</t>
        </is>
      </c>
      <c r="E65" s="6" t="inlineStr">
        <is>
          <t>Normal</t>
        </is>
      </c>
      <c r="F65" s="7" t="n">
        <v>35800</v>
      </c>
      <c r="G65" s="5" t="inlineStr"/>
      <c r="H65" s="5" t="inlineStr"/>
    </row>
    <row r="66">
      <c r="A66" s="127" t="inlineStr">
        <is>
          <t>Visa Santander</t>
        </is>
      </c>
      <c r="B66" s="3" t="n">
        <v>46160</v>
      </c>
      <c r="C66" s="4" t="inlineStr">
        <is>
          <t>Carrefour Caballito</t>
        </is>
      </c>
      <c r="D66" s="5" t="inlineStr">
        <is>
          <t>Supermercado</t>
        </is>
      </c>
      <c r="E66" s="6" t="inlineStr">
        <is>
          <t>Normal</t>
        </is>
      </c>
      <c r="F66" s="7" t="n">
        <v>28600</v>
      </c>
      <c r="G66" s="5" t="inlineStr"/>
      <c r="H66" s="5" t="inlineStr"/>
    </row>
    <row r="67">
      <c r="A67" s="128" t="inlineStr">
        <is>
          <t>Amex</t>
        </is>
      </c>
      <c r="B67" s="38" t="n">
        <v>46163</v>
      </c>
      <c r="C67" s="39" t="inlineStr">
        <is>
          <t>Apple Store MacBook Accesorios</t>
        </is>
      </c>
      <c r="D67" s="40" t="inlineStr">
        <is>
          <t>Tecnología</t>
        </is>
      </c>
      <c r="E67" s="41" t="inlineStr">
        <is>
          <t>Normal</t>
        </is>
      </c>
      <c r="F67" s="42" t="n">
        <v>215000</v>
      </c>
      <c r="G67" s="40" t="inlineStr"/>
      <c r="H67" s="40" t="inlineStr"/>
    </row>
    <row r="68">
      <c r="A68" s="128" t="inlineStr">
        <is>
          <t>Amex</t>
        </is>
      </c>
      <c r="B68" s="38" t="n">
        <v>46164</v>
      </c>
      <c r="C68" s="39" t="inlineStr">
        <is>
          <t>Amazon US importado</t>
        </is>
      </c>
      <c r="D68" s="40" t="inlineStr">
        <is>
          <t>Tecnología</t>
        </is>
      </c>
      <c r="E68" s="41" t="inlineStr">
        <is>
          <t>Normal</t>
        </is>
      </c>
      <c r="F68" s="42" t="n">
        <v>65000</v>
      </c>
      <c r="G68" s="40" t="inlineStr"/>
      <c r="H68" s="40" t="inlineStr"/>
    </row>
    <row r="69">
      <c r="A69" s="128" t="inlineStr">
        <is>
          <t>Amex Santander</t>
        </is>
      </c>
      <c r="B69" s="38" t="n">
        <v>46150</v>
      </c>
      <c r="C69" s="39" t="inlineStr">
        <is>
          <t>Samsung Galaxy CTA 2/18</t>
        </is>
      </c>
      <c r="D69" s="40" t="inlineStr">
        <is>
          <t>Tecnología</t>
        </is>
      </c>
      <c r="E69" s="41" t="inlineStr">
        <is>
          <t>Cuota</t>
        </is>
      </c>
      <c r="F69" s="42" t="n">
        <v>78500</v>
      </c>
      <c r="G69" s="40" t="inlineStr">
        <is>
          <t>2/18</t>
        </is>
      </c>
      <c r="H69" s="40" t="n">
        <v>2</v>
      </c>
    </row>
    <row r="70">
      <c r="A70" s="128" t="inlineStr">
        <is>
          <t>Amex Santander</t>
        </is>
      </c>
      <c r="B70" s="38" t="n">
        <v>46155</v>
      </c>
      <c r="C70" s="39" t="inlineStr">
        <is>
          <t>Megatone Smart TV CTA 3/12</t>
        </is>
      </c>
      <c r="D70" s="40" t="inlineStr">
        <is>
          <t>Tecnología</t>
        </is>
      </c>
      <c r="E70" s="41" t="inlineStr">
        <is>
          <t>Cuota</t>
        </is>
      </c>
      <c r="F70" s="42" t="n">
        <v>185000</v>
      </c>
      <c r="G70" s="40" t="inlineStr">
        <is>
          <t>3/12</t>
        </is>
      </c>
      <c r="H70" s="40" t="n">
        <v>3</v>
      </c>
    </row>
    <row r="71">
      <c r="A71" s="128" t="inlineStr">
        <is>
          <t>Amex Santander</t>
        </is>
      </c>
      <c r="B71" s="38" t="n">
        <v>46163</v>
      </c>
      <c r="C71" s="39" t="inlineStr">
        <is>
          <t>Apple App Store</t>
        </is>
      </c>
      <c r="D71" s="40" t="inlineStr">
        <is>
          <t>Tecnología</t>
        </is>
      </c>
      <c r="E71" s="41" t="inlineStr">
        <is>
          <t>Normal</t>
        </is>
      </c>
      <c r="F71" s="42" t="n">
        <v>4200</v>
      </c>
      <c r="G71" s="40" t="inlineStr"/>
      <c r="H71" s="40" t="inlineStr"/>
    </row>
    <row r="72">
      <c r="A72" s="128" t="inlineStr">
        <is>
          <t>Visa Santander</t>
        </is>
      </c>
      <c r="B72" s="38" t="n">
        <v>46151</v>
      </c>
      <c r="C72" s="39" t="inlineStr">
        <is>
          <t>LG Smart TV CTA 3/12</t>
        </is>
      </c>
      <c r="D72" s="40" t="inlineStr">
        <is>
          <t>Tecnología</t>
        </is>
      </c>
      <c r="E72" s="41" t="inlineStr">
        <is>
          <t>Cuota</t>
        </is>
      </c>
      <c r="F72" s="42" t="n">
        <v>45000</v>
      </c>
      <c r="G72" s="40" t="inlineStr">
        <is>
          <t>3/12</t>
        </is>
      </c>
      <c r="H72" s="40" t="n">
        <v>3</v>
      </c>
    </row>
    <row r="73">
      <c r="A73" s="128" t="inlineStr">
        <is>
          <t>Visa Santander</t>
        </is>
      </c>
      <c r="B73" s="38" t="n">
        <v>46151</v>
      </c>
      <c r="C73" s="39" t="inlineStr">
        <is>
          <t>iPhone 15 CTA 1/24</t>
        </is>
      </c>
      <c r="D73" s="40" t="inlineStr">
        <is>
          <t>Tecnología</t>
        </is>
      </c>
      <c r="E73" s="41" t="inlineStr">
        <is>
          <t>Cuota</t>
        </is>
      </c>
      <c r="F73" s="42" t="n">
        <v>82500</v>
      </c>
      <c r="G73" s="40" t="inlineStr">
        <is>
          <t>1/24</t>
        </is>
      </c>
      <c r="H73" s="40" t="n">
        <v>1</v>
      </c>
    </row>
    <row r="74">
      <c r="A74" s="129" t="inlineStr">
        <is>
          <t>Amex Santander</t>
        </is>
      </c>
      <c r="B74" s="53" t="n">
        <v>46146</v>
      </c>
      <c r="C74" s="54" t="inlineStr">
        <is>
          <t>Uber Premium</t>
        </is>
      </c>
      <c r="D74" s="55" t="inlineStr">
        <is>
          <t>Transporte Local</t>
        </is>
      </c>
      <c r="E74" s="56" t="inlineStr">
        <is>
          <t>Normal</t>
        </is>
      </c>
      <c r="F74" s="57" t="n">
        <v>8400</v>
      </c>
      <c r="G74" s="55" t="inlineStr"/>
      <c r="H74" s="55" t="inlineStr"/>
    </row>
    <row r="75">
      <c r="A75" s="129" t="inlineStr">
        <is>
          <t>Amex Santander</t>
        </is>
      </c>
      <c r="B75" s="53" t="n">
        <v>46162</v>
      </c>
      <c r="C75" s="54" t="inlineStr">
        <is>
          <t>Uber Premium</t>
        </is>
      </c>
      <c r="D75" s="55" t="inlineStr">
        <is>
          <t>Transporte Local</t>
        </is>
      </c>
      <c r="E75" s="56" t="inlineStr">
        <is>
          <t>Normal</t>
        </is>
      </c>
      <c r="F75" s="57" t="n">
        <v>6800</v>
      </c>
      <c r="G75" s="55" t="inlineStr"/>
      <c r="H75" s="55" t="inlineStr"/>
    </row>
    <row r="76">
      <c r="A76" s="129" t="inlineStr">
        <is>
          <t>Amex Santander</t>
        </is>
      </c>
      <c r="B76" s="53" t="n">
        <v>46152</v>
      </c>
      <c r="C76" s="54" t="inlineStr">
        <is>
          <t>Peaje Autopista</t>
        </is>
      </c>
      <c r="D76" s="55" t="inlineStr">
        <is>
          <t>Transporte Local</t>
        </is>
      </c>
      <c r="E76" s="56" t="inlineStr">
        <is>
          <t>Normal</t>
        </is>
      </c>
      <c r="F76" s="57" t="n">
        <v>1800</v>
      </c>
      <c r="G76" s="55" t="inlineStr"/>
      <c r="H76" s="55" t="inlineStr"/>
    </row>
    <row r="77">
      <c r="A77" s="129" t="inlineStr">
        <is>
          <t>Visa Santander</t>
        </is>
      </c>
      <c r="B77" s="53" t="n">
        <v>46146</v>
      </c>
      <c r="C77" s="54" t="inlineStr">
        <is>
          <t>Uber</t>
        </is>
      </c>
      <c r="D77" s="55" t="inlineStr">
        <is>
          <t>Transporte Local</t>
        </is>
      </c>
      <c r="E77" s="56" t="inlineStr">
        <is>
          <t>Normal</t>
        </is>
      </c>
      <c r="F77" s="57" t="n">
        <v>4200</v>
      </c>
      <c r="G77" s="55" t="inlineStr"/>
      <c r="H77" s="55" t="inlineStr"/>
    </row>
    <row r="78">
      <c r="A78" s="129" t="inlineStr">
        <is>
          <t>Visa Santander</t>
        </is>
      </c>
      <c r="B78" s="53" t="n">
        <v>46155</v>
      </c>
      <c r="C78" s="54" t="inlineStr">
        <is>
          <t>Uber</t>
        </is>
      </c>
      <c r="D78" s="55" t="inlineStr">
        <is>
          <t>Transporte Local</t>
        </is>
      </c>
      <c r="E78" s="56" t="inlineStr">
        <is>
          <t>Normal</t>
        </is>
      </c>
      <c r="F78" s="57" t="n">
        <v>3800</v>
      </c>
      <c r="G78" s="55" t="inlineStr"/>
      <c r="H78" s="55" t="inlineStr"/>
    </row>
    <row r="79">
      <c r="A79" s="129" t="inlineStr">
        <is>
          <t>Visa Santander</t>
        </is>
      </c>
      <c r="B79" s="53" t="n">
        <v>46163</v>
      </c>
      <c r="C79" s="54" t="inlineStr">
        <is>
          <t>Uber</t>
        </is>
      </c>
      <c r="D79" s="55" t="inlineStr">
        <is>
          <t>Transporte Local</t>
        </is>
      </c>
      <c r="E79" s="56" t="inlineStr">
        <is>
          <t>Normal</t>
        </is>
      </c>
      <c r="F79" s="57" t="n">
        <v>5100</v>
      </c>
      <c r="G79" s="55" t="inlineStr"/>
      <c r="H79" s="55" t="inlineStr"/>
    </row>
    <row r="80">
      <c r="A80" s="129" t="inlineStr">
        <is>
          <t>Visa Santander</t>
        </is>
      </c>
      <c r="B80" s="53" t="n">
        <v>46149</v>
      </c>
      <c r="C80" s="54" t="inlineStr">
        <is>
          <t>Peaje AU Panamericana</t>
        </is>
      </c>
      <c r="D80" s="55" t="inlineStr">
        <is>
          <t>Transporte Local</t>
        </is>
      </c>
      <c r="E80" s="56" t="inlineStr">
        <is>
          <t>Normal</t>
        </is>
      </c>
      <c r="F80" s="57" t="n">
        <v>1200</v>
      </c>
      <c r="G80" s="55" t="inlineStr"/>
      <c r="H80" s="55" t="inlineStr"/>
    </row>
    <row r="81">
      <c r="A81" s="130" t="inlineStr">
        <is>
          <t>Amex</t>
        </is>
      </c>
      <c r="B81" s="73" t="n">
        <v>46151</v>
      </c>
      <c r="C81" s="74" t="inlineStr">
        <is>
          <t>LATAM Airlines</t>
        </is>
      </c>
      <c r="D81" s="75" t="inlineStr">
        <is>
          <t>Viajes</t>
        </is>
      </c>
      <c r="E81" s="76" t="inlineStr">
        <is>
          <t>Normal</t>
        </is>
      </c>
      <c r="F81" s="77" t="n">
        <v>218000</v>
      </c>
      <c r="G81" s="75" t="inlineStr"/>
      <c r="H81" s="75" t="inlineStr"/>
    </row>
    <row r="82">
      <c r="A82" s="130" t="inlineStr">
        <is>
          <t>Amex</t>
        </is>
      </c>
      <c r="B82" s="73" t="n">
        <v>46146</v>
      </c>
      <c r="C82" s="74" t="inlineStr">
        <is>
          <t>Airbnb Mendoza</t>
        </is>
      </c>
      <c r="D82" s="75" t="inlineStr">
        <is>
          <t>Viajes</t>
        </is>
      </c>
      <c r="E82" s="76" t="inlineStr">
        <is>
          <t>Normal</t>
        </is>
      </c>
      <c r="F82" s="77" t="n">
        <v>245000</v>
      </c>
      <c r="G82" s="75" t="inlineStr"/>
      <c r="H82" s="75" t="inlineStr"/>
    </row>
    <row r="83">
      <c r="A83" s="130" t="inlineStr">
        <is>
          <t>Amex</t>
        </is>
      </c>
      <c r="B83" s="73" t="n">
        <v>46153</v>
      </c>
      <c r="C83" s="74" t="inlineStr">
        <is>
          <t>Airbnb Córdoba</t>
        </is>
      </c>
      <c r="D83" s="75" t="inlineStr">
        <is>
          <t>Viajes</t>
        </is>
      </c>
      <c r="E83" s="76" t="inlineStr">
        <is>
          <t>Normal</t>
        </is>
      </c>
      <c r="F83" s="77" t="n">
        <v>189000</v>
      </c>
      <c r="G83" s="75" t="inlineStr"/>
      <c r="H83" s="75" t="inlineStr"/>
    </row>
    <row r="84">
      <c r="A84" s="130" t="inlineStr">
        <is>
          <t>Amex Santander</t>
        </is>
      </c>
      <c r="B84" s="73" t="n">
        <v>46145</v>
      </c>
      <c r="C84" s="74" t="inlineStr">
        <is>
          <t>Aerolíneas Argentinas BUE-BRC</t>
        </is>
      </c>
      <c r="D84" s="75" t="inlineStr">
        <is>
          <t>Viajes</t>
        </is>
      </c>
      <c r="E84" s="76" t="inlineStr">
        <is>
          <t>Normal</t>
        </is>
      </c>
      <c r="F84" s="77" t="n">
        <v>185400</v>
      </c>
      <c r="G84" s="75" t="inlineStr"/>
      <c r="H84" s="75" t="inlineStr"/>
    </row>
    <row r="85">
      <c r="A85" s="130" t="inlineStr">
        <is>
          <t>Amex Santander</t>
        </is>
      </c>
      <c r="B85" s="73" t="n">
        <v>46160</v>
      </c>
      <c r="C85" s="74" t="inlineStr">
        <is>
          <t>Aerolíneas Argentinas BRC-BUE</t>
        </is>
      </c>
      <c r="D85" s="75" t="inlineStr">
        <is>
          <t>Viajes</t>
        </is>
      </c>
      <c r="E85" s="76" t="inlineStr">
        <is>
          <t>Normal</t>
        </is>
      </c>
      <c r="F85" s="77" t="n">
        <v>195200</v>
      </c>
      <c r="G85" s="75" t="inlineStr"/>
      <c r="H85" s="75" t="inlineStr"/>
    </row>
    <row r="86">
      <c r="A86" s="130" t="inlineStr">
        <is>
          <t>Amex Santander</t>
        </is>
      </c>
      <c r="B86" s="73" t="n">
        <v>46146</v>
      </c>
      <c r="C86" s="74" t="inlineStr">
        <is>
          <t>Booking.com Hotel Patagonico</t>
        </is>
      </c>
      <c r="D86" s="75" t="inlineStr">
        <is>
          <t>Viajes</t>
        </is>
      </c>
      <c r="E86" s="76" t="inlineStr">
        <is>
          <t>Normal</t>
        </is>
      </c>
      <c r="F86" s="77" t="n">
        <v>320000</v>
      </c>
      <c r="G86" s="75" t="inlineStr"/>
      <c r="H86" s="75" t="inlineStr"/>
    </row>
    <row r="87">
      <c r="A87" s="130" t="inlineStr">
        <is>
          <t>Amex Santander</t>
        </is>
      </c>
      <c r="B87" s="73" t="n">
        <v>46152</v>
      </c>
      <c r="C87" s="74" t="inlineStr">
        <is>
          <t>NH Hotel Crillon BA</t>
        </is>
      </c>
      <c r="D87" s="75" t="inlineStr">
        <is>
          <t>Viajes</t>
        </is>
      </c>
      <c r="E87" s="76" t="inlineStr">
        <is>
          <t>Normal</t>
        </is>
      </c>
      <c r="F87" s="77" t="n">
        <v>185000</v>
      </c>
      <c r="G87" s="75" t="inlineStr"/>
      <c r="H87" s="75" t="inlineStr"/>
    </row>
    <row r="88">
      <c r="A88" s="130" t="inlineStr">
        <is>
          <t>Amex Santander</t>
        </is>
      </c>
      <c r="B88" s="73" t="n">
        <v>46162</v>
      </c>
      <c r="C88" s="74" t="inlineStr">
        <is>
          <t>Despegar.com Mendoza</t>
        </is>
      </c>
      <c r="D88" s="75" t="inlineStr">
        <is>
          <t>Viajes</t>
        </is>
      </c>
      <c r="E88" s="76" t="inlineStr">
        <is>
          <t>Normal</t>
        </is>
      </c>
      <c r="F88" s="77" t="n">
        <v>248000</v>
      </c>
      <c r="G88" s="75" t="inlineStr"/>
      <c r="H88" s="7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5" customWidth="1" min="4" max="4"/>
    <col width="22" customWidth="1" min="5" max="5"/>
    <col width="10" customWidth="1" min="6" max="6"/>
    <col width="16" customWidth="1" min="7" max="7"/>
    <col width="18" customWidth="1" min="9" max="9"/>
    <col width="35" customWidth="1" min="10" max="10"/>
    <col width="9" customWidth="1" min="11" max="11"/>
    <col width="16" customWidth="1" min="12" max="12"/>
    <col width="10" customWidth="1" min="13" max="13"/>
    <col width="20" customWidth="1" min="14" max="14"/>
  </cols>
  <sheetData>
    <row r="1" ht="22" customHeight="1">
      <c r="A1" s="131" t="inlineStr">
        <is>
          <t>DASHBOARD — ANÁLISIS DE TARJETAS DE CRÉDITO  |  Mayo 2026</t>
        </is>
      </c>
    </row>
    <row r="2" ht="22" customHeight="1"/>
    <row r="4" ht="18" customHeight="1">
      <c r="A4" s="132" t="inlineStr">
        <is>
          <t>VISA SANTANDER</t>
        </is>
      </c>
      <c r="F4" s="133" t="inlineStr">
        <is>
          <t>AMEX SANTANDER</t>
        </is>
      </c>
      <c r="K4" s="134" t="inlineStr">
        <is>
          <t>AMEX</t>
        </is>
      </c>
      <c r="P4" s="135" t="inlineStr">
        <is>
          <t>GRAN TOTAL</t>
        </is>
      </c>
    </row>
    <row r="5" ht="18" customHeight="1">
      <c r="A5" s="136" t="n"/>
      <c r="F5" s="137" t="n"/>
      <c r="K5" s="138" t="n"/>
      <c r="P5" s="139" t="n"/>
    </row>
    <row r="6" ht="18" customHeight="1">
      <c r="A6" s="140" t="n">
        <v>1023790</v>
      </c>
      <c r="F6" s="141" t="n">
        <v>2748490</v>
      </c>
      <c r="K6" s="142" t="n">
        <v>2889300</v>
      </c>
      <c r="P6" s="143" t="n">
        <v>6661580</v>
      </c>
    </row>
    <row r="7" ht="18" customHeight="1">
      <c r="A7" s="136" t="n"/>
      <c r="F7" s="137" t="n"/>
      <c r="K7" s="138" t="n"/>
      <c r="P7" s="139" t="n"/>
    </row>
    <row r="8" ht="18" customHeight="1">
      <c r="A8" s="136" t="n"/>
      <c r="F8" s="137" t="n"/>
      <c r="K8" s="138" t="n"/>
      <c r="P8" s="139" t="n"/>
    </row>
    <row r="9" ht="18" customHeight="1">
      <c r="A9" s="136" t="n"/>
      <c r="F9" s="137" t="n"/>
      <c r="K9" s="138" t="n"/>
      <c r="P9" s="139" t="n"/>
    </row>
    <row r="11">
      <c r="W11" t="inlineStr">
        <is>
          <t>Categoría</t>
        </is>
      </c>
      <c r="X11" t="inlineStr">
        <is>
          <t>Total</t>
        </is>
      </c>
      <c r="Z11" t="inlineStr">
        <is>
          <t>Tarjeta</t>
        </is>
      </c>
      <c r="AA11" t="inlineStr">
        <is>
          <t>Total</t>
        </is>
      </c>
    </row>
    <row r="12">
      <c r="W12" t="inlineStr">
        <is>
          <t>Viajes</t>
        </is>
      </c>
      <c r="X12" t="n">
        <v>1785600</v>
      </c>
      <c r="Z12" t="inlineStr">
        <is>
          <t>Visa Santander</t>
        </is>
      </c>
      <c r="AA12" t="n">
        <v>1023790</v>
      </c>
    </row>
    <row r="13">
      <c r="W13" t="inlineStr">
        <is>
          <t>Supermercado</t>
        </is>
      </c>
      <c r="X13" t="n">
        <v>921500</v>
      </c>
      <c r="Z13" t="inlineStr">
        <is>
          <t>Amex Santander</t>
        </is>
      </c>
      <c r="AA13" t="n">
        <v>2748490</v>
      </c>
    </row>
    <row r="14">
      <c r="W14" t="inlineStr">
        <is>
          <t>Restaurantes y Bares</t>
        </is>
      </c>
      <c r="X14" t="n">
        <v>815700</v>
      </c>
      <c r="Z14" t="inlineStr">
        <is>
          <t>Amex</t>
        </is>
      </c>
      <c r="AA14" t="n">
        <v>2889300</v>
      </c>
    </row>
    <row r="15">
      <c r="W15" t="inlineStr">
        <is>
          <t>Servicios Fijos</t>
        </is>
      </c>
      <c r="X15" t="n">
        <v>718300</v>
      </c>
    </row>
    <row r="16">
      <c r="W16" t="inlineStr">
        <is>
          <t>Tecnología</t>
        </is>
      </c>
      <c r="X16" t="n">
        <v>675200</v>
      </c>
    </row>
    <row r="17">
      <c r="W17" t="inlineStr">
        <is>
          <t>Hogar y Deco</t>
        </is>
      </c>
      <c r="X17" t="n">
        <v>487200</v>
      </c>
    </row>
    <row r="18">
      <c r="W18" t="inlineStr">
        <is>
          <t>Indumentaria</t>
        </is>
      </c>
      <c r="X18" t="n">
        <v>485400</v>
      </c>
    </row>
    <row r="19">
      <c r="W19" t="inlineStr">
        <is>
          <t>Otros</t>
        </is>
      </c>
      <c r="X19" t="n">
        <v>253900</v>
      </c>
    </row>
    <row r="20">
      <c r="W20" t="inlineStr">
        <is>
          <t>Combustible</t>
        </is>
      </c>
      <c r="X20" t="n">
        <v>201900</v>
      </c>
    </row>
    <row r="21">
      <c r="W21" t="inlineStr">
        <is>
          <t>Salud</t>
        </is>
      </c>
      <c r="X21" t="n">
        <v>131100</v>
      </c>
    </row>
    <row r="22">
      <c r="W22" t="inlineStr">
        <is>
          <t>Delivery</t>
        </is>
      </c>
      <c r="X22" t="n">
        <v>88400</v>
      </c>
    </row>
    <row r="23">
      <c r="W23" t="inlineStr">
        <is>
          <t>Entretenimiento</t>
        </is>
      </c>
      <c r="X23" t="n">
        <v>66080</v>
      </c>
    </row>
    <row r="24">
      <c r="W24" t="inlineStr">
        <is>
          <t>Transporte Local</t>
        </is>
      </c>
      <c r="X24" t="n">
        <v>31300</v>
      </c>
    </row>
    <row r="30">
      <c r="A30" s="144" t="inlineStr">
        <is>
          <t>Top 10 Gastos Individuales</t>
        </is>
      </c>
      <c r="I30" s="145" t="inlineStr">
        <is>
          <t>Resumen de Cuotas Activas</t>
        </is>
      </c>
    </row>
    <row r="31" ht="18" customHeight="1">
      <c r="A31" s="2" t="inlineStr">
        <is>
          <t>Tarjeta</t>
        </is>
      </c>
      <c r="B31" s="2" t="inlineStr">
        <is>
          <t>Descripción</t>
        </is>
      </c>
      <c r="C31" s="2" t="inlineStr">
        <is>
          <t>Cuota</t>
        </is>
      </c>
      <c r="D31" s="2" t="inlineStr">
        <is>
          <t>Monto AR$</t>
        </is>
      </c>
      <c r="E31" s="2" t="inlineStr">
        <is>
          <t>Restantes</t>
        </is>
      </c>
      <c r="F31" s="2" t="inlineStr">
        <is>
          <t>Total Comprometido</t>
        </is>
      </c>
      <c r="G31" s="2" t="inlineStr">
        <is>
          <t>Monto AR$</t>
        </is>
      </c>
      <c r="I31" s="2" t="inlineStr">
        <is>
          <t>Tarjeta</t>
        </is>
      </c>
      <c r="J31" s="2" t="inlineStr">
        <is>
          <t>Descripción</t>
        </is>
      </c>
      <c r="K31" s="2" t="inlineStr">
        <is>
          <t>Cuota</t>
        </is>
      </c>
      <c r="L31" s="2" t="inlineStr">
        <is>
          <t>Monto AR$</t>
        </is>
      </c>
      <c r="M31" s="2" t="inlineStr">
        <is>
          <t>Restantes</t>
        </is>
      </c>
      <c r="N31" s="2" t="inlineStr">
        <is>
          <t>Total Comprometido</t>
        </is>
      </c>
    </row>
    <row r="32">
      <c r="A32" s="127" t="n">
        <v>1</v>
      </c>
      <c r="B32" s="5" t="inlineStr">
        <is>
          <t>Amex</t>
        </is>
      </c>
      <c r="C32" s="3" t="n">
        <v>46149</v>
      </c>
      <c r="D32" s="4" t="inlineStr">
        <is>
          <t>Expedia vuelo internacional</t>
        </is>
      </c>
      <c r="E32" s="5" t="inlineStr">
        <is>
          <t>Supermercado</t>
        </is>
      </c>
      <c r="F32" s="6" t="inlineStr">
        <is>
          <t>Normal</t>
        </is>
      </c>
      <c r="G32" s="7" t="n">
        <v>425000</v>
      </c>
      <c r="I32" s="15" t="inlineStr">
        <is>
          <t>Amex</t>
        </is>
      </c>
      <c r="J32" s="14" t="inlineStr">
        <is>
          <t>Crucero Mediterráneo CTA 3/24</t>
        </is>
      </c>
      <c r="K32" s="15" t="inlineStr">
        <is>
          <t>3/24</t>
        </is>
      </c>
      <c r="L32" s="17" t="n">
        <v>245000</v>
      </c>
      <c r="M32" s="15" t="n">
        <v>21</v>
      </c>
      <c r="N32" s="17" t="n">
        <v>5145000</v>
      </c>
    </row>
    <row r="33">
      <c r="A33" s="130" t="n">
        <v>2</v>
      </c>
      <c r="B33" s="75" t="inlineStr">
        <is>
          <t>Amex Santander</t>
        </is>
      </c>
      <c r="C33" s="73" t="n">
        <v>46146</v>
      </c>
      <c r="D33" s="74" t="inlineStr">
        <is>
          <t>Booking.com Hotel Patagonico</t>
        </is>
      </c>
      <c r="E33" s="75" t="inlineStr">
        <is>
          <t>Viajes</t>
        </is>
      </c>
      <c r="F33" s="76" t="inlineStr">
        <is>
          <t>Normal</t>
        </is>
      </c>
      <c r="G33" s="77" t="n">
        <v>320000</v>
      </c>
      <c r="I33" s="40" t="inlineStr">
        <is>
          <t>Amex Santander</t>
        </is>
      </c>
      <c r="J33" s="39" t="inlineStr">
        <is>
          <t>Megatone Smart TV CTA 3/12</t>
        </is>
      </c>
      <c r="K33" s="40" t="inlineStr">
        <is>
          <t>3/12</t>
        </is>
      </c>
      <c r="L33" s="42" t="n">
        <v>185000</v>
      </c>
      <c r="M33" s="40" t="n">
        <v>9</v>
      </c>
      <c r="N33" s="42" t="n">
        <v>1665000</v>
      </c>
    </row>
    <row r="34">
      <c r="A34" s="126" t="n">
        <v>3</v>
      </c>
      <c r="B34" s="30" t="inlineStr">
        <is>
          <t>Amex Santander</t>
        </is>
      </c>
      <c r="C34" s="28" t="n">
        <v>46143</v>
      </c>
      <c r="D34" s="29" t="inlineStr">
        <is>
          <t>Swiss Medical prepaga</t>
        </is>
      </c>
      <c r="E34" s="30" t="inlineStr">
        <is>
          <t>Servicios Fijos</t>
        </is>
      </c>
      <c r="F34" s="31" t="inlineStr">
        <is>
          <t>Normal</t>
        </is>
      </c>
      <c r="G34" s="32" t="n">
        <v>285000</v>
      </c>
      <c r="I34" s="80" t="inlineStr">
        <is>
          <t>Amex Santander</t>
        </is>
      </c>
      <c r="J34" s="79" t="inlineStr">
        <is>
          <t>Viaje Europa CTA 1/12</t>
        </is>
      </c>
      <c r="K34" s="80" t="inlineStr">
        <is>
          <t>1/12</t>
        </is>
      </c>
      <c r="L34" s="82" t="n">
        <v>168000</v>
      </c>
      <c r="M34" s="80" t="n">
        <v>11</v>
      </c>
      <c r="N34" s="82" t="n">
        <v>1848000</v>
      </c>
    </row>
    <row r="35">
      <c r="A35" s="130" t="n">
        <v>4</v>
      </c>
      <c r="B35" s="75" t="inlineStr">
        <is>
          <t>Amex Santander</t>
        </is>
      </c>
      <c r="C35" s="73" t="n">
        <v>46162</v>
      </c>
      <c r="D35" s="74" t="inlineStr">
        <is>
          <t>Despegar.com Mendoza</t>
        </is>
      </c>
      <c r="E35" s="75" t="inlineStr">
        <is>
          <t>Viajes</t>
        </is>
      </c>
      <c r="F35" s="76" t="inlineStr">
        <is>
          <t>Normal</t>
        </is>
      </c>
      <c r="G35" s="77" t="n">
        <v>248000</v>
      </c>
      <c r="I35" s="45" t="inlineStr">
        <is>
          <t>Amex</t>
        </is>
      </c>
      <c r="J35" s="44" t="inlineStr">
        <is>
          <t>IKEA online CTA 1/6</t>
        </is>
      </c>
      <c r="K35" s="45" t="inlineStr">
        <is>
          <t>1/6</t>
        </is>
      </c>
      <c r="L35" s="47" t="n">
        <v>145000</v>
      </c>
      <c r="M35" s="45" t="n">
        <v>5</v>
      </c>
      <c r="N35" s="47" t="n">
        <v>725000</v>
      </c>
    </row>
    <row r="36">
      <c r="A36" s="130" t="n">
        <v>5</v>
      </c>
      <c r="B36" s="75" t="inlineStr">
        <is>
          <t>Amex</t>
        </is>
      </c>
      <c r="C36" s="73" t="n">
        <v>46146</v>
      </c>
      <c r="D36" s="74" t="inlineStr">
        <is>
          <t>Airbnb Mendoza</t>
        </is>
      </c>
      <c r="E36" s="75" t="inlineStr">
        <is>
          <t>Viajes</t>
        </is>
      </c>
      <c r="F36" s="76" t="inlineStr">
        <is>
          <t>Normal</t>
        </is>
      </c>
      <c r="G36" s="77" t="n">
        <v>245000</v>
      </c>
      <c r="I36" s="80" t="inlineStr">
        <is>
          <t>Amex</t>
        </is>
      </c>
      <c r="J36" s="79" t="inlineStr">
        <is>
          <t>Lacoste CTA 2/6</t>
        </is>
      </c>
      <c r="K36" s="80" t="inlineStr">
        <is>
          <t>2/6</t>
        </is>
      </c>
      <c r="L36" s="82" t="n">
        <v>125000</v>
      </c>
      <c r="M36" s="80" t="n">
        <v>4</v>
      </c>
      <c r="N36" s="82" t="n">
        <v>500000</v>
      </c>
    </row>
    <row r="37">
      <c r="A37" s="123" t="n">
        <v>6</v>
      </c>
      <c r="B37" s="15" t="inlineStr">
        <is>
          <t>Amex</t>
        </is>
      </c>
      <c r="C37" s="13" t="n">
        <v>46150</v>
      </c>
      <c r="D37" s="14" t="inlineStr">
        <is>
          <t>Crucero Mediterráneo CTA 3/24</t>
        </is>
      </c>
      <c r="E37" s="15" t="inlineStr">
        <is>
          <t>Otros</t>
        </is>
      </c>
      <c r="F37" s="16" t="inlineStr">
        <is>
          <t>Cuota</t>
        </is>
      </c>
      <c r="G37" s="17" t="n">
        <v>245000</v>
      </c>
      <c r="I37" s="45" t="inlineStr">
        <is>
          <t>Amex</t>
        </is>
      </c>
      <c r="J37" s="44" t="inlineStr">
        <is>
          <t>Colchón Simmons CTA 1/12</t>
        </is>
      </c>
      <c r="K37" s="45" t="inlineStr">
        <is>
          <t>1/12</t>
        </is>
      </c>
      <c r="L37" s="47" t="n">
        <v>95000</v>
      </c>
      <c r="M37" s="45" t="n">
        <v>11</v>
      </c>
      <c r="N37" s="47" t="n">
        <v>1045000</v>
      </c>
    </row>
    <row r="38">
      <c r="A38" s="130" t="n">
        <v>7</v>
      </c>
      <c r="B38" s="75" t="inlineStr">
        <is>
          <t>Amex</t>
        </is>
      </c>
      <c r="C38" s="73" t="n">
        <v>46151</v>
      </c>
      <c r="D38" s="74" t="inlineStr">
        <is>
          <t>LATAM Airlines</t>
        </is>
      </c>
      <c r="E38" s="75" t="inlineStr">
        <is>
          <t>Viajes</t>
        </is>
      </c>
      <c r="F38" s="76" t="inlineStr">
        <is>
          <t>Normal</t>
        </is>
      </c>
      <c r="G38" s="77" t="n">
        <v>218000</v>
      </c>
      <c r="I38" s="80" t="inlineStr">
        <is>
          <t>Amex Santander</t>
        </is>
      </c>
      <c r="J38" s="79" t="inlineStr">
        <is>
          <t>Zara Abasto CTA 1/3</t>
        </is>
      </c>
      <c r="K38" s="80" t="inlineStr">
        <is>
          <t>1/3</t>
        </is>
      </c>
      <c r="L38" s="82" t="n">
        <v>85200</v>
      </c>
      <c r="M38" s="80" t="n">
        <v>2</v>
      </c>
      <c r="N38" s="82" t="n">
        <v>170400</v>
      </c>
    </row>
    <row r="39">
      <c r="A39" s="128" t="n">
        <v>8</v>
      </c>
      <c r="B39" s="40" t="inlineStr">
        <is>
          <t>Amex</t>
        </is>
      </c>
      <c r="C39" s="38" t="n">
        <v>46163</v>
      </c>
      <c r="D39" s="39" t="inlineStr">
        <is>
          <t>Apple Store MacBook Accesorios</t>
        </is>
      </c>
      <c r="E39" s="40" t="inlineStr">
        <is>
          <t>Tecnología</t>
        </is>
      </c>
      <c r="F39" s="41" t="inlineStr">
        <is>
          <t>Normal</t>
        </is>
      </c>
      <c r="G39" s="42" t="n">
        <v>215000</v>
      </c>
      <c r="I39" s="40" t="inlineStr">
        <is>
          <t>Visa Santander</t>
        </is>
      </c>
      <c r="J39" s="39" t="inlineStr">
        <is>
          <t>iPhone 15 CTA 1/24</t>
        </is>
      </c>
      <c r="K39" s="40" t="inlineStr">
        <is>
          <t>1/24</t>
        </is>
      </c>
      <c r="L39" s="42" t="n">
        <v>82500</v>
      </c>
      <c r="M39" s="40" t="n">
        <v>23</v>
      </c>
      <c r="N39" s="42" t="n">
        <v>1897500</v>
      </c>
    </row>
    <row r="40">
      <c r="A40" s="130" t="n">
        <v>9</v>
      </c>
      <c r="B40" s="75" t="inlineStr">
        <is>
          <t>Amex Santander</t>
        </is>
      </c>
      <c r="C40" s="73" t="n">
        <v>46160</v>
      </c>
      <c r="D40" s="74" t="inlineStr">
        <is>
          <t>Aerolíneas Argentinas BRC-BUE</t>
        </is>
      </c>
      <c r="E40" s="75" t="inlineStr">
        <is>
          <t>Viajes</t>
        </is>
      </c>
      <c r="F40" s="76" t="inlineStr">
        <is>
          <t>Normal</t>
        </is>
      </c>
      <c r="G40" s="77" t="n">
        <v>195200</v>
      </c>
      <c r="I40" s="40" t="inlineStr">
        <is>
          <t>Amex Santander</t>
        </is>
      </c>
      <c r="J40" s="39" t="inlineStr">
        <is>
          <t>Samsung Galaxy CTA 2/18</t>
        </is>
      </c>
      <c r="K40" s="40" t="inlineStr">
        <is>
          <t>2/18</t>
        </is>
      </c>
      <c r="L40" s="42" t="n">
        <v>78500</v>
      </c>
      <c r="M40" s="40" t="n">
        <v>16</v>
      </c>
      <c r="N40" s="42" t="n">
        <v>1256000</v>
      </c>
    </row>
    <row r="41">
      <c r="A41" s="130" t="n">
        <v>10</v>
      </c>
      <c r="B41" s="75" t="inlineStr">
        <is>
          <t>Amex</t>
        </is>
      </c>
      <c r="C41" s="73" t="n">
        <v>46153</v>
      </c>
      <c r="D41" s="74" t="inlineStr">
        <is>
          <t>Airbnb Córdoba</t>
        </is>
      </c>
      <c r="E41" s="75" t="inlineStr">
        <is>
          <t>Viajes</t>
        </is>
      </c>
      <c r="F41" s="76" t="inlineStr">
        <is>
          <t>Normal</t>
        </is>
      </c>
      <c r="G41" s="77" t="n">
        <v>189000</v>
      </c>
      <c r="I41" s="5" t="inlineStr">
        <is>
          <t>Amex</t>
        </is>
      </c>
      <c r="J41" s="4" t="inlineStr">
        <is>
          <t>Rapsodia CTA 1/3</t>
        </is>
      </c>
      <c r="K41" s="5" t="inlineStr">
        <is>
          <t>1/3</t>
        </is>
      </c>
      <c r="L41" s="7" t="n">
        <v>78000</v>
      </c>
      <c r="M41" s="5" t="n">
        <v>2</v>
      </c>
      <c r="N41" s="7" t="n">
        <v>156000</v>
      </c>
    </row>
  </sheetData>
  <mergeCells count="27">
    <mergeCell ref="P4:T4"/>
    <mergeCell ref="K9:O9"/>
    <mergeCell ref="K5:O5"/>
    <mergeCell ref="F6:J6"/>
    <mergeCell ref="A6:E6"/>
    <mergeCell ref="P9:T9"/>
    <mergeCell ref="F7:J7"/>
    <mergeCell ref="A7:E7"/>
    <mergeCell ref="P6:T6"/>
    <mergeCell ref="F5:J5"/>
    <mergeCell ref="P8:T8"/>
    <mergeCell ref="A30:G30"/>
    <mergeCell ref="F8:J8"/>
    <mergeCell ref="P7:T7"/>
    <mergeCell ref="K8:O8"/>
    <mergeCell ref="A5:E5"/>
    <mergeCell ref="A8:E8"/>
    <mergeCell ref="A9:E9"/>
    <mergeCell ref="I30:N30"/>
    <mergeCell ref="F9:J9"/>
    <mergeCell ref="A1:T2"/>
    <mergeCell ref="A4:E4"/>
    <mergeCell ref="K7:O7"/>
    <mergeCell ref="K6:O6"/>
    <mergeCell ref="P5:T5"/>
    <mergeCell ref="K4:O4"/>
    <mergeCell ref="F4:J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2026-05-22T02:52:26Z</dcterms:created>
  <dcterms:modified xsi:type="dcterms:W3CDTF">2026-05-22T02:52:26Z</dcterms:modified>
</cp:coreProperties>
</file>