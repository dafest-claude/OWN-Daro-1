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b.sharepoint.com/sites/PMOEPDS/Ordenes y Proyectos ELDS/R-2631036 - AESA - La Calera II - Sala 3 y 4/02.Gestion de Proyectos/"/>
    </mc:Choice>
  </mc:AlternateContent>
  <xr:revisionPtr revIDLastSave="9" documentId="8_{7E4ADB14-8D35-4ABF-BA71-0821A7EC5C0D}" xr6:coauthVersionLast="47" xr6:coauthVersionMax="47" xr10:uidLastSave="{29616461-3498-485C-BDB5-F8BFDE08B039}"/>
  <bookViews>
    <workbookView xWindow="-25320" yWindow="2040" windowWidth="25440" windowHeight="15270" xr2:uid="{39B1324D-60D2-45B5-BF04-BE05CA94A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0" i="1" l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G50" i="1"/>
  <c r="J34" i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G4" i="1"/>
  <c r="G31" i="1" s="1"/>
  <c r="J3" i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</calcChain>
</file>

<file path=xl/sharedStrings.xml><?xml version="1.0" encoding="utf-8"?>
<sst xmlns="http://schemas.openxmlformats.org/spreadsheetml/2006/main" count="102" uniqueCount="65">
  <si>
    <t xml:space="preserve">Mes de Facturación </t>
  </si>
  <si>
    <t>OC</t>
  </si>
  <si>
    <t>It.</t>
  </si>
  <si>
    <t>TAG Equipo</t>
  </si>
  <si>
    <t>Descripción</t>
  </si>
  <si>
    <t>Cantidad</t>
  </si>
  <si>
    <t>Precio Unit.</t>
  </si>
  <si>
    <t>Precio Total</t>
  </si>
  <si>
    <t xml:space="preserve">SE3-RDO-01 </t>
  </si>
  <si>
    <t>S3-S LISTA DE REPUESTOS PARA 2 AÑOS DE O</t>
  </si>
  <si>
    <t>S3-R LISTA DE REPUESTOS PARA 2 AÑOS DE O</t>
  </si>
  <si>
    <t>S3-Q LISTA DE REPUESTOS PARA 2 AÑOS DE O</t>
  </si>
  <si>
    <t>SE3-RCP-01</t>
  </si>
  <si>
    <t>S3-P LISTA DE REPUESTOS PARA PRECOMISION</t>
  </si>
  <si>
    <t>S3-O LISTA DE REPUESTOS PARA PRECOMISION</t>
  </si>
  <si>
    <t>S3-T LISTA DE REPUESTOS PARA 2 AÑOS DE O</t>
  </si>
  <si>
    <t>VFDS</t>
  </si>
  <si>
    <t>S3-N TABLERO METÁLICO AUTOPORTANTE, INST</t>
  </si>
  <si>
    <t xml:space="preserve">102-DP-001-TRA </t>
  </si>
  <si>
    <t>S3-M TABLERO DE DISTRIBUCIÓN PARA SERVIC</t>
  </si>
  <si>
    <t xml:space="preserve">102-DP-001 </t>
  </si>
  <si>
    <t>S3-L TABLERO DE DISTRIBUCIÓN PARA SERVIC</t>
  </si>
  <si>
    <t xml:space="preserve">102-LP-002 </t>
  </si>
  <si>
    <t>S3-K TABLERO DE DISTRIBUCIÓN PARA ILUMIN</t>
  </si>
  <si>
    <t>102-LP-001</t>
  </si>
  <si>
    <t>S3-J TABLERO DE DISTRIBUCIÓN PARA ILUMIN</t>
  </si>
  <si>
    <t>Ducto 7</t>
  </si>
  <si>
    <t>S3-G DUCTOS DE BARRAS, 3F + N, BARRAS DE</t>
  </si>
  <si>
    <t>Ducto 6</t>
  </si>
  <si>
    <t>S3-F DUCTOS DE BARRAS, 3F + N, BARRAS DE</t>
  </si>
  <si>
    <t>Ducto 5</t>
  </si>
  <si>
    <t>S3-E DUCTOS DE BARRAS, 3F + N, BARRAS DE</t>
  </si>
  <si>
    <t xml:space="preserve">102-CCM-007 </t>
  </si>
  <si>
    <t>S3-D CENTRO DE CONTROL DE MOTORES, EJECU</t>
  </si>
  <si>
    <t>02-CCM-006</t>
  </si>
  <si>
    <t>S3-C CENTRO DE CONTROL DE MOTORES, EJECU</t>
  </si>
  <si>
    <t>102-CCM-005</t>
  </si>
  <si>
    <t>S3-B CENTRO DE CONTROL DE MOTORES, EJECU</t>
  </si>
  <si>
    <t>SE#3 MT</t>
  </si>
  <si>
    <t>S3-A SALA ELÉCTRICAS N3 BT. INCLUYE SIST</t>
  </si>
  <si>
    <t>UPS</t>
  </si>
  <si>
    <t>S3-AD Doble UPS corriente alterna, redun</t>
  </si>
  <si>
    <t>S3-AC Doble Rectificador cargador de bat</t>
  </si>
  <si>
    <t>3-A SALA ELÉCTRICAS N3 BT. INCLUYE SIST</t>
  </si>
  <si>
    <t>Sub Total</t>
  </si>
  <si>
    <t>SE4-RDO-01</t>
  </si>
  <si>
    <t>S4-L LISTA DE REPUESTOS PARA 2 AÑOS DE O</t>
  </si>
  <si>
    <t>SE4-RD0-01</t>
  </si>
  <si>
    <t>S4-K LISTA DE REPUESTOS PARA 2 AÑOS DE O</t>
  </si>
  <si>
    <t>S4-J LISTA DE REPUESTOS PARA 2 AÑOS DE O</t>
  </si>
  <si>
    <t>SE4-RPC-01</t>
  </si>
  <si>
    <t>S4-I LISTA DE REPUESTOS PARA PRECOMISION</t>
  </si>
  <si>
    <t>S4-H LISTA DE REPUESTOS PARA PRECOMISION</t>
  </si>
  <si>
    <t xml:space="preserve">102-DP-101UPS
</t>
  </si>
  <si>
    <t>S4-G TABLERO DE DISTRIBUCIÓN PARA SISTEM</t>
  </si>
  <si>
    <t xml:space="preserve">102-DP-101VCC
</t>
  </si>
  <si>
    <t>S4-F TABLERO DE DISTRIBUCIÓN PARA SISTEM</t>
  </si>
  <si>
    <t>102-DP-101</t>
  </si>
  <si>
    <t>S4-E TABLERO DE DISTRIBUCIÓN PARA SERVIC</t>
  </si>
  <si>
    <t>S4-D TABLERO METÁLICO AUTOPORTANTE, INST</t>
  </si>
  <si>
    <t>102-TGMT-001/003</t>
  </si>
  <si>
    <t xml:space="preserve"> S4-C TABLERO DE MEDIA TENSIÓN, EJECUCIÓN</t>
  </si>
  <si>
    <t>S4-B TABLERO DE MEDIA TENSIÓN, EJECUCIÓN</t>
  </si>
  <si>
    <t xml:space="preserve">SE#4 MT </t>
  </si>
  <si>
    <t>S4-A SALA ELÉCTRICAS N4 MT. INCLUYE 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</si>
</sst>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43" fontId="0" fillId="3" borderId="1" xfId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43" fontId="0" fillId="3" borderId="2" xfId="1" applyFont="1" applyFill="1" applyBorder="1"/>
    <xf numFmtId="43" fontId="0" fillId="4" borderId="3" xfId="1" applyFont="1" applyFill="1" applyBorder="1"/>
    <xf numFmtId="0" fontId="0" fillId="0" borderId="1" xfId="0" applyBorder="1" applyAlignment="1">
      <alignment horizontal="center" vertical="center" wrapText="1"/>
    </xf>
    <xf numFmtId="43" fontId="0" fillId="4" borderId="0" xfId="0" applyNumberFormat="1" applyFill="1"/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6044-1696-4EBE-9DB1-D458959D5E96}">
  <dimension ref="A1:W50"/>
  <sheetViews>
    <sheetView tabSelected="1" zoomScale="55" zoomScaleNormal="55" workbookViewId="0">
      <selection activeCell="I32" sqref="I32:W32"/>
    </sheetView>
  </sheetViews>
  <sheetFormatPr defaultRowHeight="14.4" outlineLevelRow="1" outlineLevelCol="1" x14ac:dyDescent="0.3"/>
  <cols>
    <col min="1" max="1" width="14.6640625" bestFit="1" customWidth="1"/>
    <col min="2" max="2" width="5" bestFit="1" customWidth="1"/>
    <col min="3" max="3" width="19.88671875" bestFit="1" customWidth="1" outlineLevel="1"/>
    <col min="4" max="4" width="41.5546875" customWidth="1" outlineLevel="1"/>
    <col min="5" max="5" width="9.77734375" bestFit="1" customWidth="1"/>
    <col min="6" max="6" width="12.21875" bestFit="1" customWidth="1"/>
    <col min="7" max="7" width="13.6640625" bestFit="1" customWidth="1"/>
    <col min="8" max="8" width="10.21875" customWidth="1"/>
    <col min="9" max="9" width="13.109375" customWidth="1"/>
    <col min="10" max="10" width="13.77734375" bestFit="1" customWidth="1"/>
    <col min="11" max="14" width="13.109375" customWidth="1"/>
    <col min="15" max="15" width="13.77734375" bestFit="1" customWidth="1"/>
    <col min="16" max="19" width="13.109375" customWidth="1"/>
    <col min="20" max="20" width="15" bestFit="1" customWidth="1"/>
    <col min="21" max="21" width="15.5546875" bestFit="1" customWidth="1"/>
    <col min="22" max="23" width="13.109375" customWidth="1"/>
  </cols>
  <sheetData>
    <row r="1" spans="1:23" outlineLevel="1" collapsed="1" x14ac:dyDescent="0.3">
      <c r="I1" s="15" t="s">
        <v>0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outlineLevel="1" x14ac:dyDescent="0.3">
      <c r="I2" s="2">
        <v>46143</v>
      </c>
      <c r="J2" s="2">
        <v>46174</v>
      </c>
      <c r="K2" s="2">
        <v>46204</v>
      </c>
      <c r="L2" s="2">
        <v>46235</v>
      </c>
      <c r="M2" s="2">
        <v>46266</v>
      </c>
      <c r="N2" s="2">
        <v>46296</v>
      </c>
      <c r="O2" s="2">
        <v>46327</v>
      </c>
      <c r="P2" s="2">
        <v>46357</v>
      </c>
      <c r="Q2" s="2">
        <v>46388</v>
      </c>
      <c r="R2" s="2">
        <v>46419</v>
      </c>
      <c r="S2" s="2">
        <v>46447</v>
      </c>
      <c r="T2" s="2">
        <v>46478</v>
      </c>
      <c r="U2" s="2">
        <v>46508</v>
      </c>
      <c r="V2" s="2">
        <v>46539</v>
      </c>
      <c r="W2" s="2">
        <v>46569</v>
      </c>
    </row>
    <row r="3" spans="1:23" outlineLevel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I3" s="3">
        <v>1</v>
      </c>
      <c r="J3" s="3">
        <f>+I3+1</f>
        <v>2</v>
      </c>
      <c r="K3" s="3">
        <f t="shared" ref="K3:W3" si="0">+J3+1</f>
        <v>3</v>
      </c>
      <c r="L3" s="3">
        <f t="shared" si="0"/>
        <v>4</v>
      </c>
      <c r="M3" s="3">
        <f t="shared" si="0"/>
        <v>5</v>
      </c>
      <c r="N3" s="3">
        <f t="shared" si="0"/>
        <v>6</v>
      </c>
      <c r="O3" s="3">
        <f t="shared" si="0"/>
        <v>7</v>
      </c>
      <c r="P3" s="3">
        <f t="shared" si="0"/>
        <v>8</v>
      </c>
      <c r="Q3" s="3">
        <f t="shared" si="0"/>
        <v>9</v>
      </c>
      <c r="R3" s="3">
        <f t="shared" si="0"/>
        <v>10</v>
      </c>
      <c r="S3" s="3">
        <f t="shared" si="0"/>
        <v>11</v>
      </c>
      <c r="T3" s="3">
        <f t="shared" si="0"/>
        <v>12</v>
      </c>
      <c r="U3" s="3">
        <f t="shared" si="0"/>
        <v>13</v>
      </c>
      <c r="V3" s="3">
        <f t="shared" si="0"/>
        <v>14</v>
      </c>
      <c r="W3" s="3">
        <f t="shared" si="0"/>
        <v>15</v>
      </c>
    </row>
    <row r="4" spans="1:23" outlineLevel="1" x14ac:dyDescent="0.3">
      <c r="A4" s="1">
        <v>45089944971</v>
      </c>
      <c r="B4" s="1">
        <v>10</v>
      </c>
      <c r="C4" s="1" t="s">
        <v>8</v>
      </c>
      <c r="D4" s="4" t="s">
        <v>9</v>
      </c>
      <c r="E4" s="1">
        <v>1</v>
      </c>
      <c r="F4" s="5">
        <v>2905.23</v>
      </c>
      <c r="G4" s="5">
        <f t="shared" ref="G4:G30" si="1">+F4*E4</f>
        <v>2905.23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>
        <v>2905.23</v>
      </c>
      <c r="V4" s="6"/>
      <c r="W4" s="6"/>
    </row>
    <row r="5" spans="1:23" outlineLevel="1" x14ac:dyDescent="0.3">
      <c r="A5" s="1">
        <v>45089944971</v>
      </c>
      <c r="B5" s="1">
        <f>+B4+10</f>
        <v>20</v>
      </c>
      <c r="C5" s="7" t="s">
        <v>8</v>
      </c>
      <c r="D5" s="4" t="s">
        <v>10</v>
      </c>
      <c r="E5" s="1">
        <v>1</v>
      </c>
      <c r="F5" s="5">
        <v>32569.89</v>
      </c>
      <c r="G5" s="5">
        <f t="shared" si="1"/>
        <v>32569.89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>
        <v>32569.89</v>
      </c>
      <c r="V5" s="6"/>
      <c r="W5" s="6"/>
    </row>
    <row r="6" spans="1:23" outlineLevel="1" x14ac:dyDescent="0.3">
      <c r="A6" s="1">
        <v>45089944971</v>
      </c>
      <c r="B6" s="1">
        <f t="shared" ref="B6:B30" si="2">+B5+10</f>
        <v>30</v>
      </c>
      <c r="C6" s="7" t="s">
        <v>8</v>
      </c>
      <c r="D6" s="4" t="s">
        <v>11</v>
      </c>
      <c r="E6" s="1">
        <v>3</v>
      </c>
      <c r="F6" s="5">
        <v>9507.19</v>
      </c>
      <c r="G6" s="5">
        <f t="shared" si="1"/>
        <v>28521.57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>
        <v>28521.57</v>
      </c>
      <c r="V6" s="6"/>
      <c r="W6" s="6"/>
    </row>
    <row r="7" spans="1:23" outlineLevel="1" x14ac:dyDescent="0.3">
      <c r="A7" s="1">
        <v>45089944971</v>
      </c>
      <c r="B7" s="1">
        <f t="shared" si="2"/>
        <v>40</v>
      </c>
      <c r="C7" s="7" t="s">
        <v>12</v>
      </c>
      <c r="D7" s="4" t="s">
        <v>13</v>
      </c>
      <c r="E7" s="1">
        <v>1</v>
      </c>
      <c r="F7" s="5">
        <v>1638.47</v>
      </c>
      <c r="G7" s="5">
        <f t="shared" si="1"/>
        <v>1638.47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>
        <v>1638.47</v>
      </c>
      <c r="V7" s="6"/>
      <c r="W7" s="6"/>
    </row>
    <row r="8" spans="1:23" outlineLevel="1" x14ac:dyDescent="0.3">
      <c r="A8" s="1">
        <v>45089944971</v>
      </c>
      <c r="B8" s="1">
        <f t="shared" si="2"/>
        <v>50</v>
      </c>
      <c r="C8" s="7" t="s">
        <v>12</v>
      </c>
      <c r="D8" s="4" t="s">
        <v>14</v>
      </c>
      <c r="E8" s="1">
        <v>1</v>
      </c>
      <c r="F8" s="5">
        <v>2782.51</v>
      </c>
      <c r="G8" s="5">
        <f t="shared" si="1"/>
        <v>2782.51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2782.51</v>
      </c>
      <c r="V8" s="6"/>
      <c r="W8" s="6"/>
    </row>
    <row r="9" spans="1:23" outlineLevel="1" x14ac:dyDescent="0.3">
      <c r="A9" s="1">
        <v>45089944971</v>
      </c>
      <c r="B9" s="1">
        <f t="shared" si="2"/>
        <v>60</v>
      </c>
      <c r="C9" s="7" t="s">
        <v>8</v>
      </c>
      <c r="D9" s="4" t="s">
        <v>15</v>
      </c>
      <c r="E9" s="1">
        <v>1</v>
      </c>
      <c r="F9" s="5">
        <v>31443.86</v>
      </c>
      <c r="G9" s="5">
        <f t="shared" si="1"/>
        <v>31443.86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31443.86</v>
      </c>
      <c r="V9" s="6"/>
      <c r="W9" s="6"/>
    </row>
    <row r="10" spans="1:23" outlineLevel="1" x14ac:dyDescent="0.3">
      <c r="A10" s="1">
        <v>45089944971</v>
      </c>
      <c r="B10" s="1">
        <f t="shared" si="2"/>
        <v>70</v>
      </c>
      <c r="C10" s="8" t="s">
        <v>16</v>
      </c>
      <c r="D10" s="4" t="s">
        <v>17</v>
      </c>
      <c r="E10" s="1">
        <v>3</v>
      </c>
      <c r="F10" s="5">
        <v>80836.039999999994</v>
      </c>
      <c r="G10" s="5">
        <f t="shared" si="1"/>
        <v>242508.12</v>
      </c>
      <c r="I10" s="6"/>
      <c r="J10" s="6"/>
      <c r="K10" s="6">
        <v>24250.812000000002</v>
      </c>
      <c r="L10" s="6"/>
      <c r="M10" s="6"/>
      <c r="N10" s="6"/>
      <c r="O10" s="6"/>
      <c r="P10" s="6">
        <v>133379.46600000001</v>
      </c>
      <c r="Q10" s="6"/>
      <c r="R10" s="6"/>
      <c r="S10" s="6"/>
      <c r="T10" s="6"/>
      <c r="U10" s="6">
        <v>72752.436000000002</v>
      </c>
      <c r="V10" s="6">
        <v>12125.406000000001</v>
      </c>
      <c r="W10" s="6"/>
    </row>
    <row r="11" spans="1:23" outlineLevel="1" x14ac:dyDescent="0.3">
      <c r="A11" s="1">
        <v>45089944971</v>
      </c>
      <c r="B11" s="1">
        <f t="shared" si="2"/>
        <v>80</v>
      </c>
      <c r="C11" s="7" t="s">
        <v>18</v>
      </c>
      <c r="D11" s="4" t="s">
        <v>19</v>
      </c>
      <c r="E11" s="1">
        <v>1</v>
      </c>
      <c r="F11" s="5">
        <v>95632.73</v>
      </c>
      <c r="G11" s="5">
        <f t="shared" si="1"/>
        <v>95632.73</v>
      </c>
      <c r="I11" s="6"/>
      <c r="J11" s="6">
        <v>9563.2729999999992</v>
      </c>
      <c r="K11" s="6">
        <v>9563.2729999999992</v>
      </c>
      <c r="L11" s="6"/>
      <c r="M11" s="6"/>
      <c r="N11" s="6"/>
      <c r="O11" s="6">
        <v>23908.182499999999</v>
      </c>
      <c r="P11" s="6">
        <v>19126.545999999998</v>
      </c>
      <c r="Q11" s="6"/>
      <c r="R11" s="6"/>
      <c r="S11" s="6"/>
      <c r="T11" s="6"/>
      <c r="U11" s="6">
        <v>28689.819</v>
      </c>
      <c r="V11" s="6">
        <v>4781.6364999999996</v>
      </c>
      <c r="W11" s="6"/>
    </row>
    <row r="12" spans="1:23" outlineLevel="1" x14ac:dyDescent="0.3">
      <c r="A12" s="1">
        <v>45089944971</v>
      </c>
      <c r="B12" s="1">
        <f t="shared" si="2"/>
        <v>90</v>
      </c>
      <c r="C12" s="1" t="s">
        <v>20</v>
      </c>
      <c r="D12" s="4" t="s">
        <v>21</v>
      </c>
      <c r="E12" s="1">
        <v>1</v>
      </c>
      <c r="F12" s="5">
        <v>105885.06</v>
      </c>
      <c r="G12" s="5">
        <f t="shared" si="1"/>
        <v>105885.06</v>
      </c>
      <c r="I12" s="6"/>
      <c r="J12" s="6">
        <v>10588.506000000001</v>
      </c>
      <c r="K12" s="6">
        <v>10588.506000000001</v>
      </c>
      <c r="L12" s="6"/>
      <c r="M12" s="6"/>
      <c r="N12" s="6"/>
      <c r="O12" s="6">
        <v>26471.264999999999</v>
      </c>
      <c r="P12" s="6">
        <v>21177.012000000002</v>
      </c>
      <c r="Q12" s="6"/>
      <c r="R12" s="6"/>
      <c r="S12" s="6"/>
      <c r="T12" s="6"/>
      <c r="U12" s="6">
        <v>31765.517999999996</v>
      </c>
      <c r="V12" s="6">
        <v>5294.2530000000006</v>
      </c>
      <c r="W12" s="6"/>
    </row>
    <row r="13" spans="1:23" outlineLevel="1" x14ac:dyDescent="0.3">
      <c r="A13" s="1">
        <v>45089944971</v>
      </c>
      <c r="B13" s="1">
        <f t="shared" si="2"/>
        <v>100</v>
      </c>
      <c r="C13" s="1" t="s">
        <v>22</v>
      </c>
      <c r="D13" s="4" t="s">
        <v>23</v>
      </c>
      <c r="E13" s="1">
        <v>1</v>
      </c>
      <c r="F13" s="5">
        <v>63485.7</v>
      </c>
      <c r="G13" s="5">
        <f t="shared" si="1"/>
        <v>63485.7</v>
      </c>
      <c r="I13" s="6"/>
      <c r="J13" s="6">
        <v>6348.57</v>
      </c>
      <c r="K13" s="6">
        <v>6348.57</v>
      </c>
      <c r="L13" s="6"/>
      <c r="M13" s="6"/>
      <c r="N13" s="6"/>
      <c r="O13" s="6">
        <v>15871.424999999999</v>
      </c>
      <c r="P13" s="6">
        <v>12697.14</v>
      </c>
      <c r="Q13" s="6"/>
      <c r="R13" s="6"/>
      <c r="S13" s="6"/>
      <c r="T13" s="6"/>
      <c r="U13" s="6">
        <v>19045.71</v>
      </c>
      <c r="V13" s="6">
        <v>3174.2849999999999</v>
      </c>
      <c r="W13" s="6"/>
    </row>
    <row r="14" spans="1:23" outlineLevel="1" x14ac:dyDescent="0.3">
      <c r="A14" s="1">
        <v>45089944971</v>
      </c>
      <c r="B14" s="1">
        <f t="shared" si="2"/>
        <v>110</v>
      </c>
      <c r="C14" s="1" t="s">
        <v>24</v>
      </c>
      <c r="D14" s="4" t="s">
        <v>25</v>
      </c>
      <c r="E14" s="1">
        <v>1</v>
      </c>
      <c r="F14" s="5">
        <v>96409.77</v>
      </c>
      <c r="G14" s="5">
        <f t="shared" si="1"/>
        <v>96409.77</v>
      </c>
      <c r="I14" s="6"/>
      <c r="J14" s="6">
        <v>9640.9770000000008</v>
      </c>
      <c r="K14" s="6">
        <v>9640.9770000000008</v>
      </c>
      <c r="L14" s="6"/>
      <c r="M14" s="6"/>
      <c r="N14" s="6"/>
      <c r="O14" s="6">
        <v>24102.442500000001</v>
      </c>
      <c r="P14" s="6">
        <v>19281.954000000002</v>
      </c>
      <c r="Q14" s="6"/>
      <c r="R14" s="6"/>
      <c r="S14" s="6"/>
      <c r="T14" s="6"/>
      <c r="U14" s="6">
        <v>28922.931</v>
      </c>
      <c r="V14" s="6">
        <v>4820.4885000000004</v>
      </c>
      <c r="W14" s="6"/>
    </row>
    <row r="15" spans="1:23" outlineLevel="1" x14ac:dyDescent="0.3">
      <c r="A15" s="1">
        <v>45089944971</v>
      </c>
      <c r="B15" s="1">
        <f t="shared" si="2"/>
        <v>120</v>
      </c>
      <c r="C15" s="9" t="s">
        <v>26</v>
      </c>
      <c r="D15" s="4" t="s">
        <v>27</v>
      </c>
      <c r="E15" s="1">
        <v>1</v>
      </c>
      <c r="F15" s="5">
        <v>169501.43</v>
      </c>
      <c r="G15" s="5">
        <f t="shared" si="1"/>
        <v>169501.43</v>
      </c>
      <c r="I15" s="6"/>
      <c r="J15" s="6"/>
      <c r="K15" s="6">
        <v>16950.143</v>
      </c>
      <c r="L15" s="6">
        <v>16950.143</v>
      </c>
      <c r="M15" s="6"/>
      <c r="N15" s="6"/>
      <c r="O15" s="6"/>
      <c r="P15" s="6">
        <v>33900.286</v>
      </c>
      <c r="Q15" s="6"/>
      <c r="R15" s="6">
        <v>42375.357499999998</v>
      </c>
      <c r="S15" s="6"/>
      <c r="T15" s="6"/>
      <c r="U15" s="6">
        <v>50850.428999999996</v>
      </c>
      <c r="V15" s="6">
        <v>8475.0715</v>
      </c>
      <c r="W15" s="6"/>
    </row>
    <row r="16" spans="1:23" outlineLevel="1" x14ac:dyDescent="0.3">
      <c r="A16" s="1">
        <v>45089944971</v>
      </c>
      <c r="B16" s="1">
        <f t="shared" si="2"/>
        <v>130</v>
      </c>
      <c r="C16" s="9" t="s">
        <v>28</v>
      </c>
      <c r="D16" s="4" t="s">
        <v>29</v>
      </c>
      <c r="E16" s="1">
        <v>1</v>
      </c>
      <c r="F16" s="5">
        <v>182075.08</v>
      </c>
      <c r="G16" s="5">
        <f t="shared" si="1"/>
        <v>182075.08</v>
      </c>
      <c r="I16" s="6"/>
      <c r="J16" s="6"/>
      <c r="K16" s="6">
        <v>18207.507999999998</v>
      </c>
      <c r="L16" s="6">
        <v>18207.507999999998</v>
      </c>
      <c r="M16" s="6"/>
      <c r="N16" s="6"/>
      <c r="O16" s="6"/>
      <c r="P16" s="6">
        <v>36415.015999999996</v>
      </c>
      <c r="Q16" s="6"/>
      <c r="R16" s="6">
        <v>45518.77</v>
      </c>
      <c r="S16" s="6"/>
      <c r="T16" s="6"/>
      <c r="U16" s="6">
        <v>54622.523999999998</v>
      </c>
      <c r="V16" s="6">
        <v>9103.753999999999</v>
      </c>
      <c r="W16" s="6"/>
    </row>
    <row r="17" spans="1:23" outlineLevel="1" x14ac:dyDescent="0.3">
      <c r="A17" s="1">
        <v>45089944971</v>
      </c>
      <c r="B17" s="1">
        <f t="shared" si="2"/>
        <v>140</v>
      </c>
      <c r="C17" s="9" t="s">
        <v>30</v>
      </c>
      <c r="D17" s="4" t="s">
        <v>31</v>
      </c>
      <c r="E17" s="1">
        <v>1</v>
      </c>
      <c r="F17" s="5">
        <v>139094.32</v>
      </c>
      <c r="G17" s="5">
        <f t="shared" si="1"/>
        <v>139094.32</v>
      </c>
      <c r="I17" s="6"/>
      <c r="J17" s="6"/>
      <c r="K17" s="6">
        <v>13909.432000000001</v>
      </c>
      <c r="L17" s="6">
        <v>13909.432000000001</v>
      </c>
      <c r="M17" s="6"/>
      <c r="N17" s="6"/>
      <c r="O17" s="6"/>
      <c r="P17" s="6">
        <v>27818.864000000001</v>
      </c>
      <c r="Q17" s="6"/>
      <c r="R17" s="6">
        <v>34773.58</v>
      </c>
      <c r="S17" s="6"/>
      <c r="T17" s="6"/>
      <c r="U17" s="6">
        <v>41728.296000000002</v>
      </c>
      <c r="V17" s="6">
        <v>6954.7160000000003</v>
      </c>
      <c r="W17" s="6"/>
    </row>
    <row r="18" spans="1:23" outlineLevel="1" x14ac:dyDescent="0.3">
      <c r="A18" s="1">
        <v>45089944971</v>
      </c>
      <c r="B18" s="1">
        <f t="shared" si="2"/>
        <v>150</v>
      </c>
      <c r="C18" s="1" t="s">
        <v>32</v>
      </c>
      <c r="D18" s="4" t="s">
        <v>33</v>
      </c>
      <c r="E18" s="1">
        <v>1</v>
      </c>
      <c r="F18" s="5">
        <v>451298.47</v>
      </c>
      <c r="G18" s="5">
        <f t="shared" si="1"/>
        <v>451298.47</v>
      </c>
      <c r="I18" s="6"/>
      <c r="J18" s="6"/>
      <c r="K18" s="6"/>
      <c r="L18" s="6"/>
      <c r="M18" s="6"/>
      <c r="N18" s="6"/>
      <c r="O18" s="6"/>
      <c r="P18" s="6">
        <v>293344.00549999997</v>
      </c>
      <c r="Q18" s="6"/>
      <c r="R18" s="6"/>
      <c r="S18" s="6"/>
      <c r="T18" s="6"/>
      <c r="U18" s="6">
        <v>135389.541</v>
      </c>
      <c r="V18" s="6">
        <v>22564.923500000001</v>
      </c>
      <c r="W18" s="6"/>
    </row>
    <row r="19" spans="1:23" outlineLevel="1" x14ac:dyDescent="0.3">
      <c r="A19" s="1">
        <v>45089944971</v>
      </c>
      <c r="B19" s="1">
        <f t="shared" si="2"/>
        <v>160</v>
      </c>
      <c r="C19" s="1" t="s">
        <v>34</v>
      </c>
      <c r="D19" s="4" t="s">
        <v>35</v>
      </c>
      <c r="E19" s="1">
        <v>1</v>
      </c>
      <c r="F19" s="5">
        <v>492942.64</v>
      </c>
      <c r="G19" s="5">
        <f t="shared" si="1"/>
        <v>492942.64</v>
      </c>
      <c r="I19" s="6"/>
      <c r="J19" s="6"/>
      <c r="K19" s="6"/>
      <c r="L19" s="6"/>
      <c r="M19" s="6"/>
      <c r="N19" s="6"/>
      <c r="O19" s="6"/>
      <c r="P19" s="6">
        <v>320412.71600000001</v>
      </c>
      <c r="Q19" s="6"/>
      <c r="R19" s="6"/>
      <c r="S19" s="6"/>
      <c r="T19" s="6"/>
      <c r="U19" s="6">
        <v>147882.79199999999</v>
      </c>
      <c r="V19" s="6">
        <v>24647.132000000001</v>
      </c>
      <c r="W19" s="6"/>
    </row>
    <row r="20" spans="1:23" outlineLevel="1" x14ac:dyDescent="0.3">
      <c r="A20" s="1">
        <v>45089944971</v>
      </c>
      <c r="B20" s="1">
        <f t="shared" si="2"/>
        <v>170</v>
      </c>
      <c r="C20" s="1" t="s">
        <v>36</v>
      </c>
      <c r="D20" s="4" t="s">
        <v>37</v>
      </c>
      <c r="E20" s="1">
        <v>1</v>
      </c>
      <c r="F20" s="5">
        <v>552737.98</v>
      </c>
      <c r="G20" s="5">
        <f t="shared" si="1"/>
        <v>552737.98</v>
      </c>
      <c r="I20" s="6"/>
      <c r="J20" s="6"/>
      <c r="K20" s="6"/>
      <c r="L20" s="6"/>
      <c r="M20" s="6"/>
      <c r="N20" s="6"/>
      <c r="O20" s="6"/>
      <c r="P20" s="6">
        <v>359279.68699999998</v>
      </c>
      <c r="Q20" s="6"/>
      <c r="R20" s="6"/>
      <c r="S20" s="6"/>
      <c r="T20" s="6"/>
      <c r="U20" s="6">
        <v>165821.394</v>
      </c>
      <c r="V20" s="6">
        <v>27636.899000000001</v>
      </c>
      <c r="W20" s="6"/>
    </row>
    <row r="21" spans="1:23" outlineLevel="1" x14ac:dyDescent="0.3">
      <c r="A21" s="1">
        <v>45089944971</v>
      </c>
      <c r="B21" s="1">
        <f t="shared" si="2"/>
        <v>180</v>
      </c>
      <c r="C21" s="1" t="s">
        <v>38</v>
      </c>
      <c r="D21" s="4" t="s">
        <v>39</v>
      </c>
      <c r="E21" s="1">
        <v>1</v>
      </c>
      <c r="F21" s="5">
        <v>622817.06999999995</v>
      </c>
      <c r="G21" s="5">
        <f t="shared" si="1"/>
        <v>622817.06999999995</v>
      </c>
      <c r="I21" s="6"/>
      <c r="J21" s="6"/>
      <c r="K21" s="6">
        <v>62281.706999999995</v>
      </c>
      <c r="L21" s="6">
        <v>62281.706999999995</v>
      </c>
      <c r="M21" s="6"/>
      <c r="N21" s="6"/>
      <c r="O21" s="6"/>
      <c r="P21" s="6">
        <v>155704.26749999999</v>
      </c>
      <c r="Q21" s="6"/>
      <c r="R21" s="6"/>
      <c r="S21" s="6"/>
      <c r="T21" s="6">
        <v>124563.41399999999</v>
      </c>
      <c r="U21" s="6">
        <v>186845.12099999998</v>
      </c>
      <c r="V21" s="6">
        <v>31140.853499999997</v>
      </c>
      <c r="W21" s="6"/>
    </row>
    <row r="22" spans="1:23" outlineLevel="1" x14ac:dyDescent="0.3">
      <c r="A22" s="1">
        <v>45089944971</v>
      </c>
      <c r="B22" s="1">
        <f t="shared" si="2"/>
        <v>190</v>
      </c>
      <c r="C22" s="10" t="s">
        <v>40</v>
      </c>
      <c r="D22" s="4" t="s">
        <v>41</v>
      </c>
      <c r="E22" s="1">
        <v>1</v>
      </c>
      <c r="F22" s="5">
        <v>550434.31999999995</v>
      </c>
      <c r="G22" s="5">
        <f t="shared" si="1"/>
        <v>550434.31999999995</v>
      </c>
      <c r="I22" s="6"/>
      <c r="J22" s="6">
        <v>55043.432000000001</v>
      </c>
      <c r="K22" s="6">
        <v>55043.432000000001</v>
      </c>
      <c r="L22" s="6"/>
      <c r="M22" s="6"/>
      <c r="N22" s="6">
        <v>137608.57999999999</v>
      </c>
      <c r="O22" s="6">
        <v>110086.864</v>
      </c>
      <c r="P22" s="6"/>
      <c r="Q22" s="6"/>
      <c r="R22" s="6"/>
      <c r="S22" s="6"/>
      <c r="T22" s="6"/>
      <c r="U22" s="6">
        <v>165130.29599999997</v>
      </c>
      <c r="V22" s="6">
        <v>27521.716</v>
      </c>
      <c r="W22" s="6"/>
    </row>
    <row r="23" spans="1:23" outlineLevel="1" x14ac:dyDescent="0.3">
      <c r="A23" s="1">
        <v>45089944971</v>
      </c>
      <c r="B23" s="1">
        <f t="shared" si="2"/>
        <v>200</v>
      </c>
      <c r="C23" s="10" t="s">
        <v>40</v>
      </c>
      <c r="D23" s="4" t="s">
        <v>42</v>
      </c>
      <c r="E23" s="1">
        <v>1</v>
      </c>
      <c r="F23" s="5">
        <v>274833.90999999997</v>
      </c>
      <c r="G23" s="5">
        <f t="shared" si="1"/>
        <v>274833.90999999997</v>
      </c>
      <c r="I23" s="6"/>
      <c r="J23" s="6">
        <v>27483.391</v>
      </c>
      <c r="K23" s="6">
        <v>27483.391</v>
      </c>
      <c r="L23" s="6"/>
      <c r="M23" s="6"/>
      <c r="N23" s="6">
        <v>68708.477499999994</v>
      </c>
      <c r="O23" s="6">
        <v>54966.781999999999</v>
      </c>
      <c r="P23" s="6"/>
      <c r="Q23" s="6"/>
      <c r="R23" s="6"/>
      <c r="S23" s="6"/>
      <c r="T23" s="6"/>
      <c r="U23" s="6">
        <v>82450.172999999995</v>
      </c>
      <c r="V23" s="6">
        <v>13741.6955</v>
      </c>
      <c r="W23" s="6"/>
    </row>
    <row r="24" spans="1:23" outlineLevel="1" x14ac:dyDescent="0.3">
      <c r="A24" s="1">
        <v>45089944971</v>
      </c>
      <c r="B24" s="1">
        <f t="shared" si="2"/>
        <v>210</v>
      </c>
      <c r="C24" s="1" t="s">
        <v>32</v>
      </c>
      <c r="D24" s="4" t="s">
        <v>33</v>
      </c>
      <c r="E24" s="1">
        <v>1</v>
      </c>
      <c r="F24" s="5">
        <v>451298.47</v>
      </c>
      <c r="G24" s="5">
        <f t="shared" si="1"/>
        <v>451298.47</v>
      </c>
      <c r="I24" s="6"/>
      <c r="J24" s="6"/>
      <c r="K24" s="6"/>
      <c r="L24" s="6"/>
      <c r="M24" s="6"/>
      <c r="N24" s="6"/>
      <c r="O24" s="6"/>
      <c r="P24" s="6">
        <v>293344.00549999997</v>
      </c>
      <c r="Q24" s="6"/>
      <c r="R24" s="6"/>
      <c r="S24" s="6"/>
      <c r="T24" s="6"/>
      <c r="U24" s="6">
        <v>135389.541</v>
      </c>
      <c r="V24" s="6">
        <v>22564.923500000001</v>
      </c>
      <c r="W24" s="6"/>
    </row>
    <row r="25" spans="1:23" outlineLevel="1" x14ac:dyDescent="0.3">
      <c r="A25" s="1">
        <v>45089944971</v>
      </c>
      <c r="B25" s="1">
        <f t="shared" si="2"/>
        <v>220</v>
      </c>
      <c r="C25" s="1" t="s">
        <v>34</v>
      </c>
      <c r="D25" s="4" t="s">
        <v>35</v>
      </c>
      <c r="E25" s="1">
        <v>1</v>
      </c>
      <c r="F25" s="5">
        <v>492942.64</v>
      </c>
      <c r="G25" s="5">
        <f t="shared" si="1"/>
        <v>492942.64</v>
      </c>
      <c r="I25" s="6"/>
      <c r="J25" s="6"/>
      <c r="K25" s="6"/>
      <c r="L25" s="6"/>
      <c r="M25" s="6"/>
      <c r="N25" s="6"/>
      <c r="O25" s="6"/>
      <c r="P25" s="6">
        <v>320412.71600000001</v>
      </c>
      <c r="Q25" s="6"/>
      <c r="R25" s="6"/>
      <c r="S25" s="6"/>
      <c r="T25" s="6"/>
      <c r="U25" s="6">
        <v>147882.79199999999</v>
      </c>
      <c r="V25" s="6">
        <v>24647.132000000001</v>
      </c>
      <c r="W25" s="6"/>
    </row>
    <row r="26" spans="1:23" outlineLevel="1" x14ac:dyDescent="0.3">
      <c r="A26" s="1">
        <v>45089944971</v>
      </c>
      <c r="B26" s="1">
        <f t="shared" si="2"/>
        <v>230</v>
      </c>
      <c r="C26" s="1" t="s">
        <v>36</v>
      </c>
      <c r="D26" s="4" t="s">
        <v>37</v>
      </c>
      <c r="E26" s="1">
        <v>1</v>
      </c>
      <c r="F26" s="5">
        <v>552737.98</v>
      </c>
      <c r="G26" s="5">
        <f t="shared" si="1"/>
        <v>552737.98</v>
      </c>
      <c r="I26" s="6"/>
      <c r="J26" s="6"/>
      <c r="K26" s="6"/>
      <c r="L26" s="6"/>
      <c r="M26" s="6"/>
      <c r="N26" s="6"/>
      <c r="O26" s="6"/>
      <c r="P26" s="6">
        <v>359279.68699999998</v>
      </c>
      <c r="Q26" s="6"/>
      <c r="R26" s="6"/>
      <c r="S26" s="6"/>
      <c r="T26" s="6"/>
      <c r="U26" s="6">
        <v>165821.394</v>
      </c>
      <c r="V26" s="6">
        <v>27636.899000000001</v>
      </c>
      <c r="W26" s="6"/>
    </row>
    <row r="27" spans="1:23" outlineLevel="1" x14ac:dyDescent="0.3">
      <c r="A27" s="1">
        <v>45089944971</v>
      </c>
      <c r="B27" s="1">
        <f t="shared" si="2"/>
        <v>240</v>
      </c>
      <c r="C27" s="1" t="s">
        <v>38</v>
      </c>
      <c r="D27" s="4" t="s">
        <v>39</v>
      </c>
      <c r="E27" s="1">
        <v>1</v>
      </c>
      <c r="F27" s="5">
        <v>622817.06999999995</v>
      </c>
      <c r="G27" s="5">
        <f t="shared" si="1"/>
        <v>622817.06999999995</v>
      </c>
      <c r="I27" s="6"/>
      <c r="J27" s="6"/>
      <c r="K27" s="6">
        <v>62281.706999999995</v>
      </c>
      <c r="L27" s="6">
        <v>62281.706999999995</v>
      </c>
      <c r="M27" s="6"/>
      <c r="N27" s="6"/>
      <c r="O27" s="6"/>
      <c r="P27" s="6">
        <v>155704.26749999999</v>
      </c>
      <c r="Q27" s="6"/>
      <c r="R27" s="6"/>
      <c r="S27" s="6"/>
      <c r="T27" s="6">
        <v>124563.41399999999</v>
      </c>
      <c r="U27" s="6">
        <v>186845.12099999998</v>
      </c>
      <c r="V27" s="6">
        <v>31140.853499999997</v>
      </c>
      <c r="W27" s="6"/>
    </row>
    <row r="28" spans="1:23" outlineLevel="1" x14ac:dyDescent="0.3">
      <c r="A28" s="1">
        <v>45089944971</v>
      </c>
      <c r="B28" s="1">
        <f t="shared" si="2"/>
        <v>250</v>
      </c>
      <c r="C28" s="1" t="s">
        <v>38</v>
      </c>
      <c r="D28" s="4" t="s">
        <v>39</v>
      </c>
      <c r="E28" s="1">
        <v>1</v>
      </c>
      <c r="F28" s="5">
        <v>622817.06999999995</v>
      </c>
      <c r="G28" s="5">
        <f t="shared" si="1"/>
        <v>622817.06999999995</v>
      </c>
      <c r="I28" s="6"/>
      <c r="J28" s="6"/>
      <c r="K28" s="6">
        <v>62281.706999999995</v>
      </c>
      <c r="L28" s="6">
        <v>62281.706999999995</v>
      </c>
      <c r="M28" s="6"/>
      <c r="N28" s="6"/>
      <c r="O28" s="6"/>
      <c r="P28" s="6">
        <v>155704.26749999999</v>
      </c>
      <c r="Q28" s="6"/>
      <c r="R28" s="6"/>
      <c r="S28" s="6"/>
      <c r="T28" s="6">
        <v>124563.41399999999</v>
      </c>
      <c r="U28" s="6">
        <v>186845.12099999998</v>
      </c>
      <c r="V28" s="6">
        <v>31140.853499999997</v>
      </c>
      <c r="W28" s="6"/>
    </row>
    <row r="29" spans="1:23" outlineLevel="1" x14ac:dyDescent="0.3">
      <c r="A29" s="1">
        <v>45089944971</v>
      </c>
      <c r="B29" s="1">
        <f t="shared" si="2"/>
        <v>260</v>
      </c>
      <c r="C29" s="1" t="s">
        <v>38</v>
      </c>
      <c r="D29" s="4" t="s">
        <v>39</v>
      </c>
      <c r="E29" s="1">
        <v>1</v>
      </c>
      <c r="F29" s="5">
        <v>622817.06999999995</v>
      </c>
      <c r="G29" s="5">
        <f t="shared" si="1"/>
        <v>622817.06999999995</v>
      </c>
      <c r="I29" s="6"/>
      <c r="J29" s="6"/>
      <c r="K29" s="6">
        <v>62281.706999999995</v>
      </c>
      <c r="L29" s="6">
        <v>62281.706999999995</v>
      </c>
      <c r="M29" s="6"/>
      <c r="N29" s="6"/>
      <c r="O29" s="6"/>
      <c r="P29" s="6">
        <v>155704.26749999999</v>
      </c>
      <c r="Q29" s="6"/>
      <c r="R29" s="6"/>
      <c r="S29" s="6"/>
      <c r="T29" s="6">
        <v>124563.41399999999</v>
      </c>
      <c r="U29" s="6">
        <v>186845.12099999998</v>
      </c>
      <c r="V29" s="6">
        <v>31140.853499999997</v>
      </c>
      <c r="W29" s="6"/>
    </row>
    <row r="30" spans="1:23" ht="15" outlineLevel="1" thickBot="1" x14ac:dyDescent="0.35">
      <c r="A30" s="1">
        <v>45089944971</v>
      </c>
      <c r="B30" s="1">
        <f t="shared" si="2"/>
        <v>270</v>
      </c>
      <c r="C30" s="1" t="s">
        <v>38</v>
      </c>
      <c r="D30" s="4" t="s">
        <v>43</v>
      </c>
      <c r="E30" s="1">
        <v>1</v>
      </c>
      <c r="F30" s="5">
        <v>622817.06999999995</v>
      </c>
      <c r="G30" s="5">
        <f t="shared" si="1"/>
        <v>622817.06999999995</v>
      </c>
      <c r="I30" s="11"/>
      <c r="J30" s="11"/>
      <c r="K30" s="11">
        <v>62281.706999999995</v>
      </c>
      <c r="L30" s="11">
        <v>62281.706999999995</v>
      </c>
      <c r="M30" s="11"/>
      <c r="N30" s="11"/>
      <c r="O30" s="11"/>
      <c r="P30" s="11">
        <v>155704.26749999999</v>
      </c>
      <c r="Q30" s="11"/>
      <c r="R30" s="11"/>
      <c r="S30" s="11"/>
      <c r="T30" s="11">
        <v>124563.41399999999</v>
      </c>
      <c r="U30" s="11">
        <v>186845.12099999998</v>
      </c>
      <c r="V30" s="11">
        <v>31140.853499999997</v>
      </c>
      <c r="W30" s="11"/>
    </row>
    <row r="31" spans="1:23" outlineLevel="1" x14ac:dyDescent="0.3">
      <c r="A31" s="1"/>
      <c r="B31" s="1"/>
      <c r="C31" s="1"/>
      <c r="D31" s="4"/>
      <c r="E31" s="1"/>
      <c r="F31" s="5"/>
      <c r="G31" s="5">
        <f>SUM(G4:G30)</f>
        <v>8127765.5</v>
      </c>
      <c r="H31" t="s">
        <v>44</v>
      </c>
      <c r="I31" s="12">
        <f>SUM(I4:I30)</f>
        <v>0</v>
      </c>
      <c r="J31" s="12">
        <f t="shared" ref="J31:V31" si="3">SUM(J4:J30)</f>
        <v>118668.149</v>
      </c>
      <c r="K31" s="12">
        <f t="shared" si="3"/>
        <v>503394.57899999997</v>
      </c>
      <c r="L31" s="12">
        <f t="shared" si="3"/>
        <v>360475.61799999996</v>
      </c>
      <c r="M31" s="12">
        <f t="shared" si="3"/>
        <v>0</v>
      </c>
      <c r="N31" s="12">
        <f t="shared" si="3"/>
        <v>206317.0575</v>
      </c>
      <c r="O31" s="12">
        <f t="shared" si="3"/>
        <v>255406.96100000001</v>
      </c>
      <c r="P31" s="12">
        <f t="shared" si="3"/>
        <v>3028390.4385000002</v>
      </c>
      <c r="Q31" s="12">
        <f t="shared" si="3"/>
        <v>0</v>
      </c>
      <c r="R31" s="12">
        <f t="shared" si="3"/>
        <v>122667.7075</v>
      </c>
      <c r="S31" s="12">
        <f t="shared" si="3"/>
        <v>0</v>
      </c>
      <c r="T31" s="12">
        <f t="shared" si="3"/>
        <v>622817.06999999995</v>
      </c>
      <c r="U31" s="12">
        <f t="shared" si="3"/>
        <v>2508232.7209999994</v>
      </c>
      <c r="V31" s="12">
        <f t="shared" si="3"/>
        <v>401395.19849999994</v>
      </c>
      <c r="W31" s="12">
        <f>SUM(W4:W30)</f>
        <v>0</v>
      </c>
    </row>
    <row r="32" spans="1:23" outlineLevel="1" collapsed="1" x14ac:dyDescent="0.3">
      <c r="I32" s="15" t="s">
        <v>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outlineLevel="1" x14ac:dyDescent="0.3">
      <c r="I33" s="2">
        <v>46143</v>
      </c>
      <c r="J33" s="2">
        <v>46174</v>
      </c>
      <c r="K33" s="2">
        <v>46204</v>
      </c>
      <c r="L33" s="2">
        <v>46235</v>
      </c>
      <c r="M33" s="2">
        <v>46266</v>
      </c>
      <c r="N33" s="2">
        <v>46296</v>
      </c>
      <c r="O33" s="2">
        <v>46327</v>
      </c>
      <c r="P33" s="2">
        <v>46357</v>
      </c>
      <c r="Q33" s="2">
        <v>46388</v>
      </c>
      <c r="R33" s="2">
        <v>46419</v>
      </c>
      <c r="S33" s="2">
        <v>46447</v>
      </c>
      <c r="T33" s="2">
        <v>46478</v>
      </c>
      <c r="U33" s="2">
        <v>46508</v>
      </c>
      <c r="V33" s="2">
        <v>46539</v>
      </c>
      <c r="W33" s="2">
        <v>46569</v>
      </c>
    </row>
    <row r="34" spans="1:23" outlineLevel="1" x14ac:dyDescent="0.3">
      <c r="A34" s="3" t="s">
        <v>1</v>
      </c>
      <c r="B34" s="3" t="s">
        <v>2</v>
      </c>
      <c r="C34" s="3" t="s">
        <v>3</v>
      </c>
      <c r="D34" s="3" t="s">
        <v>4</v>
      </c>
      <c r="E34" s="3" t="s">
        <v>5</v>
      </c>
      <c r="F34" s="3" t="s">
        <v>6</v>
      </c>
      <c r="G34" s="3" t="s">
        <v>7</v>
      </c>
      <c r="I34" s="3">
        <v>1</v>
      </c>
      <c r="J34" s="3">
        <f>+I34+1</f>
        <v>2</v>
      </c>
      <c r="K34" s="3">
        <f t="shared" ref="K34:W34" si="4">+J34+1</f>
        <v>3</v>
      </c>
      <c r="L34" s="3">
        <f t="shared" si="4"/>
        <v>4</v>
      </c>
      <c r="M34" s="3">
        <f t="shared" si="4"/>
        <v>5</v>
      </c>
      <c r="N34" s="3">
        <f t="shared" si="4"/>
        <v>6</v>
      </c>
      <c r="O34" s="3">
        <f t="shared" si="4"/>
        <v>7</v>
      </c>
      <c r="P34" s="3">
        <f t="shared" si="4"/>
        <v>8</v>
      </c>
      <c r="Q34" s="3">
        <f t="shared" si="4"/>
        <v>9</v>
      </c>
      <c r="R34" s="3">
        <f t="shared" si="4"/>
        <v>10</v>
      </c>
      <c r="S34" s="3">
        <f t="shared" si="4"/>
        <v>11</v>
      </c>
      <c r="T34" s="3">
        <f t="shared" si="4"/>
        <v>12</v>
      </c>
      <c r="U34" s="3">
        <f t="shared" si="4"/>
        <v>13</v>
      </c>
      <c r="V34" s="3">
        <f t="shared" si="4"/>
        <v>14</v>
      </c>
      <c r="W34" s="3">
        <f t="shared" si="4"/>
        <v>15</v>
      </c>
    </row>
    <row r="35" spans="1:23" outlineLevel="1" x14ac:dyDescent="0.3">
      <c r="A35" s="1">
        <v>4508944973</v>
      </c>
      <c r="B35" s="1">
        <v>10</v>
      </c>
      <c r="C35" s="1" t="s">
        <v>45</v>
      </c>
      <c r="D35" s="4" t="s">
        <v>46</v>
      </c>
      <c r="E35" s="1">
        <v>1</v>
      </c>
      <c r="F35" s="5">
        <v>2905.23</v>
      </c>
      <c r="G35" s="5">
        <v>2905.23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2905.23</v>
      </c>
      <c r="V35" s="6"/>
      <c r="W35" s="6"/>
    </row>
    <row r="36" spans="1:23" outlineLevel="1" x14ac:dyDescent="0.3">
      <c r="A36" s="1">
        <v>4508944973</v>
      </c>
      <c r="B36" s="1">
        <v>20</v>
      </c>
      <c r="C36" s="1" t="s">
        <v>47</v>
      </c>
      <c r="D36" s="4" t="s">
        <v>48</v>
      </c>
      <c r="E36" s="1">
        <v>1</v>
      </c>
      <c r="F36" s="5">
        <v>33250.26</v>
      </c>
      <c r="G36" s="5">
        <v>33250.26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33250.26</v>
      </c>
      <c r="V36" s="6"/>
      <c r="W36" s="6"/>
    </row>
    <row r="37" spans="1:23" outlineLevel="1" x14ac:dyDescent="0.3">
      <c r="A37" s="1">
        <v>4508944973</v>
      </c>
      <c r="B37" s="1">
        <v>30</v>
      </c>
      <c r="C37" s="1" t="s">
        <v>45</v>
      </c>
      <c r="D37" s="4" t="s">
        <v>49</v>
      </c>
      <c r="E37" s="1">
        <v>3</v>
      </c>
      <c r="F37" s="5">
        <v>4612.7700000000004</v>
      </c>
      <c r="G37" s="5">
        <v>13838.310000000001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13838.310000000001</v>
      </c>
      <c r="V37" s="6"/>
      <c r="W37" s="6"/>
    </row>
    <row r="38" spans="1:23" outlineLevel="1" x14ac:dyDescent="0.3">
      <c r="A38" s="1">
        <v>4508944973</v>
      </c>
      <c r="B38" s="1">
        <v>40</v>
      </c>
      <c r="C38" s="1" t="s">
        <v>50</v>
      </c>
      <c r="D38" s="4" t="s">
        <v>51</v>
      </c>
      <c r="E38" s="1">
        <v>1</v>
      </c>
      <c r="F38" s="5">
        <v>1638.47</v>
      </c>
      <c r="G38" s="5">
        <v>1638.47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1638.47</v>
      </c>
      <c r="V38" s="6"/>
      <c r="W38" s="6"/>
    </row>
    <row r="39" spans="1:23" outlineLevel="1" x14ac:dyDescent="0.3">
      <c r="A39" s="1">
        <v>4508944973</v>
      </c>
      <c r="B39" s="1">
        <v>50</v>
      </c>
      <c r="C39" s="1" t="s">
        <v>50</v>
      </c>
      <c r="D39" s="4" t="s">
        <v>52</v>
      </c>
      <c r="E39" s="1">
        <v>1</v>
      </c>
      <c r="F39" s="5">
        <v>9921.14</v>
      </c>
      <c r="G39" s="5">
        <v>9921.14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9921.14</v>
      </c>
      <c r="V39" s="6"/>
      <c r="W39" s="6"/>
    </row>
    <row r="40" spans="1:23" ht="28.8" outlineLevel="1" x14ac:dyDescent="0.3">
      <c r="A40" s="1">
        <v>4508944973</v>
      </c>
      <c r="B40" s="1">
        <v>60</v>
      </c>
      <c r="C40" s="10" t="s">
        <v>53</v>
      </c>
      <c r="D40" s="4" t="s">
        <v>54</v>
      </c>
      <c r="E40" s="1">
        <v>1</v>
      </c>
      <c r="F40" s="5">
        <v>25305.57</v>
      </c>
      <c r="G40" s="5">
        <v>25305.57</v>
      </c>
      <c r="I40" s="6"/>
      <c r="J40" s="6">
        <v>2530.5570000000002</v>
      </c>
      <c r="K40" s="6">
        <v>2530.5570000000002</v>
      </c>
      <c r="L40" s="6"/>
      <c r="M40" s="6"/>
      <c r="N40" s="6">
        <v>6326.3924999999999</v>
      </c>
      <c r="O40" s="6">
        <v>5061.1140000000005</v>
      </c>
      <c r="P40" s="6"/>
      <c r="Q40" s="6"/>
      <c r="R40" s="6"/>
      <c r="S40" s="6"/>
      <c r="T40" s="6">
        <v>7591.6709999999994</v>
      </c>
      <c r="U40" s="6"/>
      <c r="V40" s="6">
        <v>1265.2785000000001</v>
      </c>
      <c r="W40" s="6"/>
    </row>
    <row r="41" spans="1:23" ht="28.8" outlineLevel="1" x14ac:dyDescent="0.3">
      <c r="A41" s="1">
        <v>4508944973</v>
      </c>
      <c r="B41" s="1">
        <v>70</v>
      </c>
      <c r="C41" s="10" t="s">
        <v>55</v>
      </c>
      <c r="D41" s="4" t="s">
        <v>56</v>
      </c>
      <c r="E41" s="1">
        <v>1</v>
      </c>
      <c r="F41" s="5">
        <v>29291.23</v>
      </c>
      <c r="G41" s="5">
        <v>29291.23</v>
      </c>
      <c r="I41" s="6"/>
      <c r="J41" s="6">
        <v>2929.123</v>
      </c>
      <c r="K41" s="6">
        <v>2929.123</v>
      </c>
      <c r="L41" s="6"/>
      <c r="M41" s="6"/>
      <c r="N41" s="6">
        <v>7322.8074999999999</v>
      </c>
      <c r="O41" s="6">
        <v>5858.2460000000001</v>
      </c>
      <c r="P41" s="6"/>
      <c r="Q41" s="6"/>
      <c r="R41" s="6"/>
      <c r="S41" s="6"/>
      <c r="T41" s="6">
        <v>8787.3689999999988</v>
      </c>
      <c r="U41" s="6"/>
      <c r="V41" s="6">
        <v>1464.5615</v>
      </c>
      <c r="W41" s="6"/>
    </row>
    <row r="42" spans="1:23" outlineLevel="1" x14ac:dyDescent="0.3">
      <c r="A42" s="1">
        <v>4508944973</v>
      </c>
      <c r="B42" s="1">
        <v>80</v>
      </c>
      <c r="C42" s="10" t="s">
        <v>57</v>
      </c>
      <c r="D42" s="4" t="s">
        <v>58</v>
      </c>
      <c r="E42" s="1">
        <v>1</v>
      </c>
      <c r="F42" s="5">
        <v>66110.81</v>
      </c>
      <c r="G42" s="5">
        <v>66110.81</v>
      </c>
      <c r="I42" s="6"/>
      <c r="J42" s="6">
        <v>6611.0810000000001</v>
      </c>
      <c r="K42" s="6">
        <v>6611.0810000000001</v>
      </c>
      <c r="L42" s="6"/>
      <c r="M42" s="6"/>
      <c r="N42" s="6"/>
      <c r="O42" s="6">
        <v>16527.702499999999</v>
      </c>
      <c r="P42" s="6">
        <v>13222.162</v>
      </c>
      <c r="Q42" s="6"/>
      <c r="R42" s="6"/>
      <c r="S42" s="6"/>
      <c r="T42" s="6">
        <v>19833.242999999999</v>
      </c>
      <c r="U42" s="6"/>
      <c r="V42" s="6">
        <v>3305.5405000000001</v>
      </c>
      <c r="W42" s="6"/>
    </row>
    <row r="43" spans="1:23" outlineLevel="1" x14ac:dyDescent="0.3">
      <c r="A43" s="1">
        <v>4508944973</v>
      </c>
      <c r="B43" s="1">
        <v>90</v>
      </c>
      <c r="C43" s="13" t="s">
        <v>16</v>
      </c>
      <c r="D43" s="4" t="s">
        <v>59</v>
      </c>
      <c r="E43" s="1">
        <v>3</v>
      </c>
      <c r="F43" s="5">
        <v>132317.51999999999</v>
      </c>
      <c r="G43" s="5">
        <v>396952.55999999994</v>
      </c>
      <c r="I43" s="6"/>
      <c r="J43" s="6"/>
      <c r="K43" s="6">
        <v>39695.255999999994</v>
      </c>
      <c r="L43" s="6"/>
      <c r="M43" s="6"/>
      <c r="N43" s="6"/>
      <c r="O43" s="6"/>
      <c r="P43" s="6">
        <v>218323.908</v>
      </c>
      <c r="Q43" s="6"/>
      <c r="R43" s="6"/>
      <c r="S43" s="6"/>
      <c r="T43" s="6">
        <v>119085.76799999998</v>
      </c>
      <c r="U43" s="6"/>
      <c r="V43" s="6">
        <v>19847.627999999997</v>
      </c>
      <c r="W43" s="6"/>
    </row>
    <row r="44" spans="1:23" outlineLevel="1" x14ac:dyDescent="0.3">
      <c r="A44" s="1">
        <v>4508944973</v>
      </c>
      <c r="B44" s="1">
        <v>100</v>
      </c>
      <c r="C44" s="1" t="s">
        <v>60</v>
      </c>
      <c r="D44" s="4" t="s">
        <v>61</v>
      </c>
      <c r="E44" s="1">
        <v>1</v>
      </c>
      <c r="F44" s="5">
        <v>517484.58</v>
      </c>
      <c r="G44" s="5">
        <v>517484.58</v>
      </c>
      <c r="I44" s="6"/>
      <c r="J44" s="6">
        <v>51748.458000000006</v>
      </c>
      <c r="K44" s="6">
        <v>51748.458000000006</v>
      </c>
      <c r="L44" s="6"/>
      <c r="M44" s="6"/>
      <c r="N44" s="6"/>
      <c r="O44" s="6">
        <v>103496.91600000001</v>
      </c>
      <c r="P44" s="6">
        <v>129371.145</v>
      </c>
      <c r="Q44" s="6"/>
      <c r="R44" s="6"/>
      <c r="S44" s="6"/>
      <c r="T44" s="6">
        <v>155245.37400000001</v>
      </c>
      <c r="U44" s="6"/>
      <c r="V44" s="6">
        <v>25874.229000000003</v>
      </c>
      <c r="W44" s="6"/>
    </row>
    <row r="45" spans="1:23" outlineLevel="1" x14ac:dyDescent="0.3">
      <c r="A45" s="1">
        <v>4508944973</v>
      </c>
      <c r="B45" s="1">
        <v>110</v>
      </c>
      <c r="C45" s="1" t="s">
        <v>60</v>
      </c>
      <c r="D45" s="4" t="s">
        <v>62</v>
      </c>
      <c r="E45" s="1">
        <v>1</v>
      </c>
      <c r="F45" s="5">
        <v>386434.73</v>
      </c>
      <c r="G45" s="5">
        <v>386434.73</v>
      </c>
      <c r="I45" s="6"/>
      <c r="J45" s="6">
        <v>38643.472999999998</v>
      </c>
      <c r="K45" s="6">
        <v>38643.472999999998</v>
      </c>
      <c r="L45" s="6"/>
      <c r="M45" s="6"/>
      <c r="N45" s="6"/>
      <c r="O45" s="6">
        <v>77286.945999999996</v>
      </c>
      <c r="P45" s="6">
        <v>96608.682499999995</v>
      </c>
      <c r="Q45" s="6"/>
      <c r="R45" s="6"/>
      <c r="S45" s="6"/>
      <c r="T45" s="6">
        <v>115930.41899999999</v>
      </c>
      <c r="U45" s="6"/>
      <c r="V45" s="6">
        <v>19321.736499999999</v>
      </c>
      <c r="W45" s="6"/>
    </row>
    <row r="46" spans="1:23" outlineLevel="1" x14ac:dyDescent="0.3">
      <c r="A46" s="1">
        <v>4508944973</v>
      </c>
      <c r="B46" s="1">
        <v>120</v>
      </c>
      <c r="C46" s="1" t="s">
        <v>63</v>
      </c>
      <c r="D46" s="4" t="s">
        <v>64</v>
      </c>
      <c r="E46" s="1">
        <v>1</v>
      </c>
      <c r="F46" s="5">
        <v>605581.31000000006</v>
      </c>
      <c r="G46" s="5">
        <v>605581.31000000006</v>
      </c>
      <c r="I46" s="6"/>
      <c r="J46" s="6">
        <v>60558.131000000008</v>
      </c>
      <c r="K46" s="6">
        <v>60558.131000000008</v>
      </c>
      <c r="L46" s="6"/>
      <c r="M46" s="6"/>
      <c r="N46" s="6"/>
      <c r="O46" s="6"/>
      <c r="P46" s="6">
        <v>151395.32750000001</v>
      </c>
      <c r="Q46" s="6"/>
      <c r="R46" s="6"/>
      <c r="S46" s="6">
        <v>121116.26200000002</v>
      </c>
      <c r="T46" s="6">
        <v>181674.39300000001</v>
      </c>
      <c r="U46" s="6"/>
      <c r="V46" s="6">
        <v>30279.065500000004</v>
      </c>
      <c r="W46" s="6"/>
    </row>
    <row r="47" spans="1:23" outlineLevel="1" x14ac:dyDescent="0.3">
      <c r="A47" s="1">
        <v>4508944973</v>
      </c>
      <c r="B47" s="1">
        <v>130</v>
      </c>
      <c r="C47" s="1" t="s">
        <v>60</v>
      </c>
      <c r="D47" s="4" t="s">
        <v>62</v>
      </c>
      <c r="E47" s="1">
        <v>1</v>
      </c>
      <c r="F47" s="5">
        <v>386434.73</v>
      </c>
      <c r="G47" s="5">
        <v>386434.73</v>
      </c>
      <c r="I47" s="6"/>
      <c r="J47" s="6">
        <v>38643.472999999998</v>
      </c>
      <c r="K47" s="6">
        <v>38643.472999999998</v>
      </c>
      <c r="L47" s="6"/>
      <c r="M47" s="6"/>
      <c r="N47" s="6"/>
      <c r="O47" s="6">
        <v>77286.945999999996</v>
      </c>
      <c r="P47" s="6">
        <v>96608.682499999995</v>
      </c>
      <c r="Q47" s="6"/>
      <c r="R47" s="6"/>
      <c r="S47" s="6"/>
      <c r="T47" s="6">
        <v>115930.41899999999</v>
      </c>
      <c r="U47" s="6"/>
      <c r="V47" s="6">
        <v>19321.736499999999</v>
      </c>
      <c r="W47" s="6"/>
    </row>
    <row r="48" spans="1:23" outlineLevel="1" x14ac:dyDescent="0.3">
      <c r="A48" s="1">
        <v>4508944973</v>
      </c>
      <c r="B48" s="1">
        <v>140</v>
      </c>
      <c r="C48" s="1" t="s">
        <v>63</v>
      </c>
      <c r="D48" s="4" t="s">
        <v>64</v>
      </c>
      <c r="E48" s="1">
        <v>1</v>
      </c>
      <c r="F48" s="5">
        <v>605581.31000000006</v>
      </c>
      <c r="G48" s="5">
        <v>605581.31000000006</v>
      </c>
      <c r="I48" s="6"/>
      <c r="J48" s="6">
        <v>60558.131000000008</v>
      </c>
      <c r="K48" s="6">
        <v>60558.131000000008</v>
      </c>
      <c r="L48" s="6"/>
      <c r="M48" s="6"/>
      <c r="N48" s="6"/>
      <c r="O48" s="6"/>
      <c r="P48" s="6">
        <v>151395.32750000001</v>
      </c>
      <c r="Q48" s="6"/>
      <c r="R48" s="6"/>
      <c r="S48" s="6">
        <v>121116.26200000002</v>
      </c>
      <c r="T48" s="6">
        <v>181674.39300000001</v>
      </c>
      <c r="U48" s="6"/>
      <c r="V48" s="6">
        <v>30279.065500000004</v>
      </c>
      <c r="W48" s="6"/>
    </row>
    <row r="49" spans="1:23" ht="15" outlineLevel="1" thickBot="1" x14ac:dyDescent="0.35">
      <c r="A49" s="1">
        <v>4508944973</v>
      </c>
      <c r="B49" s="1">
        <v>150</v>
      </c>
      <c r="C49" s="1" t="s">
        <v>63</v>
      </c>
      <c r="D49" s="4" t="s">
        <v>64</v>
      </c>
      <c r="E49" s="1">
        <v>1</v>
      </c>
      <c r="F49" s="5">
        <v>605581.31000000006</v>
      </c>
      <c r="G49" s="5">
        <v>605581.31000000006</v>
      </c>
      <c r="I49" s="11"/>
      <c r="J49" s="11">
        <v>60558.131000000008</v>
      </c>
      <c r="K49" s="11">
        <v>60558.131000000008</v>
      </c>
      <c r="L49" s="11"/>
      <c r="M49" s="11"/>
      <c r="N49" s="11"/>
      <c r="O49" s="11"/>
      <c r="P49" s="11">
        <v>151395.32750000001</v>
      </c>
      <c r="Q49" s="11"/>
      <c r="R49" s="11"/>
      <c r="S49" s="11">
        <v>121116.26200000002</v>
      </c>
      <c r="T49" s="11">
        <v>181674.39300000001</v>
      </c>
      <c r="U49" s="11"/>
      <c r="V49" s="11">
        <v>30279.065500000004</v>
      </c>
      <c r="W49" s="11"/>
    </row>
    <row r="50" spans="1:23" x14ac:dyDescent="0.3">
      <c r="G50" s="5">
        <f>SUM(G35:G49)</f>
        <v>3686311.55</v>
      </c>
      <c r="H50" t="s">
        <v>44</v>
      </c>
      <c r="I50" s="14">
        <f>SUM(I35:I49)</f>
        <v>0</v>
      </c>
      <c r="J50" s="14">
        <f t="shared" ref="J50:W50" si="5">SUM(J35:J49)</f>
        <v>322780.55800000002</v>
      </c>
      <c r="K50" s="14">
        <f t="shared" si="5"/>
        <v>362475.81400000001</v>
      </c>
      <c r="L50" s="14">
        <f t="shared" si="5"/>
        <v>0</v>
      </c>
      <c r="M50" s="14">
        <f t="shared" si="5"/>
        <v>0</v>
      </c>
      <c r="N50" s="14">
        <f t="shared" si="5"/>
        <v>13649.2</v>
      </c>
      <c r="O50" s="14">
        <f t="shared" si="5"/>
        <v>285517.87050000002</v>
      </c>
      <c r="P50" s="14">
        <f t="shared" si="5"/>
        <v>1008320.5625000001</v>
      </c>
      <c r="Q50" s="14">
        <f t="shared" si="5"/>
        <v>0</v>
      </c>
      <c r="R50" s="14">
        <f t="shared" si="5"/>
        <v>0</v>
      </c>
      <c r="S50" s="14">
        <f t="shared" si="5"/>
        <v>363348.78600000008</v>
      </c>
      <c r="T50" s="14">
        <f t="shared" si="5"/>
        <v>1087427.442</v>
      </c>
      <c r="U50" s="14">
        <f t="shared" si="5"/>
        <v>61553.41</v>
      </c>
      <c r="V50" s="14">
        <f t="shared" si="5"/>
        <v>181237.90700000001</v>
      </c>
      <c r="W50" s="14">
        <f t="shared" si="5"/>
        <v>0</v>
      </c>
    </row>
  </sheetData>
  <mergeCells count="2">
    <mergeCell ref="I1:W1"/>
    <mergeCell ref="I32:W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ECC8A9375D414D98D3DBF7F6A5A1A7" ma:contentTypeVersion="19" ma:contentTypeDescription="Create a new document." ma:contentTypeScope="" ma:versionID="367d11fbfa1476058e648645e05730b7">
  <xsd:schema xmlns:xsd="http://www.w3.org/2001/XMLSchema" xmlns:xs="http://www.w3.org/2001/XMLSchema" xmlns:p="http://schemas.microsoft.com/office/2006/metadata/properties" xmlns:ns2="4bf8b202-853e-4709-a917-5dcc675b57f6" xmlns:ns3="cb4aa071-770d-4eb7-b41a-2545fb2d90fc" xmlns:ns4="71d29222-2c5f-45ad-9aa5-4c2d15fddbe9" targetNamespace="http://schemas.microsoft.com/office/2006/metadata/properties" ma:root="true" ma:fieldsID="1a4717dc9872dd2b8d106c5bc5ce9802" ns2:_="" ns3:_="" ns4:_="">
    <xsd:import namespace="4bf8b202-853e-4709-a917-5dcc675b57f6"/>
    <xsd:import namespace="cb4aa071-770d-4eb7-b41a-2545fb2d90fc"/>
    <xsd:import namespace="71d29222-2c5f-45ad-9aa5-4c2d15fddbe9"/>
    <xsd:element name="properties">
      <xsd:complexType>
        <xsd:sequence>
          <xsd:element name="documentManagement">
            <xsd:complexType>
              <xsd:all>
                <xsd:element ref="ns2:linkSalesforce" minOccurs="0"/>
                <xsd:element ref="ns2:nroCliente" minOccurs="0"/>
                <xsd:element ref="ns2:linkFormulario" minOccurs="0"/>
                <xsd:element ref="ns2:PEP" minOccurs="0"/>
                <xsd:element ref="ns2:ordenDeVentaSAP" minOccurs="0"/>
                <xsd:element ref="ns2:PM_OH" minOccurs="0"/>
                <xsd:element ref="ns2:nroDeProyecto" minOccurs="0"/>
                <xsd:element ref="ns3:lcf76f155ced4ddcb4097134ff3c332f" minOccurs="0"/>
                <xsd:element ref="ns4:TaxCatchAl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8b202-853e-4709-a917-5dcc675b57f6" elementFormDefault="qualified">
    <xsd:import namespace="http://schemas.microsoft.com/office/2006/documentManagement/types"/>
    <xsd:import namespace="http://schemas.microsoft.com/office/infopath/2007/PartnerControls"/>
    <xsd:element name="linkSalesforce" ma:index="8" nillable="true" ma:displayName="linkSalesforce" ma:format="Hyperlink" ma:internalName="linkSalesfor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roCliente" ma:index="9" nillable="true" ma:displayName="nroCliente" ma:internalName="nroCliente">
      <xsd:simpleType>
        <xsd:restriction base="dms:Text">
          <xsd:maxLength value="255"/>
        </xsd:restriction>
      </xsd:simpleType>
    </xsd:element>
    <xsd:element name="linkFormulario" ma:index="10" nillable="true" ma:displayName="linkFormulario" ma:format="Hyperlink" ma:internalName="linkFormulario0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EP" ma:index="11" nillable="true" ma:displayName="PEP" ma:internalName="PEP">
      <xsd:simpleType>
        <xsd:restriction base="dms:Text">
          <xsd:maxLength value="255"/>
        </xsd:restriction>
      </xsd:simpleType>
    </xsd:element>
    <xsd:element name="ordenDeVentaSAP" ma:index="12" nillable="true" ma:displayName="ordenDeVentaSAP" ma:internalName="ordenDeVentaSAP" ma:readOnly="false">
      <xsd:simpleType>
        <xsd:restriction base="dms:Text">
          <xsd:maxLength value="255"/>
        </xsd:restriction>
      </xsd:simpleType>
    </xsd:element>
    <xsd:element name="PM_OH" ma:index="13" nillable="true" ma:displayName="PM_OH" ma:list="UserInfo" ma:SharePointGroup="79" ma:internalName="PM_OH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roDeProyecto" ma:index="14" nillable="true" ma:displayName="nroDeProyecto" ma:internalName="nroDeProyecto">
      <xsd:simpleType>
        <xsd:restriction base="dms:Text">
          <xsd:maxLength value="255"/>
        </xsd:restriction>
      </xsd:simple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aa071-770d-4eb7-b41a-2545fb2d90f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29222-2c5f-45ad-9aa5-4c2d15fddbe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4c86ff9-2931-4d1d-9496-e255f299d955}" ma:internalName="TaxCatchAll" ma:showField="CatchAllData" ma:web="4bf8b202-853e-4709-a917-5dcc675b57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M_OH xmlns="4bf8b202-853e-4709-a917-5dcc675b57f6">
      <UserInfo>
        <DisplayName/>
        <AccountId>24</AccountId>
        <AccountType/>
      </UserInfo>
    </PM_OH>
    <ordenDeVentaSAP xmlns="4bf8b202-853e-4709-a917-5dcc675b57f6">672318 / 672320</ordenDeVentaSAP>
    <linkSalesforce xmlns="4bf8b202-853e-4709-a917-5dcc675b57f6">
      <Url xsi:nil="true"/>
      <Description xsi:nil="true"/>
    </linkSalesforce>
    <nroDeProyecto xmlns="4bf8b202-853e-4709-a917-5dcc675b57f6">R-2631036</nroDeProyecto>
    <linkFormulario xmlns="4bf8b202-853e-4709-a917-5dcc675b57f6">
      <Url xsi:nil="true"/>
      <Description xsi:nil="true"/>
    </linkFormulario>
    <PEP xmlns="4bf8b202-853e-4709-a917-5dcc675b57f6">4508944971/3</PEP>
    <nroCliente xmlns="4bf8b202-853e-4709-a917-5dcc675b57f6">1025607</nroCliente>
    <lcf76f155ced4ddcb4097134ff3c332f xmlns="cb4aa071-770d-4eb7-b41a-2545fb2d90fc">
      <Terms xmlns="http://schemas.microsoft.com/office/infopath/2007/PartnerControls"/>
    </lcf76f155ced4ddcb4097134ff3c332f>
    <TaxCatchAll xmlns="71d29222-2c5f-45ad-9aa5-4c2d15fddbe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06D45B-F3A0-40E0-AA47-6A53ED8C9B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f8b202-853e-4709-a917-5dcc675b57f6"/>
    <ds:schemaRef ds:uri="cb4aa071-770d-4eb7-b41a-2545fb2d90fc"/>
    <ds:schemaRef ds:uri="71d29222-2c5f-45ad-9aa5-4c2d15fddb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64A845-C3B2-4C66-89E4-84D953F299BF}">
  <ds:schemaRefs>
    <ds:schemaRef ds:uri="http://schemas.microsoft.com/office/2006/metadata/properties"/>
    <ds:schemaRef ds:uri="http://schemas.microsoft.com/office/infopath/2007/PartnerControls"/>
    <ds:schemaRef ds:uri="4bf8b202-853e-4709-a917-5dcc675b57f6"/>
    <ds:schemaRef ds:uri="cb4aa071-770d-4eb7-b41a-2545fb2d90fc"/>
    <ds:schemaRef ds:uri="71d29222-2c5f-45ad-9aa5-4c2d15fddbe9"/>
  </ds:schemaRefs>
</ds:datastoreItem>
</file>

<file path=customXml/itemProps3.xml><?xml version="1.0" encoding="utf-8"?>
<ds:datastoreItem xmlns:ds="http://schemas.openxmlformats.org/officeDocument/2006/customXml" ds:itemID="{5561597C-15BD-4B65-A479-8CB8E5A596A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Mack</dc:creator>
  <cp:lastModifiedBy>Rodrigo Mack</cp:lastModifiedBy>
  <dcterms:created xsi:type="dcterms:W3CDTF">2026-06-02T18:30:52Z</dcterms:created>
  <dcterms:modified xsi:type="dcterms:W3CDTF">2026-06-02T18:55:30Z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0x010100BCECC8A9375D414D98D3DBF7F6A5A1A7</vt:lpwstr>
  </property>
</Properties>
</file>