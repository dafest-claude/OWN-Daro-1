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bla_Certificacion" sheetId="1" state="visible" r:id="rId1"/>
    <sheet name="2_Curva_S_S3" sheetId="2" state="visible" r:id="rId2"/>
    <sheet name="3_Curva_S_S4" sheetId="3" state="visible" r:id="rId3"/>
    <sheet name="4_Curva_S_Combinada" sheetId="4" state="visible" r:id="rId4"/>
    <sheet name="5_Resumen_H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yyyy-mm-dd"/>
    <numFmt numFmtId="166" formatCode="DD-MMM-YYYY"/>
    <numFmt numFmtId="167" formatCode="0.00&quot;%&quot;"/>
    <numFmt numFmtId="168" formatCode="$#,##0"/>
    <numFmt numFmtId="169" formatCode="0.0&quot;%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color rgb="00000000"/>
      <sz val="8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880000"/>
      <sz val="9"/>
    </font>
    <font>
      <name val="Calibri"/>
      <b val="1"/>
      <color rgb="00000000"/>
      <sz val="9"/>
    </font>
    <font>
      <name val="Calibri"/>
      <i val="1"/>
      <color rgb="00000000"/>
      <sz val="9"/>
    </font>
    <font>
      <name val="Calibri"/>
      <b val="1"/>
      <color rgb="001F4E79"/>
      <sz val="9"/>
    </font>
    <font>
      <name val="Calibri"/>
      <b val="1"/>
      <color rgb="007030A0"/>
      <sz val="9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i val="1"/>
      <color rgb="00595959"/>
      <sz val="7"/>
    </font>
    <font>
      <name val="Calibri"/>
      <color rgb="00595959"/>
      <sz val="7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CC0000"/>
      </patternFill>
    </fill>
    <fill>
      <patternFill patternType="solid">
        <fgColor rgb="00F4CCCC"/>
      </patternFill>
    </fill>
    <fill>
      <patternFill patternType="solid">
        <fgColor rgb="008B0000"/>
      </patternFill>
    </fill>
    <fill>
      <patternFill patternType="solid">
        <fgColor rgb="002E75B6"/>
      </patternFill>
    </fill>
    <fill>
      <patternFill patternType="solid">
        <fgColor rgb="00CFE2F3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164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center" vertical="center"/>
    </xf>
    <xf numFmtId="167" fontId="5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164" fontId="5" fillId="8" borderId="2" applyAlignment="1" pivotButton="0" quotePrefix="0" xfId="0">
      <alignment horizontal="center" vertical="center"/>
    </xf>
    <xf numFmtId="166" fontId="5" fillId="8" borderId="2" applyAlignment="1" pivotButton="0" quotePrefix="0" xfId="0">
      <alignment horizontal="center" vertical="center"/>
    </xf>
    <xf numFmtId="167" fontId="5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164" fontId="8" fillId="2" borderId="2" applyAlignment="1" pivotButton="0" quotePrefix="0" xfId="0">
      <alignment horizontal="center" vertical="center"/>
    </xf>
    <xf numFmtId="167" fontId="8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2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8" fontId="5" fillId="5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168" fontId="5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168" fontId="12" fillId="12" borderId="2" applyAlignment="1" pivotButton="0" quotePrefix="0" xfId="0">
      <alignment horizontal="center" vertical="center"/>
    </xf>
    <xf numFmtId="168" fontId="12" fillId="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168" fontId="12" fillId="1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/>
    </xf>
    <xf numFmtId="169" fontId="12" fillId="13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0" fontId="0" fillId="13" borderId="2" pivotButton="0" quotePrefix="0" xfId="0"/>
    <xf numFmtId="0" fontId="0" fillId="6" borderId="2" pivotButton="0" quotePrefix="0" xfId="0"/>
    <xf numFmtId="0" fontId="0" fillId="5" borderId="2" pivotButton="0" quotePrefix="0" xfId="0"/>
    <xf numFmtId="0" fontId="19" fillId="13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168" fontId="5" fillId="8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0" fillId="8" borderId="2" pivotButton="0" quotePrefix="0" xfId="0"/>
    <xf numFmtId="0" fontId="0" fillId="2" borderId="2" pivotButton="0" quotePrefix="0" xfId="0"/>
    <xf numFmtId="0" fontId="10" fillId="9" borderId="1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168" fontId="5" fillId="10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0" fillId="9" borderId="2" pivotButton="0" quotePrefix="0" xfId="0"/>
    <xf numFmtId="0" fontId="0" fillId="10" borderId="2" pivotButton="0" quotePrefix="0" xfId="0"/>
    <xf numFmtId="0" fontId="11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64" fontId="12" fillId="1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S – OC S3 (4508944971)  |  SALA 3 BT  |  USD 8.13M</a:t>
            </a:r>
          </a:p>
        </rich>
      </tx>
    </title>
    <plotArea>
      <barChart>
        <barDir val="col"/>
        <grouping val="stacked"/>
        <ser>
          <idx val="0"/>
          <order val="0"/>
          <tx>
            <v>Hito 1 – RevA</v>
          </tx>
          <spPr>
            <a:solidFill>
              <a:srgbClr val="8B0000"/>
            </a:solidFill>
            <a:ln>
              <a:prstDash val="solid"/>
            </a:ln>
          </spPr>
          <cat>
            <numRef>
              <f>'2_Curva_S_S3'!$C$4:$Q$4</f>
            </numRef>
          </cat>
          <val>
            <numRef>
              <f>'2_Curva_S_S3'!$C$5:$Q$5</f>
            </numRef>
          </val>
        </ser>
        <ser>
          <idx val="1"/>
          <order val="1"/>
          <tx>
            <v>Hito 2 – Rev0</v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'2_Curva_S_S3'!$C$4:$Q$4</f>
            </numRef>
          </cat>
          <val>
            <numRef>
              <f>'2_Curva_S_S3'!$C$6:$Q$6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Curva S – Acumulado</v>
          </tx>
          <spPr>
            <a:ln w="25000">
              <a:solidFill>
                <a:srgbClr val="E36C0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'2_Curva_S_S3'!$C$10:$Q$10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Pago semanal (USD)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Acumulado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S – OC S4 (4508944973)  |  SALA 4 MT  |  USD 3.69M</a:t>
            </a:r>
          </a:p>
        </rich>
      </tx>
    </title>
    <plotArea>
      <barChart>
        <barDir val="col"/>
        <grouping val="stacked"/>
        <ser>
          <idx val="0"/>
          <order val="0"/>
          <tx>
            <v>Hito 1 – RevA</v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'3_Curva_S_S4'!$C$4:$Q$4</f>
            </numRef>
          </cat>
          <val>
            <numRef>
              <f>'3_Curva_S_S4'!$C$5:$Q$5</f>
            </numRef>
          </val>
        </ser>
        <ser>
          <idx val="1"/>
          <order val="1"/>
          <tx>
            <v>Hito 2 – Rev0</v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'3_Curva_S_S4'!$C$4:$Q$4</f>
            </numRef>
          </cat>
          <val>
            <numRef>
              <f>'3_Curva_S_S4'!$C$6:$Q$6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Curva S – Acumulado</v>
          </tx>
          <spPr>
            <a:ln w="25000">
              <a:solidFill>
                <a:srgbClr val="E36C0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'3_Curva_S_S4'!$C$10:$Q$10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Pago semanal (USD)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Acumulado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S COMBINADA – OC S3 + OC S4  |  USD 11.81M</a:t>
            </a:r>
          </a:p>
        </rich>
      </tx>
    </title>
    <plotArea>
      <barChart>
        <barDir val="col"/>
        <grouping val="stacked"/>
        <ser>
          <idx val="0"/>
          <order val="0"/>
          <tx>
            <v>Hito 1 – RevA</v>
          </tx>
          <spPr>
            <a:solidFill>
              <a:srgbClr val="375623"/>
            </a:solidFill>
            <a:ln>
              <a:prstDash val="solid"/>
            </a:ln>
          </spPr>
          <cat>
            <numRef>
              <f>'4_Curva_S_Combinada'!$C$4:$Q$4</f>
            </numRef>
          </cat>
          <val>
            <numRef>
              <f>'4_Curva_S_Combinada'!$C$5:$Q$5</f>
            </numRef>
          </val>
        </ser>
        <ser>
          <idx val="1"/>
          <order val="1"/>
          <tx>
            <v>Hito 2 – Rev0</v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'4_Curva_S_Combinada'!$C$4:$Q$4</f>
            </numRef>
          </cat>
          <val>
            <numRef>
              <f>'4_Curva_S_Combinada'!$C$6:$Q$6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Curva S – Acumulado</v>
          </tx>
          <spPr>
            <a:ln w="25000">
              <a:solidFill>
                <a:srgbClr val="E36C0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'4_Curva_S_Combinada'!$C$10:$Q$10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Pago semanal (USD)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Acumulado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 ht="28" customHeight="1">
      <c r="A1" s="1" t="inlineStr">
        <is>
          <t>CRONOGRAMA DE CERTIFICACIÓN – INGENIERÍA BÁSICA  |  OC S3 + OC S4</t>
        </is>
      </c>
    </row>
    <row r="2" ht="18" customHeight="1">
      <c r="A2" s="2" t="inlineStr">
        <is>
          <t>Hito 1: 10% OC al envío RevA  |  Hito 2: 10% OC a la aprobación Rev0  |  S3 Total elegible: USD 8,027,904  |  S4 Total elegible: USD 3,624,758  |  IB 20% combinado: USD 2,330,532</t>
        </is>
      </c>
    </row>
    <row r="3" ht="30" customHeight="1">
      <c r="A3" s="3" t="inlineStr">
        <is>
          <t>OC</t>
        </is>
      </c>
      <c r="B3" s="3" t="inlineStr">
        <is>
          <t>Pos / TAG</t>
        </is>
      </c>
      <c r="C3" s="3" t="inlineStr">
        <is>
          <t>Descripción</t>
        </is>
      </c>
      <c r="D3" s="3" t="inlineStr">
        <is>
          <t>Precio (USD)</t>
        </is>
      </c>
      <c r="E3" s="3" t="inlineStr">
        <is>
          <t>RevA
(Envío IB)</t>
        </is>
      </c>
      <c r="F3" s="3" t="inlineStr">
        <is>
          <t>Monto RevA
(10%)</t>
        </is>
      </c>
      <c r="G3" s="3" t="inlineStr">
        <is>
          <t>Rev0
(Aprobación)</t>
        </is>
      </c>
      <c r="H3" s="3" t="inlineStr">
        <is>
          <t>Monto Rev0
(10%)</t>
        </is>
      </c>
      <c r="I3" s="3" t="inlineStr">
        <is>
          <t>Total IB
(20%)</t>
        </is>
      </c>
      <c r="J3" s="3" t="inlineStr">
        <is>
          <t>% sobre
OC total</t>
        </is>
      </c>
      <c r="K3" s="3" t="inlineStr">
        <is>
          <t>Notas</t>
        </is>
      </c>
    </row>
    <row r="4" ht="22" customHeight="1">
      <c r="A4" s="4" t="inlineStr">
        <is>
          <t>OC S3 – 4508944971  |  Sala 3 BT  |  ABB Brazil</t>
        </is>
      </c>
    </row>
    <row r="5" ht="28" customHeight="1">
      <c r="A5" s="5" t="inlineStr">
        <is>
          <t>OC</t>
        </is>
      </c>
      <c r="B5" s="6" t="inlineStr">
        <is>
          <t>Pos 70
102-DP-VFD-24210A/B/C</t>
        </is>
      </c>
      <c r="C5" s="7" t="inlineStr">
        <is>
          <t>VFD Variador Frec. Bombas BT (×3)</t>
        </is>
      </c>
      <c r="D5" s="8" t="n">
        <v>242508.12</v>
      </c>
      <c r="E5" s="9" t="n">
        <v>46188</v>
      </c>
      <c r="F5" s="8" t="n">
        <v>24250.812</v>
      </c>
      <c r="G5" s="9" t="n">
        <v>46203</v>
      </c>
      <c r="H5" s="8" t="n">
        <v>24250.812</v>
      </c>
      <c r="I5" s="8" t="n">
        <v>48501.624</v>
      </c>
      <c r="J5" s="10" t="n">
        <v>0.6041629817851446</v>
      </c>
      <c r="K5" s="11" t="inlineStr">
        <is>
          <t>Gap aprobación: 15d</t>
        </is>
      </c>
    </row>
    <row r="6" ht="28" customHeight="1">
      <c r="A6" s="5" t="inlineStr">
        <is>
          <t>OC</t>
        </is>
      </c>
      <c r="B6" s="6" t="inlineStr">
        <is>
          <t>Pos 80
102-DP-001-TRA</t>
        </is>
      </c>
      <c r="C6" s="7" t="inlineStr">
        <is>
          <t>Tablero Distribución Tracing</t>
        </is>
      </c>
      <c r="D6" s="8" t="n">
        <v>95632.73</v>
      </c>
      <c r="E6" s="9" t="n">
        <v>46181</v>
      </c>
      <c r="F6" s="8" t="n">
        <v>9563.272999999999</v>
      </c>
      <c r="G6" s="9" t="n">
        <v>46213</v>
      </c>
      <c r="H6" s="8" t="n">
        <v>9563.272999999999</v>
      </c>
      <c r="I6" s="8" t="n">
        <v>19126.546</v>
      </c>
      <c r="J6" s="10" t="n">
        <v>0.2382508070783512</v>
      </c>
      <c r="K6" s="11" t="inlineStr">
        <is>
          <t>Gap aprobación: 32d</t>
        </is>
      </c>
    </row>
    <row r="7" ht="28" customHeight="1">
      <c r="A7" s="5" t="inlineStr">
        <is>
          <t>OC</t>
        </is>
      </c>
      <c r="B7" s="6" t="inlineStr">
        <is>
          <t>Pos 90
102-DP-001</t>
        </is>
      </c>
      <c r="C7" s="7" t="inlineStr">
        <is>
          <t>Tablero Serv. Aux. SE#3</t>
        </is>
      </c>
      <c r="D7" s="8" t="n">
        <v>105885.06</v>
      </c>
      <c r="E7" s="9" t="n">
        <v>46181</v>
      </c>
      <c r="F7" s="8" t="n">
        <v>10588.506</v>
      </c>
      <c r="G7" s="9" t="n">
        <v>46213</v>
      </c>
      <c r="H7" s="8" t="n">
        <v>10588.506</v>
      </c>
      <c r="I7" s="8" t="n">
        <v>21177.012</v>
      </c>
      <c r="J7" s="10" t="n">
        <v>0.263792542600631</v>
      </c>
      <c r="K7" s="11" t="inlineStr">
        <is>
          <t>Gap aprobación: 32d</t>
        </is>
      </c>
    </row>
    <row r="8" ht="28" customHeight="1">
      <c r="A8" s="5" t="inlineStr">
        <is>
          <t>OC</t>
        </is>
      </c>
      <c r="B8" s="6" t="inlineStr">
        <is>
          <t>Pos 100
102-LP-002</t>
        </is>
      </c>
      <c r="C8" s="7" t="inlineStr">
        <is>
          <t>Tablero Distribución UPS</t>
        </is>
      </c>
      <c r="D8" s="8" t="n">
        <v>63485.7</v>
      </c>
      <c r="E8" s="9" t="n">
        <v>46181</v>
      </c>
      <c r="F8" s="8" t="n">
        <v>6348.57</v>
      </c>
      <c r="G8" s="9" t="n">
        <v>46213</v>
      </c>
      <c r="H8" s="8" t="n">
        <v>6348.57</v>
      </c>
      <c r="I8" s="8" t="n">
        <v>12697.14</v>
      </c>
      <c r="J8" s="10" t="n">
        <v>0.1581625795157587</v>
      </c>
      <c r="K8" s="11" t="inlineStr">
        <is>
          <t>Gap aprobación: 32d</t>
        </is>
      </c>
    </row>
    <row r="9" ht="28" customHeight="1">
      <c r="A9" s="5" t="inlineStr">
        <is>
          <t>OC</t>
        </is>
      </c>
      <c r="B9" s="6" t="inlineStr">
        <is>
          <t>Pos 110
102-LP-001</t>
        </is>
      </c>
      <c r="C9" s="7" t="inlineStr">
        <is>
          <t>Tablero Distribución Serv. Aux. S#3</t>
        </is>
      </c>
      <c r="D9" s="8" t="n">
        <v>96409.77</v>
      </c>
      <c r="E9" s="9" t="n">
        <v>46181</v>
      </c>
      <c r="F9" s="8" t="n">
        <v>9640.977000000001</v>
      </c>
      <c r="G9" s="9" t="n">
        <v>46213</v>
      </c>
      <c r="H9" s="8" t="n">
        <v>9640.977000000001</v>
      </c>
      <c r="I9" s="8" t="n">
        <v>19281.954</v>
      </c>
      <c r="J9" s="10" t="n">
        <v>0.2401866548485881</v>
      </c>
      <c r="K9" s="11" t="inlineStr">
        <is>
          <t>Gap aprobación: 32d</t>
        </is>
      </c>
    </row>
    <row r="10" ht="28" customHeight="1">
      <c r="A10" s="5" t="inlineStr">
        <is>
          <t>OC</t>
        </is>
      </c>
      <c r="B10" s="6" t="inlineStr">
        <is>
          <t>Pos 120
102-DB-007A/B</t>
        </is>
      </c>
      <c r="C10" s="7" t="inlineStr">
        <is>
          <t>Ducto de Barras 3F+N  DB-007</t>
        </is>
      </c>
      <c r="D10" s="8" t="n">
        <v>169501.43</v>
      </c>
      <c r="E10" s="9" t="n">
        <v>46199</v>
      </c>
      <c r="F10" s="8" t="n">
        <v>16950.143</v>
      </c>
      <c r="G10" s="9" t="n">
        <v>46219</v>
      </c>
      <c r="H10" s="8" t="n">
        <v>16950.143</v>
      </c>
      <c r="I10" s="8" t="n">
        <v>33900.286</v>
      </c>
      <c r="J10" s="10" t="n">
        <v>0.4222806616357669</v>
      </c>
      <c r="K10" s="11" t="inlineStr">
        <is>
          <t>Gap aprobación: 20d</t>
        </is>
      </c>
    </row>
    <row r="11" ht="28" customHeight="1">
      <c r="A11" s="5" t="inlineStr">
        <is>
          <t>OC</t>
        </is>
      </c>
      <c r="B11" s="6" t="inlineStr">
        <is>
          <t>Pos 130
102-DB-006A/B</t>
        </is>
      </c>
      <c r="C11" s="7" t="inlineStr">
        <is>
          <t>Ducto de Barras 3F+N  DB-006</t>
        </is>
      </c>
      <c r="D11" s="8" t="n">
        <v>182075.08</v>
      </c>
      <c r="E11" s="9" t="n">
        <v>46199</v>
      </c>
      <c r="F11" s="8" t="n">
        <v>18207.508</v>
      </c>
      <c r="G11" s="9" t="n">
        <v>46219</v>
      </c>
      <c r="H11" s="8" t="n">
        <v>18207.508</v>
      </c>
      <c r="I11" s="8" t="n">
        <v>36415.016</v>
      </c>
      <c r="J11" s="10" t="n">
        <v>0.4536055256276314</v>
      </c>
      <c r="K11" s="11" t="inlineStr">
        <is>
          <t>Gap aprobación: 20d</t>
        </is>
      </c>
    </row>
    <row r="12" ht="28" customHeight="1">
      <c r="A12" s="5" t="inlineStr">
        <is>
          <t>OC</t>
        </is>
      </c>
      <c r="B12" s="6" t="inlineStr">
        <is>
          <t>Pos 140
102-DB-005A/B</t>
        </is>
      </c>
      <c r="C12" s="7" t="inlineStr">
        <is>
          <t>Ducto de Barras 3F+N  DB-005</t>
        </is>
      </c>
      <c r="D12" s="8" t="n">
        <v>139094.32</v>
      </c>
      <c r="E12" s="9" t="n">
        <v>46199</v>
      </c>
      <c r="F12" s="8" t="n">
        <v>13909.432</v>
      </c>
      <c r="G12" s="9" t="n">
        <v>46219</v>
      </c>
      <c r="H12" s="8" t="n">
        <v>13909.432</v>
      </c>
      <c r="I12" s="8" t="n">
        <v>27818.864</v>
      </c>
      <c r="J12" s="10" t="n">
        <v>0.3465271147233217</v>
      </c>
      <c r="K12" s="11" t="inlineStr">
        <is>
          <t>Gap aprobación: 20d</t>
        </is>
      </c>
    </row>
    <row r="13" ht="28" customHeight="1">
      <c r="A13" s="5" t="inlineStr">
        <is>
          <t>OC</t>
        </is>
      </c>
      <c r="B13" s="6" t="inlineStr">
        <is>
          <t>Pos 150
102-CCM-007</t>
        </is>
      </c>
      <c r="C13" s="7" t="inlineStr">
        <is>
          <t>CCM 380/220V lote 1</t>
        </is>
      </c>
      <c r="D13" s="8" t="n">
        <v>451298.47</v>
      </c>
      <c r="E13" s="9" t="n">
        <v>46244</v>
      </c>
      <c r="F13" s="8" t="n">
        <v>45129.847</v>
      </c>
      <c r="G13" s="9" t="n">
        <v>46259</v>
      </c>
      <c r="H13" s="8" t="n">
        <v>45129.847</v>
      </c>
      <c r="I13" s="8" t="n">
        <v>90259.694</v>
      </c>
      <c r="J13" s="10" t="n">
        <v>1.124324535237309</v>
      </c>
      <c r="K13" s="11" t="inlineStr">
        <is>
          <t>Gap aprobación: 15d</t>
        </is>
      </c>
    </row>
    <row r="14" ht="28" customHeight="1">
      <c r="A14" s="5" t="inlineStr">
        <is>
          <t>OC</t>
        </is>
      </c>
      <c r="B14" s="6" t="inlineStr">
        <is>
          <t>Pos 160
102-CCM-006</t>
        </is>
      </c>
      <c r="C14" s="7" t="inlineStr">
        <is>
          <t>CCM 380/220V lote 1</t>
        </is>
      </c>
      <c r="D14" s="8" t="n">
        <v>492942.64</v>
      </c>
      <c r="E14" s="9" t="n">
        <v>46244</v>
      </c>
      <c r="F14" s="8" t="n">
        <v>49294.264</v>
      </c>
      <c r="G14" s="9" t="n">
        <v>46259</v>
      </c>
      <c r="H14" s="8" t="n">
        <v>49294.264</v>
      </c>
      <c r="I14" s="8" t="n">
        <v>98588.52800000001</v>
      </c>
      <c r="J14" s="10" t="n">
        <v>1.228073085682414</v>
      </c>
      <c r="K14" s="11" t="inlineStr">
        <is>
          <t>Gap aprobación: 15d</t>
        </is>
      </c>
    </row>
    <row r="15" ht="28" customHeight="1">
      <c r="A15" s="5" t="inlineStr">
        <is>
          <t>OC</t>
        </is>
      </c>
      <c r="B15" s="6" t="inlineStr">
        <is>
          <t>Pos 170
102-CCM-005</t>
        </is>
      </c>
      <c r="C15" s="7" t="inlineStr">
        <is>
          <t>CCM 380/220V lote 1</t>
        </is>
      </c>
      <c r="D15" s="8" t="n">
        <v>552737.98</v>
      </c>
      <c r="E15" s="9" t="n">
        <v>46244</v>
      </c>
      <c r="F15" s="8" t="n">
        <v>55273.798</v>
      </c>
      <c r="G15" s="9" t="n">
        <v>46259</v>
      </c>
      <c r="H15" s="8" t="n">
        <v>55273.798</v>
      </c>
      <c r="I15" s="8" t="n">
        <v>110547.596</v>
      </c>
      <c r="J15" s="10" t="n">
        <v>1.377041833249532</v>
      </c>
      <c r="K15" s="11" t="inlineStr">
        <is>
          <t>Gap aprobación: 15d</t>
        </is>
      </c>
    </row>
    <row r="16" ht="28" customHeight="1">
      <c r="A16" s="12" t="inlineStr">
        <is>
          <t>OC</t>
        </is>
      </c>
      <c r="B16" s="13" t="inlineStr">
        <is>
          <t>Pos 180
SE#3 MT</t>
        </is>
      </c>
      <c r="C16" s="14" t="inlineStr">
        <is>
          <t>Sala Eléctrica N°3 BT lote 1</t>
        </is>
      </c>
      <c r="D16" s="15" t="n">
        <v>622817.0699999999</v>
      </c>
      <c r="E16" s="16" t="n">
        <v>46232</v>
      </c>
      <c r="F16" s="15" t="n">
        <v>62281.70699999999</v>
      </c>
      <c r="G16" s="16" t="n">
        <v>46251</v>
      </c>
      <c r="H16" s="15" t="n">
        <v>62281.70699999999</v>
      </c>
      <c r="I16" s="15" t="n">
        <v>124563.414</v>
      </c>
      <c r="J16" s="17" t="n">
        <v>1.551630593309152</v>
      </c>
      <c r="K16" s="18" t="inlineStr">
        <is>
          <t>Gap aprobación: 19d</t>
        </is>
      </c>
    </row>
    <row r="17" ht="28" customHeight="1">
      <c r="A17" s="5" t="inlineStr">
        <is>
          <t>OC</t>
        </is>
      </c>
      <c r="B17" s="6" t="inlineStr">
        <is>
          <t>Pos 190
102-UPS-001A/B</t>
        </is>
      </c>
      <c r="C17" s="7" t="inlineStr">
        <is>
          <t>Sistema UPS Corriente Alterna</t>
        </is>
      </c>
      <c r="D17" s="8" t="n">
        <v>550434.3199999999</v>
      </c>
      <c r="E17" s="9" t="n">
        <v>46185</v>
      </c>
      <c r="F17" s="8" t="n">
        <v>55043.432</v>
      </c>
      <c r="G17" s="9" t="n">
        <v>46195</v>
      </c>
      <c r="H17" s="8" t="n">
        <v>55043.432</v>
      </c>
      <c r="I17" s="8" t="n">
        <v>110086.864</v>
      </c>
      <c r="J17" s="10" t="n">
        <v>1.37130270132018</v>
      </c>
      <c r="K17" s="11" t="inlineStr">
        <is>
          <t>Gap aprobación: 10d</t>
        </is>
      </c>
    </row>
    <row r="18" ht="28" customHeight="1">
      <c r="A18" s="5" t="inlineStr">
        <is>
          <t>OC</t>
        </is>
      </c>
      <c r="B18" s="6" t="inlineStr">
        <is>
          <t>Pos 200
102-VCC-001A/B</t>
        </is>
      </c>
      <c r="C18" s="7" t="inlineStr">
        <is>
          <t>Sistema Corriente Continua VCC</t>
        </is>
      </c>
      <c r="D18" s="8" t="n">
        <v>274833.91</v>
      </c>
      <c r="E18" s="9" t="n">
        <v>46185</v>
      </c>
      <c r="F18" s="8" t="n">
        <v>27483.391</v>
      </c>
      <c r="G18" s="9" t="n">
        <v>46195</v>
      </c>
      <c r="H18" s="8" t="n">
        <v>27483.391</v>
      </c>
      <c r="I18" s="8" t="n">
        <v>54966.782</v>
      </c>
      <c r="J18" s="10" t="n">
        <v>0.6846965559803525</v>
      </c>
      <c r="K18" s="11" t="inlineStr">
        <is>
          <t>Gap aprobación: 10d</t>
        </is>
      </c>
    </row>
    <row r="19" ht="28" customHeight="1">
      <c r="A19" s="5" t="inlineStr">
        <is>
          <t>OC</t>
        </is>
      </c>
      <c r="B19" s="6" t="inlineStr">
        <is>
          <t>Pos 210
102-CCM-007</t>
        </is>
      </c>
      <c r="C19" s="7" t="inlineStr">
        <is>
          <t>CCM 380/220V lote 2</t>
        </is>
      </c>
      <c r="D19" s="8" t="n">
        <v>451298.47</v>
      </c>
      <c r="E19" s="9" t="n">
        <v>46244</v>
      </c>
      <c r="F19" s="8" t="n">
        <v>45129.847</v>
      </c>
      <c r="G19" s="9" t="n">
        <v>46259</v>
      </c>
      <c r="H19" s="8" t="n">
        <v>45129.847</v>
      </c>
      <c r="I19" s="8" t="n">
        <v>90259.694</v>
      </c>
      <c r="J19" s="10" t="n">
        <v>1.124324535237309</v>
      </c>
      <c r="K19" s="11" t="inlineStr">
        <is>
          <t>Gap aprobación: 15d</t>
        </is>
      </c>
    </row>
    <row r="20" ht="28" customHeight="1">
      <c r="A20" s="5" t="inlineStr">
        <is>
          <t>OC</t>
        </is>
      </c>
      <c r="B20" s="6" t="inlineStr">
        <is>
          <t>Pos 220
102-CCM-006</t>
        </is>
      </c>
      <c r="C20" s="7" t="inlineStr">
        <is>
          <t>CCM 380/220V lote 2</t>
        </is>
      </c>
      <c r="D20" s="8" t="n">
        <v>492942.64</v>
      </c>
      <c r="E20" s="9" t="n">
        <v>46244</v>
      </c>
      <c r="F20" s="8" t="n">
        <v>49294.264</v>
      </c>
      <c r="G20" s="9" t="n">
        <v>46259</v>
      </c>
      <c r="H20" s="8" t="n">
        <v>49294.264</v>
      </c>
      <c r="I20" s="8" t="n">
        <v>98588.52800000001</v>
      </c>
      <c r="J20" s="10" t="n">
        <v>1.228073085682414</v>
      </c>
      <c r="K20" s="11" t="inlineStr">
        <is>
          <t>Gap aprobación: 15d</t>
        </is>
      </c>
    </row>
    <row r="21" ht="28" customHeight="1">
      <c r="A21" s="5" t="inlineStr">
        <is>
          <t>OC</t>
        </is>
      </c>
      <c r="B21" s="6" t="inlineStr">
        <is>
          <t>Pos 230
102-CCM-005</t>
        </is>
      </c>
      <c r="C21" s="7" t="inlineStr">
        <is>
          <t>CCM 380/220V lote 2</t>
        </is>
      </c>
      <c r="D21" s="8" t="n">
        <v>552737.98</v>
      </c>
      <c r="E21" s="9" t="n">
        <v>46244</v>
      </c>
      <c r="F21" s="8" t="n">
        <v>55273.798</v>
      </c>
      <c r="G21" s="9" t="n">
        <v>46259</v>
      </c>
      <c r="H21" s="8" t="n">
        <v>55273.798</v>
      </c>
      <c r="I21" s="8" t="n">
        <v>110547.596</v>
      </c>
      <c r="J21" s="10" t="n">
        <v>1.377041833249532</v>
      </c>
      <c r="K21" s="11" t="inlineStr">
        <is>
          <t>Gap aprobación: 15d</t>
        </is>
      </c>
    </row>
    <row r="22" ht="28" customHeight="1">
      <c r="A22" s="12" t="inlineStr">
        <is>
          <t>OC</t>
        </is>
      </c>
      <c r="B22" s="13" t="inlineStr">
        <is>
          <t>Pos 240
SE#3 MT</t>
        </is>
      </c>
      <c r="C22" s="14" t="inlineStr">
        <is>
          <t>Sala Eléctrica N°3 BT lote 2</t>
        </is>
      </c>
      <c r="D22" s="15" t="n">
        <v>622817.0699999999</v>
      </c>
      <c r="E22" s="16" t="n">
        <v>46232</v>
      </c>
      <c r="F22" s="15" t="n">
        <v>62281.70699999999</v>
      </c>
      <c r="G22" s="16" t="n">
        <v>46251</v>
      </c>
      <c r="H22" s="15" t="n">
        <v>62281.70699999999</v>
      </c>
      <c r="I22" s="15" t="n">
        <v>124563.414</v>
      </c>
      <c r="J22" s="17" t="n">
        <v>1.551630593309152</v>
      </c>
      <c r="K22" s="18" t="inlineStr">
        <is>
          <t>Gap aprobación: 19d</t>
        </is>
      </c>
    </row>
    <row r="23" ht="28" customHeight="1">
      <c r="A23" s="12" t="inlineStr">
        <is>
          <t>OC</t>
        </is>
      </c>
      <c r="B23" s="13" t="inlineStr">
        <is>
          <t>Pos 250
SE#3 MT</t>
        </is>
      </c>
      <c r="C23" s="14" t="inlineStr">
        <is>
          <t>Sala Eléctrica N°3 BT lote 3</t>
        </is>
      </c>
      <c r="D23" s="15" t="n">
        <v>622817.0699999999</v>
      </c>
      <c r="E23" s="16" t="n">
        <v>46232</v>
      </c>
      <c r="F23" s="15" t="n">
        <v>62281.70699999999</v>
      </c>
      <c r="G23" s="16" t="n">
        <v>46251</v>
      </c>
      <c r="H23" s="15" t="n">
        <v>62281.70699999999</v>
      </c>
      <c r="I23" s="15" t="n">
        <v>124563.414</v>
      </c>
      <c r="J23" s="17" t="n">
        <v>1.551630593309152</v>
      </c>
      <c r="K23" s="18" t="inlineStr">
        <is>
          <t>Gap aprobación: 19d</t>
        </is>
      </c>
    </row>
    <row r="24" ht="28" customHeight="1">
      <c r="A24" s="12" t="inlineStr">
        <is>
          <t>OC</t>
        </is>
      </c>
      <c r="B24" s="13" t="inlineStr">
        <is>
          <t>Pos 260
SE#3 MT</t>
        </is>
      </c>
      <c r="C24" s="14" t="inlineStr">
        <is>
          <t>Sala Eléctrica N°3 BT lote 4</t>
        </is>
      </c>
      <c r="D24" s="15" t="n">
        <v>622817.0699999999</v>
      </c>
      <c r="E24" s="16" t="n">
        <v>46232</v>
      </c>
      <c r="F24" s="15" t="n">
        <v>62281.70699999999</v>
      </c>
      <c r="G24" s="16" t="n">
        <v>46251</v>
      </c>
      <c r="H24" s="15" t="n">
        <v>62281.70699999999</v>
      </c>
      <c r="I24" s="15" t="n">
        <v>124563.414</v>
      </c>
      <c r="J24" s="17" t="n">
        <v>1.551630593309152</v>
      </c>
      <c r="K24" s="18" t="inlineStr">
        <is>
          <t>Gap aprobación: 19d</t>
        </is>
      </c>
    </row>
    <row r="25" ht="28" customHeight="1">
      <c r="A25" s="12" t="inlineStr">
        <is>
          <t>OC</t>
        </is>
      </c>
      <c r="B25" s="13" t="inlineStr">
        <is>
          <t>Pos 270
SE#3 MT</t>
        </is>
      </c>
      <c r="C25" s="14" t="inlineStr">
        <is>
          <t>Sala Eléctrica N°3 BT lote 5</t>
        </is>
      </c>
      <c r="D25" s="15" t="n">
        <v>622817.0699999999</v>
      </c>
      <c r="E25" s="16" t="n">
        <v>46232</v>
      </c>
      <c r="F25" s="15" t="n">
        <v>62281.70699999999</v>
      </c>
      <c r="G25" s="16" t="n">
        <v>46251</v>
      </c>
      <c r="H25" s="15" t="n">
        <v>62281.70699999999</v>
      </c>
      <c r="I25" s="15" t="n">
        <v>124563.414</v>
      </c>
      <c r="J25" s="17" t="n">
        <v>1.551630593309152</v>
      </c>
      <c r="K25" s="18" t="inlineStr">
        <is>
          <t>Gap aprobación: 19d</t>
        </is>
      </c>
    </row>
    <row r="26" ht="20" customHeight="1">
      <c r="A26" s="19" t="inlineStr">
        <is>
          <t>SUBTOTAL OC  (21 ítems)</t>
        </is>
      </c>
      <c r="D26" s="20" t="n">
        <v>8027903.970000001</v>
      </c>
      <c r="E26" s="19" t="inlineStr">
        <is>
          <t>→ Hito 1</t>
        </is>
      </c>
      <c r="F26" s="20" t="n">
        <v>802790.3970000001</v>
      </c>
      <c r="G26" s="19" t="inlineStr">
        <is>
          <t>→ Hito 2</t>
        </is>
      </c>
      <c r="H26" s="20" t="n">
        <v>802790.3970000001</v>
      </c>
      <c r="I26" s="20" t="n">
        <v>1605580.794</v>
      </c>
      <c r="J26" s="21" t="n">
        <v>20</v>
      </c>
      <c r="K26" s="22" t="inlineStr"/>
    </row>
    <row r="28" ht="22" customHeight="1">
      <c r="A28" s="23" t="inlineStr">
        <is>
          <t>OC S4 – 4508944973  |  Sala 4 MT  |  ABB Brazil</t>
        </is>
      </c>
    </row>
    <row r="29" ht="28" customHeight="1">
      <c r="A29" s="5" t="inlineStr">
        <is>
          <t>OC</t>
        </is>
      </c>
      <c r="B29" s="6" t="inlineStr">
        <is>
          <t>Pos 60
102-DP-101UPS</t>
        </is>
      </c>
      <c r="C29" s="7" t="inlineStr">
        <is>
          <t>Tablero Distribución UPS SE#4</t>
        </is>
      </c>
      <c r="D29" s="8" t="n">
        <v>25305.57</v>
      </c>
      <c r="E29" s="9" t="n">
        <v>46185</v>
      </c>
      <c r="F29" s="8" t="n">
        <v>2530.557</v>
      </c>
      <c r="G29" s="9" t="n">
        <v>46195</v>
      </c>
      <c r="H29" s="8" t="n">
        <v>2530.557</v>
      </c>
      <c r="I29" s="8" t="n">
        <v>5061.114</v>
      </c>
      <c r="J29" s="10" t="n">
        <v>0.1396262537946877</v>
      </c>
      <c r="K29" s="11" t="inlineStr">
        <is>
          <t>Gap aprobación: 10d</t>
        </is>
      </c>
    </row>
    <row r="30" ht="28" customHeight="1">
      <c r="A30" s="5" t="inlineStr">
        <is>
          <t>OC</t>
        </is>
      </c>
      <c r="B30" s="6" t="inlineStr">
        <is>
          <t>Pos 70
102-DP-101VCC</t>
        </is>
      </c>
      <c r="C30" s="7" t="inlineStr">
        <is>
          <t>Tablero Distribución VCC SE#4</t>
        </is>
      </c>
      <c r="D30" s="8" t="n">
        <v>29291.23</v>
      </c>
      <c r="E30" s="9" t="n">
        <v>46185</v>
      </c>
      <c r="F30" s="8" t="n">
        <v>2929.123</v>
      </c>
      <c r="G30" s="9" t="n">
        <v>46195</v>
      </c>
      <c r="H30" s="8" t="n">
        <v>2929.123</v>
      </c>
      <c r="I30" s="8" t="n">
        <v>5858.246</v>
      </c>
      <c r="J30" s="10" t="n">
        <v>0.1616175693311223</v>
      </c>
      <c r="K30" s="11" t="inlineStr">
        <is>
          <t>Gap aprobación: 10d</t>
        </is>
      </c>
    </row>
    <row r="31" ht="28" customHeight="1">
      <c r="A31" s="5" t="inlineStr">
        <is>
          <t>OC</t>
        </is>
      </c>
      <c r="B31" s="6" t="inlineStr">
        <is>
          <t>Pos 80
102-DP-101</t>
        </is>
      </c>
      <c r="C31" s="7" t="inlineStr">
        <is>
          <t>Tablero Serv. Aux. SE#4</t>
        </is>
      </c>
      <c r="D31" s="8" t="n">
        <v>66110.81</v>
      </c>
      <c r="E31" s="9" t="n">
        <v>46181</v>
      </c>
      <c r="F31" s="8" t="n">
        <v>6611.081</v>
      </c>
      <c r="G31" s="9" t="n">
        <v>46209</v>
      </c>
      <c r="H31" s="8" t="n">
        <v>6611.081</v>
      </c>
      <c r="I31" s="8" t="n">
        <v>13222.162</v>
      </c>
      <c r="J31" s="10" t="n">
        <v>0.3647736342486012</v>
      </c>
      <c r="K31" s="11" t="inlineStr">
        <is>
          <t>Gap aprobación: 28d</t>
        </is>
      </c>
    </row>
    <row r="32" ht="28" customHeight="1">
      <c r="A32" s="5" t="inlineStr">
        <is>
          <t>OC</t>
        </is>
      </c>
      <c r="B32" s="6" t="inlineStr">
        <is>
          <t>Pos 90
102-DP-VFD-23310A/B/C</t>
        </is>
      </c>
      <c r="C32" s="7" t="inlineStr">
        <is>
          <t>VFD Variador Frec. Bombas MT (×3)</t>
        </is>
      </c>
      <c r="D32" s="8" t="n">
        <v>396952.56</v>
      </c>
      <c r="E32" s="9" t="n">
        <v>46188</v>
      </c>
      <c r="F32" s="8" t="n">
        <v>39695.256</v>
      </c>
      <c r="G32" s="9" t="n">
        <v>46203</v>
      </c>
      <c r="H32" s="8" t="n">
        <v>39695.256</v>
      </c>
      <c r="I32" s="8" t="n">
        <v>79390.512</v>
      </c>
      <c r="J32" s="10" t="n">
        <v>2.190229221748848</v>
      </c>
      <c r="K32" s="11" t="inlineStr">
        <is>
          <t>Gap aprobación: 15d</t>
        </is>
      </c>
    </row>
    <row r="33" ht="28" customHeight="1">
      <c r="A33" s="5" t="inlineStr">
        <is>
          <t>OC</t>
        </is>
      </c>
      <c r="B33" s="6" t="inlineStr">
        <is>
          <t>Pos 100
102-TGMT-001/003</t>
        </is>
      </c>
      <c r="C33" s="7" t="inlineStr">
        <is>
          <t>SWG MT 13.2kV / 6.6kV – Celdas</t>
        </is>
      </c>
      <c r="D33" s="8" t="n">
        <v>517484.58</v>
      </c>
      <c r="E33" s="9" t="n">
        <v>46185</v>
      </c>
      <c r="F33" s="8" t="n">
        <v>51748.45800000001</v>
      </c>
      <c r="G33" s="9" t="n">
        <v>46234</v>
      </c>
      <c r="H33" s="8" t="n">
        <v>51748.45800000001</v>
      </c>
      <c r="I33" s="8" t="n">
        <v>103496.916</v>
      </c>
      <c r="J33" s="10" t="n">
        <v>2.855277842068658</v>
      </c>
      <c r="K33" s="11" t="inlineStr">
        <is>
          <t>Gap aprobación: 49d</t>
        </is>
      </c>
    </row>
    <row r="34" ht="28" customHeight="1">
      <c r="A34" s="5" t="inlineStr">
        <is>
          <t>OC</t>
        </is>
      </c>
      <c r="B34" s="6" t="inlineStr">
        <is>
          <t>Pos 110
102-TGMT-001/003</t>
        </is>
      </c>
      <c r="C34" s="7" t="inlineStr">
        <is>
          <t>SWG MT – Tableros lote 1</t>
        </is>
      </c>
      <c r="D34" s="8" t="n">
        <v>386434.73</v>
      </c>
      <c r="E34" s="9" t="n">
        <v>46185</v>
      </c>
      <c r="F34" s="8" t="n">
        <v>38643.473</v>
      </c>
      <c r="G34" s="9" t="n">
        <v>46234</v>
      </c>
      <c r="H34" s="8" t="n">
        <v>38643.473</v>
      </c>
      <c r="I34" s="8" t="n">
        <v>77286.946</v>
      </c>
      <c r="J34" s="10" t="n">
        <v>2.132195942871929</v>
      </c>
      <c r="K34" s="11" t="inlineStr">
        <is>
          <t>Gap aprobación: 49d</t>
        </is>
      </c>
    </row>
    <row r="35" ht="28" customHeight="1">
      <c r="A35" s="24" t="inlineStr">
        <is>
          <t>OC</t>
        </is>
      </c>
      <c r="B35" s="25" t="inlineStr">
        <is>
          <t>Pos 120
SE#4 MT</t>
        </is>
      </c>
      <c r="C35" s="26" t="inlineStr">
        <is>
          <t>Sala Eléctrica N°4 MT lote 1</t>
        </is>
      </c>
      <c r="D35" s="27" t="n">
        <v>605581.3100000001</v>
      </c>
      <c r="E35" s="28" t="n">
        <v>46224</v>
      </c>
      <c r="F35" s="27" t="n">
        <v>60558.13100000001</v>
      </c>
      <c r="G35" s="28" t="n">
        <v>46244</v>
      </c>
      <c r="H35" s="27" t="n">
        <v>60558.13100000001</v>
      </c>
      <c r="I35" s="27" t="n">
        <v>121116.262</v>
      </c>
      <c r="J35" s="29" t="n">
        <v>3.341361197688075</v>
      </c>
      <c r="K35" s="30" t="inlineStr">
        <is>
          <t>Gap aprobación: 20d</t>
        </is>
      </c>
    </row>
    <row r="36" ht="28" customHeight="1">
      <c r="A36" s="5" t="inlineStr">
        <is>
          <t>OC</t>
        </is>
      </c>
      <c r="B36" s="6" t="inlineStr">
        <is>
          <t>Pos 130
102-TGMT-001/003</t>
        </is>
      </c>
      <c r="C36" s="7" t="inlineStr">
        <is>
          <t>SWG MT – Tableros lote 2</t>
        </is>
      </c>
      <c r="D36" s="8" t="n">
        <v>386434.73</v>
      </c>
      <c r="E36" s="9" t="n">
        <v>46185</v>
      </c>
      <c r="F36" s="8" t="n">
        <v>38643.473</v>
      </c>
      <c r="G36" s="9" t="n">
        <v>46234</v>
      </c>
      <c r="H36" s="8" t="n">
        <v>38643.473</v>
      </c>
      <c r="I36" s="8" t="n">
        <v>77286.946</v>
      </c>
      <c r="J36" s="10" t="n">
        <v>2.132195942871929</v>
      </c>
      <c r="K36" s="11" t="inlineStr">
        <is>
          <t>Gap aprobación: 49d</t>
        </is>
      </c>
    </row>
    <row r="37" ht="28" customHeight="1">
      <c r="A37" s="24" t="inlineStr">
        <is>
          <t>OC</t>
        </is>
      </c>
      <c r="B37" s="25" t="inlineStr">
        <is>
          <t>Pos 140
SE#4 MT</t>
        </is>
      </c>
      <c r="C37" s="26" t="inlineStr">
        <is>
          <t>Sala Eléctrica N°4 MT lote 2</t>
        </is>
      </c>
      <c r="D37" s="27" t="n">
        <v>605581.3100000001</v>
      </c>
      <c r="E37" s="28" t="n">
        <v>46224</v>
      </c>
      <c r="F37" s="27" t="n">
        <v>60558.13100000001</v>
      </c>
      <c r="G37" s="28" t="n">
        <v>46244</v>
      </c>
      <c r="H37" s="27" t="n">
        <v>60558.13100000001</v>
      </c>
      <c r="I37" s="27" t="n">
        <v>121116.262</v>
      </c>
      <c r="J37" s="29" t="n">
        <v>3.341361197688075</v>
      </c>
      <c r="K37" s="30" t="inlineStr">
        <is>
          <t>Gap aprobación: 20d</t>
        </is>
      </c>
    </row>
    <row r="38" ht="28" customHeight="1">
      <c r="A38" s="24" t="inlineStr">
        <is>
          <t>OC</t>
        </is>
      </c>
      <c r="B38" s="25" t="inlineStr">
        <is>
          <t>Pos 150
SE#4 MT</t>
        </is>
      </c>
      <c r="C38" s="26" t="inlineStr">
        <is>
          <t>Sala Eléctrica N°4 MT lote 3</t>
        </is>
      </c>
      <c r="D38" s="27" t="n">
        <v>605581.3100000001</v>
      </c>
      <c r="E38" s="28" t="n">
        <v>46224</v>
      </c>
      <c r="F38" s="27" t="n">
        <v>60558.13100000001</v>
      </c>
      <c r="G38" s="28" t="n">
        <v>46244</v>
      </c>
      <c r="H38" s="27" t="n">
        <v>60558.13100000001</v>
      </c>
      <c r="I38" s="27" t="n">
        <v>121116.262</v>
      </c>
      <c r="J38" s="29" t="n">
        <v>3.341361197688075</v>
      </c>
      <c r="K38" s="30" t="inlineStr">
        <is>
          <t>Gap aprobación: 20d</t>
        </is>
      </c>
    </row>
    <row r="39" ht="20" customHeight="1">
      <c r="A39" s="31" t="inlineStr">
        <is>
          <t>SUBTOTAL OC  (10 ítems)</t>
        </is>
      </c>
      <c r="D39" s="32" t="n">
        <v>3624758.14</v>
      </c>
      <c r="E39" s="31" t="inlineStr">
        <is>
          <t>→ Hito 1</t>
        </is>
      </c>
      <c r="F39" s="32" t="n">
        <v>362475.814</v>
      </c>
      <c r="G39" s="31" t="inlineStr">
        <is>
          <t>→ Hito 2</t>
        </is>
      </c>
      <c r="H39" s="32" t="n">
        <v>362475.814</v>
      </c>
      <c r="I39" s="32" t="n">
        <v>724951.628</v>
      </c>
      <c r="J39" s="33" t="n">
        <v>20</v>
      </c>
      <c r="K39" s="34" t="inlineStr"/>
    </row>
    <row r="41" ht="22" customHeight="1">
      <c r="A41" s="35" t="inlineStr">
        <is>
          <t>TOTAL COMBINADO S3 + S4</t>
        </is>
      </c>
      <c r="D41" s="36" t="n">
        <v>11652662.11</v>
      </c>
      <c r="E41" s="37" t="inlineStr"/>
      <c r="F41" s="36" t="n">
        <v>1165266.211</v>
      </c>
      <c r="G41" s="37" t="inlineStr"/>
      <c r="H41" s="36" t="n">
        <v>1165266.211</v>
      </c>
      <c r="I41" s="36" t="n">
        <v>2330532.422</v>
      </c>
      <c r="J41" s="38" t="n">
        <v>20</v>
      </c>
      <c r="K41" s="39" t="inlineStr">
        <is>
          <t>JUN-AGO 2026</t>
        </is>
      </c>
    </row>
  </sheetData>
  <mergeCells count="7">
    <mergeCell ref="A41:C41"/>
    <mergeCell ref="A4:K4"/>
    <mergeCell ref="A2:K2"/>
    <mergeCell ref="A28:K28"/>
    <mergeCell ref="A39:C39"/>
    <mergeCell ref="A26:C2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</cols>
  <sheetData>
    <row r="1" ht="26" customHeight="1">
      <c r="A1" s="40" t="inlineStr">
        <is>
          <t>CURVA S – OC S3 (4508944971)  |  SALA 3 BT  |  USD 8.13M</t>
        </is>
      </c>
    </row>
    <row r="2" ht="18" customHeight="1">
      <c r="A2" s="2" t="inlineStr">
        <is>
          <t>Hito 1 – 10% RevA  |  Hito 2 – 10% Rev0  |  IB total OC S3: USD 1,605,581</t>
        </is>
      </c>
    </row>
    <row r="3" ht="18" customHeight="1">
      <c r="A3" s="41" t="inlineStr">
        <is>
          <t>CONCEPTO</t>
        </is>
      </c>
      <c r="B3" s="41" t="inlineStr">
        <is>
          <t>TOTAL</t>
        </is>
      </c>
      <c r="C3" s="41" t="inlineStr">
        <is>
          <t>JUNE 2026</t>
        </is>
      </c>
      <c r="D3" s="42" t="n"/>
      <c r="E3" s="42" t="n"/>
      <c r="F3" s="42" t="n"/>
      <c r="G3" s="43" t="n"/>
      <c r="H3" s="44" t="inlineStr">
        <is>
          <t>JULY 2026</t>
        </is>
      </c>
      <c r="I3" s="42" t="n"/>
      <c r="J3" s="42" t="n"/>
      <c r="K3" s="43" t="n"/>
      <c r="L3" s="45" t="inlineStr">
        <is>
          <t>AUGUST 2026</t>
        </is>
      </c>
      <c r="M3" s="42" t="n"/>
      <c r="N3" s="42" t="n"/>
      <c r="O3" s="42" t="n"/>
      <c r="P3" s="43" t="n"/>
      <c r="Q3" s="45" t="inlineStr">
        <is>
          <t>SEPTEMBER 2026</t>
        </is>
      </c>
    </row>
    <row r="4" ht="18" customHeight="1">
      <c r="A4" s="46" t="inlineStr">
        <is>
          <t>SEMANA (LUNES)</t>
        </is>
      </c>
      <c r="B4" s="22" t="inlineStr"/>
      <c r="C4" s="46" t="inlineStr">
        <is>
          <t>01-Jun</t>
        </is>
      </c>
      <c r="D4" s="46" t="inlineStr">
        <is>
          <t>08-Jun</t>
        </is>
      </c>
      <c r="E4" s="46" t="inlineStr">
        <is>
          <t>15-Jun</t>
        </is>
      </c>
      <c r="F4" s="46" t="inlineStr">
        <is>
          <t>22-Jun</t>
        </is>
      </c>
      <c r="G4" s="46" t="inlineStr">
        <is>
          <t>29-Jun</t>
        </is>
      </c>
      <c r="H4" s="46" t="inlineStr">
        <is>
          <t>06-Jul</t>
        </is>
      </c>
      <c r="I4" s="46" t="inlineStr">
        <is>
          <t>13-Jul</t>
        </is>
      </c>
      <c r="J4" s="46" t="inlineStr">
        <is>
          <t>20-Jul</t>
        </is>
      </c>
      <c r="K4" s="46" t="inlineStr">
        <is>
          <t>27-Jul</t>
        </is>
      </c>
      <c r="L4" s="46" t="inlineStr">
        <is>
          <t>03-Aug</t>
        </is>
      </c>
      <c r="M4" s="46" t="inlineStr">
        <is>
          <t>10-Aug</t>
        </is>
      </c>
      <c r="N4" s="46" t="inlineStr">
        <is>
          <t>17-Aug</t>
        </is>
      </c>
      <c r="O4" s="46" t="inlineStr">
        <is>
          <t>24-Aug</t>
        </is>
      </c>
      <c r="P4" s="46" t="inlineStr">
        <is>
          <t>31-Aug</t>
        </is>
      </c>
      <c r="Q4" s="46" t="inlineStr">
        <is>
          <t>07-Sep</t>
        </is>
      </c>
    </row>
    <row r="5" ht="18" customHeight="1">
      <c r="A5" s="47" t="inlineStr">
        <is>
          <t>Hito 1 – Envío RevA (USD)</t>
        </is>
      </c>
      <c r="B5" s="48" t="n">
        <v>802790.397</v>
      </c>
      <c r="C5" s="49" t="n"/>
      <c r="D5" s="48" t="n">
        <v>118668.149</v>
      </c>
      <c r="E5" s="48" t="n">
        <v>24250.812</v>
      </c>
      <c r="F5" s="48" t="n">
        <v>49067.083</v>
      </c>
      <c r="G5" s="49" t="n"/>
      <c r="H5" s="49" t="n"/>
      <c r="I5" s="49" t="n"/>
      <c r="J5" s="49" t="n"/>
      <c r="K5" s="48" t="n">
        <v>311408.535</v>
      </c>
      <c r="L5" s="49" t="n"/>
      <c r="M5" s="48" t="n">
        <v>299395.818</v>
      </c>
      <c r="N5" s="49" t="n"/>
      <c r="O5" s="49" t="n"/>
      <c r="P5" s="49" t="n"/>
      <c r="Q5" s="49" t="n"/>
    </row>
    <row r="6" ht="18" customHeight="1">
      <c r="A6" s="50" t="inlineStr">
        <is>
          <t>Hito 2 – Aprobación Rev0 (USD)</t>
        </is>
      </c>
      <c r="B6" s="51" t="n">
        <v>802790.397</v>
      </c>
      <c r="C6" s="49" t="n"/>
      <c r="D6" s="49" t="n"/>
      <c r="E6" s="49" t="n"/>
      <c r="F6" s="51" t="n">
        <v>82526.823</v>
      </c>
      <c r="G6" s="51" t="n">
        <v>24250.812</v>
      </c>
      <c r="H6" s="51" t="n">
        <v>36141.326</v>
      </c>
      <c r="I6" s="51" t="n">
        <v>49067.083</v>
      </c>
      <c r="J6" s="49" t="n"/>
      <c r="K6" s="49" t="n"/>
      <c r="L6" s="49" t="n"/>
      <c r="M6" s="49" t="n"/>
      <c r="N6" s="51" t="n">
        <v>311408.535</v>
      </c>
      <c r="O6" s="51" t="n">
        <v>299395.818</v>
      </c>
      <c r="P6" s="49" t="n"/>
      <c r="Q6" s="49" t="n"/>
    </row>
    <row r="7" ht="18" customHeight="1">
      <c r="A7" s="52" t="inlineStr">
        <is>
          <t>PAGO SEMANAL TOTAL (USD)</t>
        </is>
      </c>
      <c r="B7" s="53" t="n">
        <v>1605580.794</v>
      </c>
      <c r="C7" s="54" t="n"/>
      <c r="D7" s="53" t="n">
        <v>118668.149</v>
      </c>
      <c r="E7" s="53" t="n">
        <v>24250.812</v>
      </c>
      <c r="F7" s="53" t="n">
        <v>131593.906</v>
      </c>
      <c r="G7" s="53" t="n">
        <v>24250.812</v>
      </c>
      <c r="H7" s="53" t="n">
        <v>36141.326</v>
      </c>
      <c r="I7" s="53" t="n">
        <v>49067.083</v>
      </c>
      <c r="J7" s="54" t="n"/>
      <c r="K7" s="53" t="n">
        <v>311408.535</v>
      </c>
      <c r="L7" s="54" t="n"/>
      <c r="M7" s="53" t="n">
        <v>299395.818</v>
      </c>
      <c r="N7" s="53" t="n">
        <v>311408.535</v>
      </c>
      <c r="O7" s="53" t="n">
        <v>299395.818</v>
      </c>
      <c r="P7" s="54" t="n"/>
      <c r="Q7" s="54" t="n"/>
    </row>
    <row r="8" ht="18" customHeight="1">
      <c r="A8" s="47" t="inlineStr">
        <is>
          <t>Acum. Hito 1 (USD)</t>
        </is>
      </c>
      <c r="B8" s="48" t="n">
        <v>802790.397</v>
      </c>
      <c r="C8" s="49" t="n"/>
      <c r="D8" s="48" t="n">
        <v>118668.149</v>
      </c>
      <c r="E8" s="48" t="n">
        <v>142918.961</v>
      </c>
      <c r="F8" s="48" t="n">
        <v>191986.044</v>
      </c>
      <c r="G8" s="48" t="n">
        <v>191986.044</v>
      </c>
      <c r="H8" s="48" t="n">
        <v>191986.044</v>
      </c>
      <c r="I8" s="48" t="n">
        <v>191986.044</v>
      </c>
      <c r="J8" s="48" t="n">
        <v>191986.044</v>
      </c>
      <c r="K8" s="48" t="n">
        <v>503394.579</v>
      </c>
      <c r="L8" s="48" t="n">
        <v>503394.579</v>
      </c>
      <c r="M8" s="48" t="n">
        <v>802790.397</v>
      </c>
      <c r="N8" s="48" t="n">
        <v>802790.397</v>
      </c>
      <c r="O8" s="48" t="n">
        <v>802790.397</v>
      </c>
      <c r="P8" s="48" t="n">
        <v>802790.397</v>
      </c>
      <c r="Q8" s="48" t="n">
        <v>802790.397</v>
      </c>
    </row>
    <row r="9" ht="18" customHeight="1">
      <c r="A9" s="50" t="inlineStr">
        <is>
          <t>Acum. Hito 2 (USD)</t>
        </is>
      </c>
      <c r="B9" s="51" t="n">
        <v>802790.397</v>
      </c>
      <c r="C9" s="49" t="n"/>
      <c r="D9" s="49" t="n"/>
      <c r="E9" s="49" t="n"/>
      <c r="F9" s="51" t="n">
        <v>82526.823</v>
      </c>
      <c r="G9" s="51" t="n">
        <v>106777.635</v>
      </c>
      <c r="H9" s="51" t="n">
        <v>142918.961</v>
      </c>
      <c r="I9" s="51" t="n">
        <v>191986.044</v>
      </c>
      <c r="J9" s="51" t="n">
        <v>191986.044</v>
      </c>
      <c r="K9" s="51" t="n">
        <v>191986.044</v>
      </c>
      <c r="L9" s="51" t="n">
        <v>191986.044</v>
      </c>
      <c r="M9" s="51" t="n">
        <v>191986.044</v>
      </c>
      <c r="N9" s="51" t="n">
        <v>503394.579</v>
      </c>
      <c r="O9" s="51" t="n">
        <v>802790.397</v>
      </c>
      <c r="P9" s="51" t="n">
        <v>802790.397</v>
      </c>
      <c r="Q9" s="51" t="n">
        <v>802790.397</v>
      </c>
    </row>
    <row r="10" ht="18" customHeight="1">
      <c r="A10" s="55" t="inlineStr">
        <is>
          <t>CURVA S – ACUMULADO TOTAL</t>
        </is>
      </c>
      <c r="B10" s="56" t="n">
        <v>1605580.794</v>
      </c>
      <c r="C10" s="54" t="n"/>
      <c r="D10" s="56" t="n">
        <v>118668.149</v>
      </c>
      <c r="E10" s="56" t="n">
        <v>142918.961</v>
      </c>
      <c r="F10" s="56" t="n">
        <v>274512.867</v>
      </c>
      <c r="G10" s="56" t="n">
        <v>298763.679</v>
      </c>
      <c r="H10" s="56" t="n">
        <v>334905.005</v>
      </c>
      <c r="I10" s="56" t="n">
        <v>383972.088</v>
      </c>
      <c r="J10" s="56" t="n">
        <v>383972.088</v>
      </c>
      <c r="K10" s="56" t="n">
        <v>695380.6229999999</v>
      </c>
      <c r="L10" s="56" t="n">
        <v>695380.6229999999</v>
      </c>
      <c r="M10" s="56" t="n">
        <v>994776.441</v>
      </c>
      <c r="N10" s="56" t="n">
        <v>1306184.976</v>
      </c>
      <c r="O10" s="56" t="n">
        <v>1605580.794</v>
      </c>
      <c r="P10" s="56" t="n">
        <v>1605580.794</v>
      </c>
      <c r="Q10" s="56" t="n">
        <v>1605580.794</v>
      </c>
    </row>
    <row r="11" ht="18" customHeight="1">
      <c r="A11" s="57" t="inlineStr">
        <is>
          <t>% Avance IB (sobre 20% OC)</t>
        </is>
      </c>
      <c r="B11" s="58" t="n">
        <v>99.99999999999999</v>
      </c>
      <c r="C11" s="59" t="n"/>
      <c r="D11" s="58" t="n">
        <v>7.390979603359654</v>
      </c>
      <c r="E11" s="58" t="n">
        <v>8.901387057822516</v>
      </c>
      <c r="F11" s="58" t="n">
        <v>17.09741845604064</v>
      </c>
      <c r="G11" s="58" t="n">
        <v>18.60782591050351</v>
      </c>
      <c r="H11" s="58" t="n">
        <v>20.85880737061183</v>
      </c>
      <c r="I11" s="58" t="n">
        <v>23.91484062557863</v>
      </c>
      <c r="J11" s="58" t="n">
        <v>23.91484062557863</v>
      </c>
      <c r="K11" s="58" t="n">
        <v>43.31022304194303</v>
      </c>
      <c r="L11" s="58" t="n">
        <v>43.31022304194303</v>
      </c>
      <c r="M11" s="58" t="n">
        <v>61.95742031278931</v>
      </c>
      <c r="N11" s="58" t="n">
        <v>81.35280272915372</v>
      </c>
      <c r="O11" s="58" t="n">
        <v>99.99999999999999</v>
      </c>
      <c r="P11" s="58" t="n">
        <v>99.99999999999999</v>
      </c>
      <c r="Q11" s="58" t="n">
        <v>99.99999999999999</v>
      </c>
    </row>
    <row r="12" ht="6" customHeight="1"/>
    <row r="13" ht="16" customHeight="1">
      <c r="A13" s="41" t="inlineStr">
        <is>
          <t>GRÁFICO SIMPLIFICADO – CURVA S ACUMULADA</t>
        </is>
      </c>
      <c r="B13" s="22" t="inlineStr"/>
      <c r="C13" s="60" t="inlineStr">
        <is>
          <t>0%</t>
        </is>
      </c>
      <c r="D13" s="60" t="inlineStr">
        <is>
          <t>7%</t>
        </is>
      </c>
      <c r="E13" s="60" t="inlineStr">
        <is>
          <t>9%</t>
        </is>
      </c>
      <c r="F13" s="60" t="inlineStr">
        <is>
          <t>17%</t>
        </is>
      </c>
      <c r="G13" s="60" t="inlineStr">
        <is>
          <t>19%</t>
        </is>
      </c>
      <c r="H13" s="60" t="inlineStr">
        <is>
          <t>21%</t>
        </is>
      </c>
      <c r="I13" s="60" t="inlineStr">
        <is>
          <t>24%</t>
        </is>
      </c>
      <c r="J13" s="60" t="inlineStr">
        <is>
          <t>24%</t>
        </is>
      </c>
      <c r="K13" s="60" t="inlineStr">
        <is>
          <t>43%</t>
        </is>
      </c>
      <c r="L13" s="60" t="inlineStr">
        <is>
          <t>43%</t>
        </is>
      </c>
      <c r="M13" s="60" t="inlineStr">
        <is>
          <t>62%</t>
        </is>
      </c>
      <c r="N13" s="60" t="inlineStr">
        <is>
          <t>81%</t>
        </is>
      </c>
      <c r="O13" s="60" t="inlineStr">
        <is>
          <t>100%</t>
        </is>
      </c>
      <c r="P13" s="60" t="inlineStr">
        <is>
          <t>100%</t>
        </is>
      </c>
      <c r="Q13" s="60" t="inlineStr">
        <is>
          <t>100%</t>
        </is>
      </c>
    </row>
    <row r="14" ht="7" customHeight="1">
      <c r="A14" s="61" t="inlineStr">
        <is>
          <t>100%</t>
        </is>
      </c>
      <c r="B14" s="62" t="inlineStr"/>
      <c r="C14" s="63" t="n"/>
      <c r="D14" s="64" t="n"/>
      <c r="E14" s="64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</row>
    <row r="15" ht="7" customHeight="1">
      <c r="A15" s="61" t="inlineStr">
        <is>
          <t>93%</t>
        </is>
      </c>
      <c r="B15" s="62" t="inlineStr"/>
      <c r="C15" s="63" t="n"/>
      <c r="D15" s="63" t="n"/>
      <c r="E15" s="63" t="n"/>
      <c r="F15" s="64" t="n"/>
      <c r="G15" s="64" t="n"/>
      <c r="H15" s="64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</row>
    <row r="16" ht="7" customHeight="1">
      <c r="A16" s="61" t="inlineStr">
        <is>
          <t>87%</t>
        </is>
      </c>
      <c r="B16" s="62" t="inlineStr"/>
      <c r="C16" s="63" t="n"/>
      <c r="D16" s="63" t="n"/>
      <c r="E16" s="63" t="n"/>
      <c r="F16" s="64" t="n"/>
      <c r="G16" s="64" t="n"/>
      <c r="H16" s="64" t="n"/>
      <c r="I16" s="64" t="n"/>
      <c r="J16" s="65" t="n"/>
      <c r="K16" s="65" t="n"/>
      <c r="L16" s="65" t="n"/>
      <c r="M16" s="65" t="n"/>
      <c r="N16" s="65" t="n"/>
      <c r="O16" s="65" t="n"/>
      <c r="P16" s="65" t="n"/>
      <c r="Q16" s="65" t="n"/>
    </row>
    <row r="17" ht="7" customHeight="1">
      <c r="A17" s="61" t="inlineStr">
        <is>
          <t>80%</t>
        </is>
      </c>
      <c r="B17" s="62" t="inlineStr"/>
      <c r="C17" s="63" t="n"/>
      <c r="D17" s="63" t="n"/>
      <c r="E17" s="63" t="n"/>
      <c r="F17" s="63" t="n"/>
      <c r="G17" s="63" t="n"/>
      <c r="H17" s="63" t="n"/>
      <c r="I17" s="64" t="n"/>
      <c r="J17" s="65" t="n"/>
      <c r="K17" s="65" t="n"/>
      <c r="L17" s="65" t="n"/>
      <c r="M17" s="65" t="n"/>
      <c r="N17" s="65" t="n"/>
      <c r="O17" s="65" t="n"/>
      <c r="P17" s="65" t="n"/>
      <c r="Q17" s="65" t="n"/>
    </row>
    <row r="18" ht="7" customHeight="1">
      <c r="A18" s="61" t="inlineStr">
        <is>
          <t>73%</t>
        </is>
      </c>
      <c r="B18" s="62" t="inlineStr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64" t="n"/>
      <c r="L18" s="65" t="n"/>
      <c r="M18" s="65" t="n"/>
      <c r="N18" s="65" t="n"/>
      <c r="O18" s="65" t="n"/>
      <c r="P18" s="65" t="n"/>
      <c r="Q18" s="65" t="n"/>
    </row>
    <row r="19" ht="7" customHeight="1">
      <c r="A19" s="61" t="inlineStr">
        <is>
          <t>67%</t>
        </is>
      </c>
      <c r="B19" s="62" t="inlineStr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64" t="n"/>
      <c r="L19" s="65" t="n"/>
      <c r="M19" s="65" t="n"/>
      <c r="N19" s="65" t="n"/>
      <c r="O19" s="65" t="n"/>
      <c r="P19" s="65" t="n"/>
      <c r="Q19" s="65" t="n"/>
    </row>
    <row r="20" ht="7" customHeight="1">
      <c r="A20" s="61" t="inlineStr">
        <is>
          <t>60%</t>
        </is>
      </c>
      <c r="B20" s="62" t="inlineStr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5" t="n"/>
      <c r="N20" s="65" t="n"/>
      <c r="O20" s="65" t="n"/>
      <c r="P20" s="65" t="n"/>
      <c r="Q20" s="65" t="n"/>
    </row>
    <row r="21" ht="7" customHeight="1">
      <c r="A21" s="61" t="inlineStr">
        <is>
          <t>53%</t>
        </is>
      </c>
      <c r="B21" s="62" t="inlineStr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4" t="n"/>
      <c r="N21" s="65" t="n"/>
      <c r="O21" s="65" t="n"/>
      <c r="P21" s="65" t="n"/>
      <c r="Q21" s="65" t="n"/>
    </row>
    <row r="22" ht="7" customHeight="1">
      <c r="A22" s="61" t="inlineStr">
        <is>
          <t>47%</t>
        </is>
      </c>
      <c r="B22" s="62" t="inlineStr"/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4" t="n"/>
      <c r="N22" s="65" t="n"/>
      <c r="O22" s="65" t="n"/>
      <c r="P22" s="65" t="n"/>
      <c r="Q22" s="65" t="n"/>
    </row>
    <row r="23" ht="7" customHeight="1">
      <c r="A23" s="61" t="inlineStr">
        <is>
          <t>40%</t>
        </is>
      </c>
      <c r="B23" s="62" t="inlineStr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5" t="n"/>
      <c r="O23" s="65" t="n"/>
      <c r="P23" s="65" t="n"/>
      <c r="Q23" s="65" t="n"/>
    </row>
    <row r="24" ht="7" customHeight="1">
      <c r="A24" s="61" t="inlineStr">
        <is>
          <t>33%</t>
        </is>
      </c>
      <c r="B24" s="62" t="inlineStr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4" t="n"/>
      <c r="O24" s="65" t="n"/>
      <c r="P24" s="65" t="n"/>
      <c r="Q24" s="65" t="n"/>
    </row>
    <row r="25" ht="7" customHeight="1">
      <c r="A25" s="61" t="inlineStr">
        <is>
          <t>27%</t>
        </is>
      </c>
      <c r="B25" s="62" t="inlineStr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4" t="n"/>
      <c r="O25" s="65" t="n"/>
      <c r="P25" s="65" t="n"/>
      <c r="Q25" s="65" t="n"/>
    </row>
    <row r="26" ht="7" customHeight="1">
      <c r="A26" s="61" t="inlineStr">
        <is>
          <t>20%</t>
        </is>
      </c>
      <c r="B26" s="62" t="inlineStr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5" t="n"/>
      <c r="P26" s="65" t="n"/>
      <c r="Q26" s="65" t="n"/>
    </row>
    <row r="27" ht="7" customHeight="1">
      <c r="A27" s="61" t="inlineStr">
        <is>
          <t>13%</t>
        </is>
      </c>
      <c r="B27" s="62" t="inlineStr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4" t="n"/>
      <c r="P27" s="65" t="n"/>
      <c r="Q27" s="65" t="n"/>
    </row>
    <row r="28" ht="7" customHeight="1">
      <c r="A28" s="61" t="inlineStr">
        <is>
          <t>7%</t>
        </is>
      </c>
      <c r="B28" s="62" t="inlineStr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4" t="n"/>
      <c r="P28" s="65" t="n"/>
      <c r="Q28" s="65" t="n"/>
    </row>
    <row r="29" ht="16" customHeight="1">
      <c r="A29" s="41" t="inlineStr">
        <is>
          <t>◀ CURVA S ACUMULADA</t>
        </is>
      </c>
      <c r="C29" s="66" t="inlineStr">
        <is>
          <t>01-Jun</t>
        </is>
      </c>
      <c r="D29" s="66" t="inlineStr">
        <is>
          <t>08-Jun</t>
        </is>
      </c>
      <c r="E29" s="66" t="inlineStr">
        <is>
          <t>15-Jun</t>
        </is>
      </c>
      <c r="F29" s="66" t="inlineStr">
        <is>
          <t>22-Jun</t>
        </is>
      </c>
      <c r="G29" s="66" t="inlineStr">
        <is>
          <t>29-Jun</t>
        </is>
      </c>
      <c r="H29" s="66" t="inlineStr">
        <is>
          <t>06-Jul</t>
        </is>
      </c>
      <c r="I29" s="66" t="inlineStr">
        <is>
          <t>13-Jul</t>
        </is>
      </c>
      <c r="J29" s="66" t="inlineStr">
        <is>
          <t>20-Jul</t>
        </is>
      </c>
      <c r="K29" s="66" t="inlineStr">
        <is>
          <t>27-Jul</t>
        </is>
      </c>
      <c r="L29" s="66" t="inlineStr">
        <is>
          <t>03-Aug</t>
        </is>
      </c>
      <c r="M29" s="66" t="inlineStr">
        <is>
          <t>10-Aug</t>
        </is>
      </c>
      <c r="N29" s="66" t="inlineStr">
        <is>
          <t>17-Aug</t>
        </is>
      </c>
      <c r="O29" s="66" t="inlineStr">
        <is>
          <t>24-Aug</t>
        </is>
      </c>
      <c r="P29" s="66" t="inlineStr">
        <is>
          <t>31-Aug</t>
        </is>
      </c>
      <c r="Q29" s="66" t="inlineStr">
        <is>
          <t>07-Sep</t>
        </is>
      </c>
    </row>
    <row r="30" ht="6" customHeight="1"/>
  </sheetData>
  <mergeCells count="6">
    <mergeCell ref="A1:T1"/>
    <mergeCell ref="L3:P3"/>
    <mergeCell ref="A29:B29"/>
    <mergeCell ref="H3:K3"/>
    <mergeCell ref="A2:T2"/>
    <mergeCell ref="C3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</cols>
  <sheetData>
    <row r="1" ht="26" customHeight="1">
      <c r="A1" s="67" t="inlineStr">
        <is>
          <t>CURVA S – OC S4 (4508944973)  |  SALA 4 MT  |  USD 3.69M</t>
        </is>
      </c>
    </row>
    <row r="2" ht="18" customHeight="1">
      <c r="A2" s="2" t="inlineStr">
        <is>
          <t>Hito 1 – 10% RevA  |  Hito 2 – 10% Rev0  |  IB total OC S4: USD 724,952</t>
        </is>
      </c>
    </row>
    <row r="3" ht="18" customHeight="1">
      <c r="A3" s="44" t="inlineStr">
        <is>
          <t>CONCEPTO</t>
        </is>
      </c>
      <c r="B3" s="44" t="inlineStr">
        <is>
          <t>TOTAL</t>
        </is>
      </c>
      <c r="C3" s="41" t="inlineStr">
        <is>
          <t>JUNE 2026</t>
        </is>
      </c>
      <c r="D3" s="42" t="n"/>
      <c r="E3" s="42" t="n"/>
      <c r="F3" s="42" t="n"/>
      <c r="G3" s="43" t="n"/>
      <c r="H3" s="44" t="inlineStr">
        <is>
          <t>JULY 2026</t>
        </is>
      </c>
      <c r="I3" s="42" t="n"/>
      <c r="J3" s="42" t="n"/>
      <c r="K3" s="43" t="n"/>
      <c r="L3" s="45" t="inlineStr">
        <is>
          <t>AUGUST 2026</t>
        </is>
      </c>
      <c r="M3" s="42" t="n"/>
      <c r="N3" s="42" t="n"/>
      <c r="O3" s="42" t="n"/>
      <c r="P3" s="43" t="n"/>
      <c r="Q3" s="45" t="inlineStr">
        <is>
          <t>SEPTEMBER 2026</t>
        </is>
      </c>
    </row>
    <row r="4" ht="18" customHeight="1">
      <c r="A4" s="68" t="inlineStr">
        <is>
          <t>SEMANA (LUNES)</t>
        </is>
      </c>
      <c r="B4" s="34" t="inlineStr"/>
      <c r="C4" s="68" t="inlineStr">
        <is>
          <t>01-Jun</t>
        </is>
      </c>
      <c r="D4" s="68" t="inlineStr">
        <is>
          <t>08-Jun</t>
        </is>
      </c>
      <c r="E4" s="68" t="inlineStr">
        <is>
          <t>15-Jun</t>
        </is>
      </c>
      <c r="F4" s="68" t="inlineStr">
        <is>
          <t>22-Jun</t>
        </is>
      </c>
      <c r="G4" s="68" t="inlineStr">
        <is>
          <t>29-Jun</t>
        </is>
      </c>
      <c r="H4" s="68" t="inlineStr">
        <is>
          <t>06-Jul</t>
        </is>
      </c>
      <c r="I4" s="68" t="inlineStr">
        <is>
          <t>13-Jul</t>
        </is>
      </c>
      <c r="J4" s="68" t="inlineStr">
        <is>
          <t>20-Jul</t>
        </is>
      </c>
      <c r="K4" s="68" t="inlineStr">
        <is>
          <t>27-Jul</t>
        </is>
      </c>
      <c r="L4" s="68" t="inlineStr">
        <is>
          <t>03-Aug</t>
        </is>
      </c>
      <c r="M4" s="68" t="inlineStr">
        <is>
          <t>10-Aug</t>
        </is>
      </c>
      <c r="N4" s="68" t="inlineStr">
        <is>
          <t>17-Aug</t>
        </is>
      </c>
      <c r="O4" s="68" t="inlineStr">
        <is>
          <t>24-Aug</t>
        </is>
      </c>
      <c r="P4" s="68" t="inlineStr">
        <is>
          <t>31-Aug</t>
        </is>
      </c>
      <c r="Q4" s="68" t="inlineStr">
        <is>
          <t>07-Sep</t>
        </is>
      </c>
    </row>
    <row r="5" ht="18" customHeight="1">
      <c r="A5" s="69" t="inlineStr">
        <is>
          <t>Hito 1 – Envío RevA (USD)</t>
        </is>
      </c>
      <c r="B5" s="70" t="n">
        <v>362475.814</v>
      </c>
      <c r="C5" s="49" t="n"/>
      <c r="D5" s="70" t="n">
        <v>141106.165</v>
      </c>
      <c r="E5" s="70" t="n">
        <v>39695.256</v>
      </c>
      <c r="F5" s="49" t="n"/>
      <c r="G5" s="49" t="n"/>
      <c r="H5" s="49" t="n"/>
      <c r="I5" s="49" t="n"/>
      <c r="J5" s="70" t="n">
        <v>181674.393</v>
      </c>
      <c r="K5" s="49" t="n"/>
      <c r="L5" s="49" t="n"/>
      <c r="M5" s="49" t="n"/>
      <c r="N5" s="49" t="n"/>
      <c r="O5" s="49" t="n"/>
      <c r="P5" s="49" t="n"/>
      <c r="Q5" s="49" t="n"/>
    </row>
    <row r="6" ht="18" customHeight="1">
      <c r="A6" s="50" t="inlineStr">
        <is>
          <t>Hito 2 – Aprobación Rev0 (USD)</t>
        </is>
      </c>
      <c r="B6" s="51" t="n">
        <v>362475.814</v>
      </c>
      <c r="C6" s="49" t="n"/>
      <c r="D6" s="49" t="n"/>
      <c r="E6" s="49" t="n"/>
      <c r="F6" s="51" t="n">
        <v>5459.68</v>
      </c>
      <c r="G6" s="51" t="n">
        <v>39695.256</v>
      </c>
      <c r="H6" s="51" t="n">
        <v>6611.081</v>
      </c>
      <c r="I6" s="49" t="n"/>
      <c r="J6" s="49" t="n"/>
      <c r="K6" s="51" t="n">
        <v>129035.404</v>
      </c>
      <c r="L6" s="49" t="n"/>
      <c r="M6" s="51" t="n">
        <v>181674.393</v>
      </c>
      <c r="N6" s="49" t="n"/>
      <c r="O6" s="49" t="n"/>
      <c r="P6" s="49" t="n"/>
      <c r="Q6" s="49" t="n"/>
    </row>
    <row r="7" ht="18" customHeight="1">
      <c r="A7" s="52" t="inlineStr">
        <is>
          <t>PAGO SEMANAL TOTAL (USD)</t>
        </is>
      </c>
      <c r="B7" s="53" t="n">
        <v>724951.628</v>
      </c>
      <c r="C7" s="54" t="n"/>
      <c r="D7" s="53" t="n">
        <v>141106.165</v>
      </c>
      <c r="E7" s="53" t="n">
        <v>39695.256</v>
      </c>
      <c r="F7" s="53" t="n">
        <v>5459.68</v>
      </c>
      <c r="G7" s="53" t="n">
        <v>39695.256</v>
      </c>
      <c r="H7" s="53" t="n">
        <v>6611.081</v>
      </c>
      <c r="I7" s="54" t="n"/>
      <c r="J7" s="53" t="n">
        <v>181674.393</v>
      </c>
      <c r="K7" s="53" t="n">
        <v>129035.404</v>
      </c>
      <c r="L7" s="54" t="n"/>
      <c r="M7" s="53" t="n">
        <v>181674.393</v>
      </c>
      <c r="N7" s="54" t="n"/>
      <c r="O7" s="54" t="n"/>
      <c r="P7" s="54" t="n"/>
      <c r="Q7" s="54" t="n"/>
    </row>
    <row r="8" ht="18" customHeight="1">
      <c r="A8" s="69" t="inlineStr">
        <is>
          <t>Acum. Hito 1 (USD)</t>
        </is>
      </c>
      <c r="B8" s="70" t="n">
        <v>362475.814</v>
      </c>
      <c r="C8" s="49" t="n"/>
      <c r="D8" s="70" t="n">
        <v>141106.165</v>
      </c>
      <c r="E8" s="70" t="n">
        <v>180801.421</v>
      </c>
      <c r="F8" s="70" t="n">
        <v>180801.421</v>
      </c>
      <c r="G8" s="70" t="n">
        <v>180801.421</v>
      </c>
      <c r="H8" s="70" t="n">
        <v>180801.421</v>
      </c>
      <c r="I8" s="70" t="n">
        <v>180801.421</v>
      </c>
      <c r="J8" s="70" t="n">
        <v>362475.814</v>
      </c>
      <c r="K8" s="70" t="n">
        <v>362475.814</v>
      </c>
      <c r="L8" s="70" t="n">
        <v>362475.814</v>
      </c>
      <c r="M8" s="70" t="n">
        <v>362475.814</v>
      </c>
      <c r="N8" s="70" t="n">
        <v>362475.814</v>
      </c>
      <c r="O8" s="70" t="n">
        <v>362475.814</v>
      </c>
      <c r="P8" s="70" t="n">
        <v>362475.814</v>
      </c>
      <c r="Q8" s="70" t="n">
        <v>362475.814</v>
      </c>
    </row>
    <row r="9" ht="18" customHeight="1">
      <c r="A9" s="50" t="inlineStr">
        <is>
          <t>Acum. Hito 2 (USD)</t>
        </is>
      </c>
      <c r="B9" s="51" t="n">
        <v>362475.814</v>
      </c>
      <c r="C9" s="49" t="n"/>
      <c r="D9" s="49" t="n"/>
      <c r="E9" s="49" t="n"/>
      <c r="F9" s="51" t="n">
        <v>5459.68</v>
      </c>
      <c r="G9" s="51" t="n">
        <v>45154.936</v>
      </c>
      <c r="H9" s="51" t="n">
        <v>51766.017</v>
      </c>
      <c r="I9" s="51" t="n">
        <v>51766.017</v>
      </c>
      <c r="J9" s="51" t="n">
        <v>51766.017</v>
      </c>
      <c r="K9" s="51" t="n">
        <v>180801.421</v>
      </c>
      <c r="L9" s="51" t="n">
        <v>180801.421</v>
      </c>
      <c r="M9" s="51" t="n">
        <v>362475.814</v>
      </c>
      <c r="N9" s="51" t="n">
        <v>362475.814</v>
      </c>
      <c r="O9" s="51" t="n">
        <v>362475.814</v>
      </c>
      <c r="P9" s="51" t="n">
        <v>362475.814</v>
      </c>
      <c r="Q9" s="51" t="n">
        <v>362475.814</v>
      </c>
    </row>
    <row r="10" ht="18" customHeight="1">
      <c r="A10" s="55" t="inlineStr">
        <is>
          <t>CURVA S – ACUMULADO TOTAL</t>
        </is>
      </c>
      <c r="B10" s="56" t="n">
        <v>724951.628</v>
      </c>
      <c r="C10" s="54" t="n"/>
      <c r="D10" s="56" t="n">
        <v>141106.165</v>
      </c>
      <c r="E10" s="56" t="n">
        <v>180801.421</v>
      </c>
      <c r="F10" s="56" t="n">
        <v>186261.101</v>
      </c>
      <c r="G10" s="56" t="n">
        <v>225956.357</v>
      </c>
      <c r="H10" s="56" t="n">
        <v>232567.438</v>
      </c>
      <c r="I10" s="56" t="n">
        <v>232567.438</v>
      </c>
      <c r="J10" s="56" t="n">
        <v>414241.831</v>
      </c>
      <c r="K10" s="56" t="n">
        <v>543277.235</v>
      </c>
      <c r="L10" s="56" t="n">
        <v>543277.235</v>
      </c>
      <c r="M10" s="56" t="n">
        <v>724951.628</v>
      </c>
      <c r="N10" s="56" t="n">
        <v>724951.628</v>
      </c>
      <c r="O10" s="56" t="n">
        <v>724951.628</v>
      </c>
      <c r="P10" s="56" t="n">
        <v>724951.628</v>
      </c>
      <c r="Q10" s="56" t="n">
        <v>724951.628</v>
      </c>
    </row>
    <row r="11" ht="18" customHeight="1">
      <c r="A11" s="57" t="inlineStr">
        <is>
          <t>% Avance IB (sobre 20% OC)</t>
        </is>
      </c>
      <c r="B11" s="58" t="n">
        <v>100</v>
      </c>
      <c r="C11" s="59" t="n"/>
      <c r="D11" s="58" t="n">
        <v>19.46421796296732</v>
      </c>
      <c r="E11" s="58" t="n">
        <v>24.93979101733943</v>
      </c>
      <c r="F11" s="58" t="n">
        <v>25.69290057515396</v>
      </c>
      <c r="G11" s="58" t="n">
        <v>31.16847362952608</v>
      </c>
      <c r="H11" s="58" t="n">
        <v>32.08040771514758</v>
      </c>
      <c r="I11" s="58" t="n">
        <v>32.08040771514758</v>
      </c>
      <c r="J11" s="58" t="n">
        <v>57.14061669780814</v>
      </c>
      <c r="K11" s="58" t="n">
        <v>74.93979101733943</v>
      </c>
      <c r="L11" s="58" t="n">
        <v>74.93979101733943</v>
      </c>
      <c r="M11" s="58" t="n">
        <v>100</v>
      </c>
      <c r="N11" s="58" t="n">
        <v>100</v>
      </c>
      <c r="O11" s="58" t="n">
        <v>100</v>
      </c>
      <c r="P11" s="58" t="n">
        <v>100</v>
      </c>
      <c r="Q11" s="58" t="n">
        <v>100</v>
      </c>
    </row>
    <row r="12" ht="6" customHeight="1"/>
    <row r="13" ht="16" customHeight="1">
      <c r="A13" s="44" t="inlineStr">
        <is>
          <t>GRÁFICO SIMPLIFICADO – CURVA S ACUMULADA</t>
        </is>
      </c>
      <c r="B13" s="34" t="inlineStr"/>
      <c r="C13" s="71" t="inlineStr">
        <is>
          <t>0%</t>
        </is>
      </c>
      <c r="D13" s="71" t="inlineStr">
        <is>
          <t>19%</t>
        </is>
      </c>
      <c r="E13" s="71" t="inlineStr">
        <is>
          <t>25%</t>
        </is>
      </c>
      <c r="F13" s="71" t="inlineStr">
        <is>
          <t>26%</t>
        </is>
      </c>
      <c r="G13" s="71" t="inlineStr">
        <is>
          <t>31%</t>
        </is>
      </c>
      <c r="H13" s="71" t="inlineStr">
        <is>
          <t>32%</t>
        </is>
      </c>
      <c r="I13" s="71" t="inlineStr">
        <is>
          <t>32%</t>
        </is>
      </c>
      <c r="J13" s="71" t="inlineStr">
        <is>
          <t>57%</t>
        </is>
      </c>
      <c r="K13" s="71" t="inlineStr">
        <is>
          <t>75%</t>
        </is>
      </c>
      <c r="L13" s="71" t="inlineStr">
        <is>
          <t>75%</t>
        </is>
      </c>
      <c r="M13" s="71" t="inlineStr">
        <is>
          <t>100%</t>
        </is>
      </c>
      <c r="N13" s="71" t="inlineStr">
        <is>
          <t>100%</t>
        </is>
      </c>
      <c r="O13" s="71" t="inlineStr">
        <is>
          <t>100%</t>
        </is>
      </c>
      <c r="P13" s="71" t="inlineStr">
        <is>
          <t>100%</t>
        </is>
      </c>
      <c r="Q13" s="71" t="inlineStr">
        <is>
          <t>100%</t>
        </is>
      </c>
    </row>
    <row r="14" ht="7" customHeight="1">
      <c r="A14" s="61" t="inlineStr">
        <is>
          <t>100%</t>
        </is>
      </c>
      <c r="B14" s="62" t="inlineStr"/>
      <c r="C14" s="63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</row>
    <row r="15" ht="7" customHeight="1">
      <c r="A15" s="61" t="inlineStr">
        <is>
          <t>93%</t>
        </is>
      </c>
      <c r="B15" s="62" t="inlineStr"/>
      <c r="C15" s="63" t="n"/>
      <c r="D15" s="73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</row>
    <row r="16" ht="7" customHeight="1">
      <c r="A16" s="61" t="inlineStr">
        <is>
          <t>87%</t>
        </is>
      </c>
      <c r="B16" s="62" t="inlineStr"/>
      <c r="C16" s="63" t="n"/>
      <c r="D16" s="73" t="n"/>
      <c r="E16" s="73" t="n"/>
      <c r="F16" s="73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</row>
    <row r="17" ht="7" customHeight="1">
      <c r="A17" s="61" t="inlineStr">
        <is>
          <t>80%</t>
        </is>
      </c>
      <c r="B17" s="62" t="inlineStr"/>
      <c r="C17" s="63" t="n"/>
      <c r="D17" s="63" t="n"/>
      <c r="E17" s="73" t="n"/>
      <c r="F17" s="73" t="n"/>
      <c r="G17" s="73" t="n"/>
      <c r="H17" s="73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</row>
    <row r="18" ht="7" customHeight="1">
      <c r="A18" s="61" t="inlineStr">
        <is>
          <t>73%</t>
        </is>
      </c>
      <c r="B18" s="62" t="inlineStr"/>
      <c r="C18" s="63" t="n"/>
      <c r="D18" s="63" t="n"/>
      <c r="E18" s="63" t="n"/>
      <c r="F18" s="63" t="n"/>
      <c r="G18" s="73" t="n"/>
      <c r="H18" s="73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</row>
    <row r="19" ht="7" customHeight="1">
      <c r="A19" s="61" t="inlineStr">
        <is>
          <t>67%</t>
        </is>
      </c>
      <c r="B19" s="62" t="inlineStr"/>
      <c r="C19" s="63" t="n"/>
      <c r="D19" s="63" t="n"/>
      <c r="E19" s="63" t="n"/>
      <c r="F19" s="63" t="n"/>
      <c r="G19" s="63" t="n"/>
      <c r="H19" s="63" t="n"/>
      <c r="I19" s="63" t="n"/>
      <c r="J19" s="72" t="n"/>
      <c r="K19" s="72" t="n"/>
      <c r="L19" s="72" t="n"/>
      <c r="M19" s="72" t="n"/>
      <c r="N19" s="72" t="n"/>
      <c r="O19" s="72" t="n"/>
      <c r="P19" s="72" t="n"/>
      <c r="Q19" s="72" t="n"/>
    </row>
    <row r="20" ht="7" customHeight="1">
      <c r="A20" s="61" t="inlineStr">
        <is>
          <t>60%</t>
        </is>
      </c>
      <c r="B20" s="62" t="inlineStr"/>
      <c r="C20" s="63" t="n"/>
      <c r="D20" s="63" t="n"/>
      <c r="E20" s="63" t="n"/>
      <c r="F20" s="63" t="n"/>
      <c r="G20" s="63" t="n"/>
      <c r="H20" s="63" t="n"/>
      <c r="I20" s="63" t="n"/>
      <c r="J20" s="72" t="n"/>
      <c r="K20" s="72" t="n"/>
      <c r="L20" s="72" t="n"/>
      <c r="M20" s="72" t="n"/>
      <c r="N20" s="72" t="n"/>
      <c r="O20" s="72" t="n"/>
      <c r="P20" s="72" t="n"/>
      <c r="Q20" s="72" t="n"/>
    </row>
    <row r="21" ht="7" customHeight="1">
      <c r="A21" s="61" t="inlineStr">
        <is>
          <t>53%</t>
        </is>
      </c>
      <c r="B21" s="62" t="inlineStr"/>
      <c r="C21" s="63" t="n"/>
      <c r="D21" s="63" t="n"/>
      <c r="E21" s="63" t="n"/>
      <c r="F21" s="63" t="n"/>
      <c r="G21" s="63" t="n"/>
      <c r="H21" s="63" t="n"/>
      <c r="I21" s="63" t="n"/>
      <c r="J21" s="73" t="n"/>
      <c r="K21" s="72" t="n"/>
      <c r="L21" s="72" t="n"/>
      <c r="M21" s="72" t="n"/>
      <c r="N21" s="72" t="n"/>
      <c r="O21" s="72" t="n"/>
      <c r="P21" s="72" t="n"/>
      <c r="Q21" s="72" t="n"/>
    </row>
    <row r="22" ht="7" customHeight="1">
      <c r="A22" s="61" t="inlineStr">
        <is>
          <t>47%</t>
        </is>
      </c>
      <c r="B22" s="62" t="inlineStr"/>
      <c r="C22" s="63" t="n"/>
      <c r="D22" s="63" t="n"/>
      <c r="E22" s="63" t="n"/>
      <c r="F22" s="63" t="n"/>
      <c r="G22" s="63" t="n"/>
      <c r="H22" s="63" t="n"/>
      <c r="I22" s="63" t="n"/>
      <c r="J22" s="73" t="n"/>
      <c r="K22" s="72" t="n"/>
      <c r="L22" s="72" t="n"/>
      <c r="M22" s="72" t="n"/>
      <c r="N22" s="72" t="n"/>
      <c r="O22" s="72" t="n"/>
      <c r="P22" s="72" t="n"/>
      <c r="Q22" s="72" t="n"/>
    </row>
    <row r="23" ht="7" customHeight="1">
      <c r="A23" s="61" t="inlineStr">
        <is>
          <t>40%</t>
        </is>
      </c>
      <c r="B23" s="62" t="inlineStr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73" t="n"/>
      <c r="L23" s="72" t="n"/>
      <c r="M23" s="72" t="n"/>
      <c r="N23" s="72" t="n"/>
      <c r="O23" s="72" t="n"/>
      <c r="P23" s="72" t="n"/>
      <c r="Q23" s="72" t="n"/>
    </row>
    <row r="24" ht="7" customHeight="1">
      <c r="A24" s="61" t="inlineStr">
        <is>
          <t>33%</t>
        </is>
      </c>
      <c r="B24" s="62" t="inlineStr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73" t="n"/>
      <c r="L24" s="72" t="n"/>
      <c r="M24" s="72" t="n"/>
      <c r="N24" s="72" t="n"/>
      <c r="O24" s="72" t="n"/>
      <c r="P24" s="72" t="n"/>
      <c r="Q24" s="72" t="n"/>
    </row>
    <row r="25" ht="7" customHeight="1">
      <c r="A25" s="61" t="inlineStr">
        <is>
          <t>27%</t>
        </is>
      </c>
      <c r="B25" s="62" t="inlineStr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72" t="n"/>
      <c r="N25" s="72" t="n"/>
      <c r="O25" s="72" t="n"/>
      <c r="P25" s="72" t="n"/>
      <c r="Q25" s="72" t="n"/>
    </row>
    <row r="26" ht="7" customHeight="1">
      <c r="A26" s="61" t="inlineStr">
        <is>
          <t>20%</t>
        </is>
      </c>
      <c r="B26" s="62" t="inlineStr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72" t="n"/>
      <c r="N26" s="72" t="n"/>
      <c r="O26" s="72" t="n"/>
      <c r="P26" s="72" t="n"/>
      <c r="Q26" s="72" t="n"/>
    </row>
    <row r="27" ht="7" customHeight="1">
      <c r="A27" s="61" t="inlineStr">
        <is>
          <t>13%</t>
        </is>
      </c>
      <c r="B27" s="62" t="inlineStr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73" t="n"/>
      <c r="N27" s="72" t="n"/>
      <c r="O27" s="72" t="n"/>
      <c r="P27" s="72" t="n"/>
      <c r="Q27" s="72" t="n"/>
    </row>
    <row r="28" ht="7" customHeight="1">
      <c r="A28" s="61" t="inlineStr">
        <is>
          <t>7%</t>
        </is>
      </c>
      <c r="B28" s="62" t="inlineStr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73" t="n"/>
      <c r="N28" s="72" t="n"/>
      <c r="O28" s="72" t="n"/>
      <c r="P28" s="72" t="n"/>
      <c r="Q28" s="72" t="n"/>
    </row>
    <row r="29" ht="16" customHeight="1">
      <c r="A29" s="44" t="inlineStr">
        <is>
          <t>◀ CURVA S ACUMULADA</t>
        </is>
      </c>
      <c r="C29" s="66" t="inlineStr">
        <is>
          <t>01-Jun</t>
        </is>
      </c>
      <c r="D29" s="66" t="inlineStr">
        <is>
          <t>08-Jun</t>
        </is>
      </c>
      <c r="E29" s="66" t="inlineStr">
        <is>
          <t>15-Jun</t>
        </is>
      </c>
      <c r="F29" s="66" t="inlineStr">
        <is>
          <t>22-Jun</t>
        </is>
      </c>
      <c r="G29" s="66" t="inlineStr">
        <is>
          <t>29-Jun</t>
        </is>
      </c>
      <c r="H29" s="66" t="inlineStr">
        <is>
          <t>06-Jul</t>
        </is>
      </c>
      <c r="I29" s="66" t="inlineStr">
        <is>
          <t>13-Jul</t>
        </is>
      </c>
      <c r="J29" s="66" t="inlineStr">
        <is>
          <t>20-Jul</t>
        </is>
      </c>
      <c r="K29" s="66" t="inlineStr">
        <is>
          <t>27-Jul</t>
        </is>
      </c>
      <c r="L29" s="66" t="inlineStr">
        <is>
          <t>03-Aug</t>
        </is>
      </c>
      <c r="M29" s="66" t="inlineStr">
        <is>
          <t>10-Aug</t>
        </is>
      </c>
      <c r="N29" s="66" t="inlineStr">
        <is>
          <t>17-Aug</t>
        </is>
      </c>
      <c r="O29" s="66" t="inlineStr">
        <is>
          <t>24-Aug</t>
        </is>
      </c>
      <c r="P29" s="66" t="inlineStr">
        <is>
          <t>31-Aug</t>
        </is>
      </c>
      <c r="Q29" s="66" t="inlineStr">
        <is>
          <t>07-Sep</t>
        </is>
      </c>
    </row>
    <row r="30" ht="6" customHeight="1"/>
  </sheetData>
  <mergeCells count="6">
    <mergeCell ref="A1:T1"/>
    <mergeCell ref="L3:P3"/>
    <mergeCell ref="A29:B29"/>
    <mergeCell ref="H3:K3"/>
    <mergeCell ref="A2:T2"/>
    <mergeCell ref="C3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</cols>
  <sheetData>
    <row r="1" ht="26" customHeight="1">
      <c r="A1" s="74" t="inlineStr">
        <is>
          <t>CURVA S COMBINADA – OC S3 + OC S4  |  USD 11.81M</t>
        </is>
      </c>
    </row>
    <row r="2" ht="18" customHeight="1">
      <c r="A2" s="2" t="inlineStr">
        <is>
          <t>S3: USD 1,605,581 IB  |  S4: USD 724,952 IB  |  Total IB (20%): USD 2,330,532</t>
        </is>
      </c>
    </row>
    <row r="3" ht="18" customHeight="1">
      <c r="A3" s="45" t="inlineStr">
        <is>
          <t>CONCEPTO</t>
        </is>
      </c>
      <c r="B3" s="45" t="inlineStr">
        <is>
          <t>TOTAL</t>
        </is>
      </c>
      <c r="C3" s="41" t="inlineStr">
        <is>
          <t>JUNE 2026</t>
        </is>
      </c>
      <c r="D3" s="42" t="n"/>
      <c r="E3" s="42" t="n"/>
      <c r="F3" s="42" t="n"/>
      <c r="G3" s="43" t="n"/>
      <c r="H3" s="44" t="inlineStr">
        <is>
          <t>JULY 2026</t>
        </is>
      </c>
      <c r="I3" s="42" t="n"/>
      <c r="J3" s="42" t="n"/>
      <c r="K3" s="43" t="n"/>
      <c r="L3" s="45" t="inlineStr">
        <is>
          <t>AUGUST 2026</t>
        </is>
      </c>
      <c r="M3" s="42" t="n"/>
      <c r="N3" s="42" t="n"/>
      <c r="O3" s="42" t="n"/>
      <c r="P3" s="43" t="n"/>
      <c r="Q3" s="45" t="inlineStr">
        <is>
          <t>SEPTEMBER 2026</t>
        </is>
      </c>
    </row>
    <row r="4" ht="18" customHeight="1">
      <c r="A4" s="75" t="inlineStr">
        <is>
          <t>SEMANA (LUNES)</t>
        </is>
      </c>
      <c r="B4" s="37" t="inlineStr"/>
      <c r="C4" s="75" t="inlineStr">
        <is>
          <t>01-Jun</t>
        </is>
      </c>
      <c r="D4" s="75" t="inlineStr">
        <is>
          <t>08-Jun</t>
        </is>
      </c>
      <c r="E4" s="75" t="inlineStr">
        <is>
          <t>15-Jun</t>
        </is>
      </c>
      <c r="F4" s="75" t="inlineStr">
        <is>
          <t>22-Jun</t>
        </is>
      </c>
      <c r="G4" s="75" t="inlineStr">
        <is>
          <t>29-Jun</t>
        </is>
      </c>
      <c r="H4" s="75" t="inlineStr">
        <is>
          <t>06-Jul</t>
        </is>
      </c>
      <c r="I4" s="75" t="inlineStr">
        <is>
          <t>13-Jul</t>
        </is>
      </c>
      <c r="J4" s="75" t="inlineStr">
        <is>
          <t>20-Jul</t>
        </is>
      </c>
      <c r="K4" s="75" t="inlineStr">
        <is>
          <t>27-Jul</t>
        </is>
      </c>
      <c r="L4" s="75" t="inlineStr">
        <is>
          <t>03-Aug</t>
        </is>
      </c>
      <c r="M4" s="75" t="inlineStr">
        <is>
          <t>10-Aug</t>
        </is>
      </c>
      <c r="N4" s="75" t="inlineStr">
        <is>
          <t>17-Aug</t>
        </is>
      </c>
      <c r="O4" s="75" t="inlineStr">
        <is>
          <t>24-Aug</t>
        </is>
      </c>
      <c r="P4" s="75" t="inlineStr">
        <is>
          <t>31-Aug</t>
        </is>
      </c>
      <c r="Q4" s="75" t="inlineStr">
        <is>
          <t>07-Sep</t>
        </is>
      </c>
    </row>
    <row r="5" ht="18" customHeight="1">
      <c r="A5" s="76" t="inlineStr">
        <is>
          <t>Hito 1 – Envío RevA (USD)</t>
        </is>
      </c>
      <c r="B5" s="77" t="n">
        <v>1165266.211</v>
      </c>
      <c r="C5" s="49" t="n"/>
      <c r="D5" s="77" t="n">
        <v>259774.314</v>
      </c>
      <c r="E5" s="77" t="n">
        <v>63946.068</v>
      </c>
      <c r="F5" s="77" t="n">
        <v>49067.083</v>
      </c>
      <c r="G5" s="49" t="n"/>
      <c r="H5" s="49" t="n"/>
      <c r="I5" s="49" t="n"/>
      <c r="J5" s="77" t="n">
        <v>181674.393</v>
      </c>
      <c r="K5" s="77" t="n">
        <v>311408.535</v>
      </c>
      <c r="L5" s="49" t="n"/>
      <c r="M5" s="77" t="n">
        <v>299395.818</v>
      </c>
      <c r="N5" s="49" t="n"/>
      <c r="O5" s="49" t="n"/>
      <c r="P5" s="49" t="n"/>
      <c r="Q5" s="49" t="n"/>
    </row>
    <row r="6" ht="18" customHeight="1">
      <c r="A6" s="50" t="inlineStr">
        <is>
          <t>Hito 2 – Aprobación Rev0 (USD)</t>
        </is>
      </c>
      <c r="B6" s="51" t="n">
        <v>1165266.211</v>
      </c>
      <c r="C6" s="49" t="n"/>
      <c r="D6" s="49" t="n"/>
      <c r="E6" s="49" t="n"/>
      <c r="F6" s="51" t="n">
        <v>87986.503</v>
      </c>
      <c r="G6" s="51" t="n">
        <v>63946.068</v>
      </c>
      <c r="H6" s="51" t="n">
        <v>42752.407</v>
      </c>
      <c r="I6" s="51" t="n">
        <v>49067.083</v>
      </c>
      <c r="J6" s="49" t="n"/>
      <c r="K6" s="51" t="n">
        <v>129035.404</v>
      </c>
      <c r="L6" s="49" t="n"/>
      <c r="M6" s="51" t="n">
        <v>181674.393</v>
      </c>
      <c r="N6" s="51" t="n">
        <v>311408.535</v>
      </c>
      <c r="O6" s="51" t="n">
        <v>299395.818</v>
      </c>
      <c r="P6" s="49" t="n"/>
      <c r="Q6" s="49" t="n"/>
    </row>
    <row r="7" ht="18" customHeight="1">
      <c r="A7" s="52" t="inlineStr">
        <is>
          <t>PAGO SEMANAL TOTAL (USD)</t>
        </is>
      </c>
      <c r="B7" s="53" t="n">
        <v>2330532.422</v>
      </c>
      <c r="C7" s="54" t="n"/>
      <c r="D7" s="53" t="n">
        <v>259774.314</v>
      </c>
      <c r="E7" s="53" t="n">
        <v>63946.068</v>
      </c>
      <c r="F7" s="53" t="n">
        <v>137053.586</v>
      </c>
      <c r="G7" s="53" t="n">
        <v>63946.068</v>
      </c>
      <c r="H7" s="53" t="n">
        <v>42752.407</v>
      </c>
      <c r="I7" s="53" t="n">
        <v>49067.083</v>
      </c>
      <c r="J7" s="53" t="n">
        <v>181674.393</v>
      </c>
      <c r="K7" s="53" t="n">
        <v>440443.939</v>
      </c>
      <c r="L7" s="54" t="n"/>
      <c r="M7" s="53" t="n">
        <v>481070.2110000001</v>
      </c>
      <c r="N7" s="53" t="n">
        <v>311408.535</v>
      </c>
      <c r="O7" s="53" t="n">
        <v>299395.818</v>
      </c>
      <c r="P7" s="54" t="n"/>
      <c r="Q7" s="54" t="n"/>
    </row>
    <row r="8" ht="18" customHeight="1">
      <c r="A8" s="76" t="inlineStr">
        <is>
          <t>Acum. Hito 1 (USD)</t>
        </is>
      </c>
      <c r="B8" s="77" t="n">
        <v>1165266.211</v>
      </c>
      <c r="C8" s="49" t="n"/>
      <c r="D8" s="77" t="n">
        <v>259774.314</v>
      </c>
      <c r="E8" s="77" t="n">
        <v>323720.382</v>
      </c>
      <c r="F8" s="77" t="n">
        <v>372787.465</v>
      </c>
      <c r="G8" s="77" t="n">
        <v>372787.465</v>
      </c>
      <c r="H8" s="77" t="n">
        <v>372787.465</v>
      </c>
      <c r="I8" s="77" t="n">
        <v>372787.465</v>
      </c>
      <c r="J8" s="77" t="n">
        <v>554461.858</v>
      </c>
      <c r="K8" s="77" t="n">
        <v>865870.3929999999</v>
      </c>
      <c r="L8" s="77" t="n">
        <v>865870.3929999999</v>
      </c>
      <c r="M8" s="77" t="n">
        <v>1165266.211</v>
      </c>
      <c r="N8" s="77" t="n">
        <v>1165266.211</v>
      </c>
      <c r="O8" s="77" t="n">
        <v>1165266.211</v>
      </c>
      <c r="P8" s="77" t="n">
        <v>1165266.211</v>
      </c>
      <c r="Q8" s="77" t="n">
        <v>1165266.211</v>
      </c>
    </row>
    <row r="9" ht="18" customHeight="1">
      <c r="A9" s="50" t="inlineStr">
        <is>
          <t>Acum. Hito 2 (USD)</t>
        </is>
      </c>
      <c r="B9" s="51" t="n">
        <v>1165266.211</v>
      </c>
      <c r="C9" s="49" t="n"/>
      <c r="D9" s="49" t="n"/>
      <c r="E9" s="49" t="n"/>
      <c r="F9" s="51" t="n">
        <v>87986.503</v>
      </c>
      <c r="G9" s="51" t="n">
        <v>151932.571</v>
      </c>
      <c r="H9" s="51" t="n">
        <v>194684.978</v>
      </c>
      <c r="I9" s="51" t="n">
        <v>243752.061</v>
      </c>
      <c r="J9" s="51" t="n">
        <v>243752.061</v>
      </c>
      <c r="K9" s="51" t="n">
        <v>372787.465</v>
      </c>
      <c r="L9" s="51" t="n">
        <v>372787.465</v>
      </c>
      <c r="M9" s="51" t="n">
        <v>554461.858</v>
      </c>
      <c r="N9" s="51" t="n">
        <v>865870.3929999999</v>
      </c>
      <c r="O9" s="51" t="n">
        <v>1165266.211</v>
      </c>
      <c r="P9" s="51" t="n">
        <v>1165266.211</v>
      </c>
      <c r="Q9" s="51" t="n">
        <v>1165266.211</v>
      </c>
    </row>
    <row r="10" ht="18" customHeight="1">
      <c r="A10" s="55" t="inlineStr">
        <is>
          <t>CURVA S – ACUMULADO TOTAL</t>
        </is>
      </c>
      <c r="B10" s="56" t="n">
        <v>2330532.422</v>
      </c>
      <c r="C10" s="54" t="n"/>
      <c r="D10" s="56" t="n">
        <v>259774.314</v>
      </c>
      <c r="E10" s="56" t="n">
        <v>323720.382</v>
      </c>
      <c r="F10" s="56" t="n">
        <v>460773.968</v>
      </c>
      <c r="G10" s="56" t="n">
        <v>524720.036</v>
      </c>
      <c r="H10" s="56" t="n">
        <v>567472.443</v>
      </c>
      <c r="I10" s="56" t="n">
        <v>616539.526</v>
      </c>
      <c r="J10" s="56" t="n">
        <v>798213.919</v>
      </c>
      <c r="K10" s="56" t="n">
        <v>1238657.858</v>
      </c>
      <c r="L10" s="56" t="n">
        <v>1238657.858</v>
      </c>
      <c r="M10" s="56" t="n">
        <v>1719728.069</v>
      </c>
      <c r="N10" s="56" t="n">
        <v>2031136.604</v>
      </c>
      <c r="O10" s="56" t="n">
        <v>2330532.422</v>
      </c>
      <c r="P10" s="56" t="n">
        <v>2330532.422</v>
      </c>
      <c r="Q10" s="56" t="n">
        <v>2330532.422</v>
      </c>
    </row>
    <row r="11" ht="18" customHeight="1">
      <c r="A11" s="57" t="inlineStr">
        <is>
          <t>% Avance IB (sobre 20% OC)</t>
        </is>
      </c>
      <c r="B11" s="58" t="n">
        <v>99.99999999999997</v>
      </c>
      <c r="C11" s="59" t="n"/>
      <c r="D11" s="58" t="n">
        <v>11.14656511738501</v>
      </c>
      <c r="E11" s="58" t="n">
        <v>13.8904045678194</v>
      </c>
      <c r="F11" s="58" t="n">
        <v>19.7711889201943</v>
      </c>
      <c r="G11" s="58" t="n">
        <v>22.51502837062869</v>
      </c>
      <c r="H11" s="58" t="n">
        <v>24.34947643907955</v>
      </c>
      <c r="I11" s="58" t="n">
        <v>26.45487872985274</v>
      </c>
      <c r="J11" s="58" t="n">
        <v>34.25028167233109</v>
      </c>
      <c r="K11" s="58" t="n">
        <v>53.14913649375524</v>
      </c>
      <c r="L11" s="58" t="n">
        <v>53.14913649375524</v>
      </c>
      <c r="M11" s="58" t="n">
        <v>73.79120980107093</v>
      </c>
      <c r="N11" s="58" t="n">
        <v>87.15332963516263</v>
      </c>
      <c r="O11" s="58" t="n">
        <v>99.99999999999997</v>
      </c>
      <c r="P11" s="58" t="n">
        <v>99.99999999999997</v>
      </c>
      <c r="Q11" s="58" t="n">
        <v>99.99999999999997</v>
      </c>
    </row>
    <row r="12" ht="6" customHeight="1"/>
    <row r="13" ht="16" customHeight="1">
      <c r="A13" s="45" t="inlineStr">
        <is>
          <t>GRÁFICO SIMPLIFICADO – CURVA S ACUMULADA</t>
        </is>
      </c>
      <c r="B13" s="37" t="inlineStr"/>
      <c r="C13" s="78" t="inlineStr">
        <is>
          <t>0%</t>
        </is>
      </c>
      <c r="D13" s="78" t="inlineStr">
        <is>
          <t>11%</t>
        </is>
      </c>
      <c r="E13" s="78" t="inlineStr">
        <is>
          <t>14%</t>
        </is>
      </c>
      <c r="F13" s="78" t="inlineStr">
        <is>
          <t>20%</t>
        </is>
      </c>
      <c r="G13" s="78" t="inlineStr">
        <is>
          <t>23%</t>
        </is>
      </c>
      <c r="H13" s="78" t="inlineStr">
        <is>
          <t>24%</t>
        </is>
      </c>
      <c r="I13" s="78" t="inlineStr">
        <is>
          <t>26%</t>
        </is>
      </c>
      <c r="J13" s="78" t="inlineStr">
        <is>
          <t>34%</t>
        </is>
      </c>
      <c r="K13" s="78" t="inlineStr">
        <is>
          <t>53%</t>
        </is>
      </c>
      <c r="L13" s="78" t="inlineStr">
        <is>
          <t>53%</t>
        </is>
      </c>
      <c r="M13" s="78" t="inlineStr">
        <is>
          <t>74%</t>
        </is>
      </c>
      <c r="N13" s="78" t="inlineStr">
        <is>
          <t>87%</t>
        </is>
      </c>
      <c r="O13" s="78" t="inlineStr">
        <is>
          <t>100%</t>
        </is>
      </c>
      <c r="P13" s="78" t="inlineStr">
        <is>
          <t>100%</t>
        </is>
      </c>
      <c r="Q13" s="78" t="inlineStr">
        <is>
          <t>100%</t>
        </is>
      </c>
    </row>
    <row r="14" ht="7" customHeight="1">
      <c r="A14" s="61" t="inlineStr">
        <is>
          <t>100%</t>
        </is>
      </c>
      <c r="B14" s="62" t="inlineStr"/>
      <c r="C14" s="63" t="n"/>
      <c r="D14" s="79" t="n"/>
      <c r="E14" s="79" t="n"/>
      <c r="F14" s="80" t="n"/>
      <c r="G14" s="80" t="n"/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</row>
    <row r="15" ht="7" customHeight="1">
      <c r="A15" s="61" t="inlineStr">
        <is>
          <t>93%</t>
        </is>
      </c>
      <c r="B15" s="62" t="inlineStr"/>
      <c r="C15" s="63" t="n"/>
      <c r="D15" s="79" t="n"/>
      <c r="E15" s="79" t="n"/>
      <c r="F15" s="79" t="n"/>
      <c r="G15" s="79" t="n"/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</row>
    <row r="16" ht="7" customHeight="1">
      <c r="A16" s="61" t="inlineStr">
        <is>
          <t>87%</t>
        </is>
      </c>
      <c r="B16" s="62" t="inlineStr"/>
      <c r="C16" s="63" t="n"/>
      <c r="D16" s="63" t="n"/>
      <c r="E16" s="63" t="n"/>
      <c r="F16" s="79" t="n"/>
      <c r="G16" s="79" t="n"/>
      <c r="H16" s="79" t="n"/>
      <c r="I16" s="79" t="n"/>
      <c r="J16" s="80" t="n"/>
      <c r="K16" s="80" t="n"/>
      <c r="L16" s="80" t="n"/>
      <c r="M16" s="80" t="n"/>
      <c r="N16" s="80" t="n"/>
      <c r="O16" s="80" t="n"/>
      <c r="P16" s="80" t="n"/>
      <c r="Q16" s="80" t="n"/>
    </row>
    <row r="17" ht="7" customHeight="1">
      <c r="A17" s="61" t="inlineStr">
        <is>
          <t>80%</t>
        </is>
      </c>
      <c r="B17" s="62" t="inlineStr"/>
      <c r="C17" s="63" t="n"/>
      <c r="D17" s="63" t="n"/>
      <c r="E17" s="63" t="n"/>
      <c r="F17" s="63" t="n"/>
      <c r="G17" s="63" t="n"/>
      <c r="H17" s="79" t="n"/>
      <c r="I17" s="79" t="n"/>
      <c r="J17" s="79" t="n"/>
      <c r="K17" s="80" t="n"/>
      <c r="L17" s="80" t="n"/>
      <c r="M17" s="80" t="n"/>
      <c r="N17" s="80" t="n"/>
      <c r="O17" s="80" t="n"/>
      <c r="P17" s="80" t="n"/>
      <c r="Q17" s="80" t="n"/>
    </row>
    <row r="18" ht="7" customHeight="1">
      <c r="A18" s="61" t="inlineStr">
        <is>
          <t>73%</t>
        </is>
      </c>
      <c r="B18" s="62" t="inlineStr"/>
      <c r="C18" s="63" t="n"/>
      <c r="D18" s="63" t="n"/>
      <c r="E18" s="63" t="n"/>
      <c r="F18" s="63" t="n"/>
      <c r="G18" s="63" t="n"/>
      <c r="H18" s="63" t="n"/>
      <c r="I18" s="63" t="n"/>
      <c r="J18" s="79" t="n"/>
      <c r="K18" s="80" t="n"/>
      <c r="L18" s="80" t="n"/>
      <c r="M18" s="80" t="n"/>
      <c r="N18" s="80" t="n"/>
      <c r="O18" s="80" t="n"/>
      <c r="P18" s="80" t="n"/>
      <c r="Q18" s="80" t="n"/>
    </row>
    <row r="19" ht="7" customHeight="1">
      <c r="A19" s="61" t="inlineStr">
        <is>
          <t>67%</t>
        </is>
      </c>
      <c r="B19" s="62" t="inlineStr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80" t="n"/>
      <c r="L19" s="80" t="n"/>
      <c r="M19" s="80" t="n"/>
      <c r="N19" s="80" t="n"/>
      <c r="O19" s="80" t="n"/>
      <c r="P19" s="80" t="n"/>
      <c r="Q19" s="80" t="n"/>
    </row>
    <row r="20" ht="7" customHeight="1">
      <c r="A20" s="61" t="inlineStr">
        <is>
          <t>60%</t>
        </is>
      </c>
      <c r="B20" s="62" t="inlineStr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79" t="n"/>
      <c r="L20" s="80" t="n"/>
      <c r="M20" s="80" t="n"/>
      <c r="N20" s="80" t="n"/>
      <c r="O20" s="80" t="n"/>
      <c r="P20" s="80" t="n"/>
      <c r="Q20" s="80" t="n"/>
    </row>
    <row r="21" ht="7" customHeight="1">
      <c r="A21" s="61" t="inlineStr">
        <is>
          <t>53%</t>
        </is>
      </c>
      <c r="B21" s="62" t="inlineStr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79" t="n"/>
      <c r="L21" s="80" t="n"/>
      <c r="M21" s="80" t="n"/>
      <c r="N21" s="80" t="n"/>
      <c r="O21" s="80" t="n"/>
      <c r="P21" s="80" t="n"/>
      <c r="Q21" s="80" t="n"/>
    </row>
    <row r="22" ht="7" customHeight="1">
      <c r="A22" s="61" t="inlineStr">
        <is>
          <t>47%</t>
        </is>
      </c>
      <c r="B22" s="62" t="inlineStr"/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80" t="n"/>
      <c r="N22" s="80" t="n"/>
      <c r="O22" s="80" t="n"/>
      <c r="P22" s="80" t="n"/>
      <c r="Q22" s="80" t="n"/>
    </row>
    <row r="23" ht="7" customHeight="1">
      <c r="A23" s="61" t="inlineStr">
        <is>
          <t>40%</t>
        </is>
      </c>
      <c r="B23" s="62" t="inlineStr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79" t="n"/>
      <c r="N23" s="80" t="n"/>
      <c r="O23" s="80" t="n"/>
      <c r="P23" s="80" t="n"/>
      <c r="Q23" s="80" t="n"/>
    </row>
    <row r="24" ht="7" customHeight="1">
      <c r="A24" s="61" t="inlineStr">
        <is>
          <t>33%</t>
        </is>
      </c>
      <c r="B24" s="62" t="inlineStr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79" t="n"/>
      <c r="N24" s="80" t="n"/>
      <c r="O24" s="80" t="n"/>
      <c r="P24" s="80" t="n"/>
      <c r="Q24" s="80" t="n"/>
    </row>
    <row r="25" ht="7" customHeight="1">
      <c r="A25" s="61" t="inlineStr">
        <is>
          <t>27%</t>
        </is>
      </c>
      <c r="B25" s="62" t="inlineStr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79" t="n"/>
      <c r="O25" s="80" t="n"/>
      <c r="P25" s="80" t="n"/>
      <c r="Q25" s="80" t="n"/>
    </row>
    <row r="26" ht="7" customHeight="1">
      <c r="A26" s="61" t="inlineStr">
        <is>
          <t>20%</t>
        </is>
      </c>
      <c r="B26" s="62" t="inlineStr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79" t="n"/>
      <c r="O26" s="80" t="n"/>
      <c r="P26" s="80" t="n"/>
      <c r="Q26" s="80" t="n"/>
    </row>
    <row r="27" ht="7" customHeight="1">
      <c r="A27" s="61" t="inlineStr">
        <is>
          <t>13%</t>
        </is>
      </c>
      <c r="B27" s="62" t="inlineStr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79" t="n"/>
      <c r="P27" s="80" t="n"/>
      <c r="Q27" s="80" t="n"/>
    </row>
    <row r="28" ht="7" customHeight="1">
      <c r="A28" s="61" t="inlineStr">
        <is>
          <t>7%</t>
        </is>
      </c>
      <c r="B28" s="62" t="inlineStr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79" t="n"/>
      <c r="P28" s="80" t="n"/>
      <c r="Q28" s="80" t="n"/>
    </row>
    <row r="29" ht="16" customHeight="1">
      <c r="A29" s="45" t="inlineStr">
        <is>
          <t>◀ CURVA S ACUMULADA</t>
        </is>
      </c>
      <c r="C29" s="66" t="inlineStr">
        <is>
          <t>01-Jun</t>
        </is>
      </c>
      <c r="D29" s="66" t="inlineStr">
        <is>
          <t>08-Jun</t>
        </is>
      </c>
      <c r="E29" s="66" t="inlineStr">
        <is>
          <t>15-Jun</t>
        </is>
      </c>
      <c r="F29" s="66" t="inlineStr">
        <is>
          <t>22-Jun</t>
        </is>
      </c>
      <c r="G29" s="66" t="inlineStr">
        <is>
          <t>29-Jun</t>
        </is>
      </c>
      <c r="H29" s="66" t="inlineStr">
        <is>
          <t>06-Jul</t>
        </is>
      </c>
      <c r="I29" s="66" t="inlineStr">
        <is>
          <t>13-Jul</t>
        </is>
      </c>
      <c r="J29" s="66" t="inlineStr">
        <is>
          <t>20-Jul</t>
        </is>
      </c>
      <c r="K29" s="66" t="inlineStr">
        <is>
          <t>27-Jul</t>
        </is>
      </c>
      <c r="L29" s="66" t="inlineStr">
        <is>
          <t>03-Aug</t>
        </is>
      </c>
      <c r="M29" s="66" t="inlineStr">
        <is>
          <t>10-Aug</t>
        </is>
      </c>
      <c r="N29" s="66" t="inlineStr">
        <is>
          <t>17-Aug</t>
        </is>
      </c>
      <c r="O29" s="66" t="inlineStr">
        <is>
          <t>24-Aug</t>
        </is>
      </c>
      <c r="P29" s="66" t="inlineStr">
        <is>
          <t>31-Aug</t>
        </is>
      </c>
      <c r="Q29" s="66" t="inlineStr">
        <is>
          <t>07-Sep</t>
        </is>
      </c>
    </row>
    <row r="30" ht="6" customHeight="1"/>
  </sheetData>
  <mergeCells count="6">
    <mergeCell ref="A1:T1"/>
    <mergeCell ref="L3:P3"/>
    <mergeCell ref="A29:B29"/>
    <mergeCell ref="H3:K3"/>
    <mergeCell ref="A2:T2"/>
    <mergeCell ref="C3:G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24" customWidth="1" min="4" max="4"/>
    <col width="36" customWidth="1" min="5" max="5"/>
    <col width="22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7" t="inlineStr">
        <is>
          <t>RESUMEN CRONOLÓGICO DE HITOS – CERTIFICACIÓN INGENIERÍA BÁSICA</t>
        </is>
      </c>
    </row>
    <row r="2" ht="24" customHeight="1">
      <c r="A2" s="3" t="inlineStr">
        <is>
          <t>Fecha</t>
        </is>
      </c>
      <c r="B2" s="3" t="inlineStr">
        <is>
          <t>OC</t>
        </is>
      </c>
      <c r="C2" s="3" t="inlineStr">
        <is>
          <t>Posición</t>
        </is>
      </c>
      <c r="D2" s="3" t="inlineStr">
        <is>
          <t>TAG</t>
        </is>
      </c>
      <c r="E2" s="3" t="inlineStr">
        <is>
          <t>Descripción</t>
        </is>
      </c>
      <c r="F2" s="3" t="inlineStr">
        <is>
          <t>Tipo Hito</t>
        </is>
      </c>
      <c r="G2" s="3" t="inlineStr">
        <is>
          <t>Monto (USD)</t>
        </is>
      </c>
      <c r="H2" s="3" t="inlineStr">
        <is>
          <t>Hito</t>
        </is>
      </c>
      <c r="I2" s="3" t="inlineStr">
        <is>
          <t>Acum. S3</t>
        </is>
      </c>
      <c r="J2" s="3" t="inlineStr">
        <is>
          <t>Acum. S4</t>
        </is>
      </c>
      <c r="K2" s="3" t="inlineStr">
        <is>
          <t>Acum. Total</t>
        </is>
      </c>
    </row>
    <row r="3" ht="16" customHeight="1">
      <c r="A3" s="16" t="n">
        <v>46181</v>
      </c>
      <c r="B3" s="81" t="inlineStr">
        <is>
          <t>S3-4508944971</t>
        </is>
      </c>
      <c r="C3" s="12" t="inlineStr">
        <is>
          <t>Pos 80</t>
        </is>
      </c>
      <c r="D3" s="82" t="inlineStr">
        <is>
          <t>102-DP-001-TRA</t>
        </is>
      </c>
      <c r="E3" s="82" t="inlineStr">
        <is>
          <t>Tablero Distribución Tracing</t>
        </is>
      </c>
      <c r="F3" s="83" t="inlineStr">
        <is>
          <t>RevA – Envío IB</t>
        </is>
      </c>
      <c r="G3" s="84" t="n">
        <v>9563.272999999999</v>
      </c>
      <c r="H3" s="85" t="inlineStr">
        <is>
          <t>Hito 1 (10%)</t>
        </is>
      </c>
      <c r="I3" s="15" t="n">
        <v>9563.272999999999</v>
      </c>
      <c r="J3" s="8" t="n">
        <v>0</v>
      </c>
      <c r="K3" s="86" t="n">
        <v>9563.272999999999</v>
      </c>
    </row>
    <row r="4" ht="16" customHeight="1">
      <c r="A4" s="16" t="n">
        <v>46181</v>
      </c>
      <c r="B4" s="81" t="inlineStr">
        <is>
          <t>S3-4508944971</t>
        </is>
      </c>
      <c r="C4" s="12" t="inlineStr">
        <is>
          <t>Pos 90</t>
        </is>
      </c>
      <c r="D4" s="82" t="inlineStr">
        <is>
          <t>102-DP-001</t>
        </is>
      </c>
      <c r="E4" s="82" t="inlineStr">
        <is>
          <t>Tablero Serv. Aux. SE#3</t>
        </is>
      </c>
      <c r="F4" s="83" t="inlineStr">
        <is>
          <t>RevA – Envío IB</t>
        </is>
      </c>
      <c r="G4" s="84" t="n">
        <v>10588.506</v>
      </c>
      <c r="H4" s="85" t="inlineStr">
        <is>
          <t>Hito 1 (10%)</t>
        </is>
      </c>
      <c r="I4" s="15" t="n">
        <v>20151.779</v>
      </c>
      <c r="J4" s="8" t="n">
        <v>0</v>
      </c>
      <c r="K4" s="86" t="n">
        <v>20151.779</v>
      </c>
    </row>
    <row r="5" ht="16" customHeight="1">
      <c r="A5" s="16" t="n">
        <v>46181</v>
      </c>
      <c r="B5" s="81" t="inlineStr">
        <is>
          <t>S3-4508944971</t>
        </is>
      </c>
      <c r="C5" s="12" t="inlineStr">
        <is>
          <t>Pos 100</t>
        </is>
      </c>
      <c r="D5" s="82" t="inlineStr">
        <is>
          <t>102-LP-002</t>
        </is>
      </c>
      <c r="E5" s="82" t="inlineStr">
        <is>
          <t>Tablero Distribución UPS</t>
        </is>
      </c>
      <c r="F5" s="83" t="inlineStr">
        <is>
          <t>RevA – Envío IB</t>
        </is>
      </c>
      <c r="G5" s="84" t="n">
        <v>6348.57</v>
      </c>
      <c r="H5" s="85" t="inlineStr">
        <is>
          <t>Hito 1 (10%)</t>
        </is>
      </c>
      <c r="I5" s="15" t="n">
        <v>26500.349</v>
      </c>
      <c r="J5" s="8" t="n">
        <v>0</v>
      </c>
      <c r="K5" s="86" t="n">
        <v>26500.349</v>
      </c>
    </row>
    <row r="6" ht="16" customHeight="1">
      <c r="A6" s="16" t="n">
        <v>46181</v>
      </c>
      <c r="B6" s="81" t="inlineStr">
        <is>
          <t>S3-4508944971</t>
        </is>
      </c>
      <c r="C6" s="12" t="inlineStr">
        <is>
          <t>Pos 110</t>
        </is>
      </c>
      <c r="D6" s="82" t="inlineStr">
        <is>
          <t>102-LP-001</t>
        </is>
      </c>
      <c r="E6" s="82" t="inlineStr">
        <is>
          <t>Tablero Distribución Serv. Aux. S#3</t>
        </is>
      </c>
      <c r="F6" s="83" t="inlineStr">
        <is>
          <t>RevA – Envío IB</t>
        </is>
      </c>
      <c r="G6" s="84" t="n">
        <v>9640.977000000001</v>
      </c>
      <c r="H6" s="85" t="inlineStr">
        <is>
          <t>Hito 1 (10%)</t>
        </is>
      </c>
      <c r="I6" s="15" t="n">
        <v>36141.326</v>
      </c>
      <c r="J6" s="8" t="n">
        <v>0</v>
      </c>
      <c r="K6" s="86" t="n">
        <v>36141.326</v>
      </c>
    </row>
    <row r="7" ht="16" customHeight="1">
      <c r="A7" s="28" t="n">
        <v>46181</v>
      </c>
      <c r="B7" s="87" t="inlineStr">
        <is>
          <t>S4-4508944973</t>
        </is>
      </c>
      <c r="C7" s="24" t="inlineStr">
        <is>
          <t>Pos 80</t>
        </is>
      </c>
      <c r="D7" s="88" t="inlineStr">
        <is>
          <t>102-DP-101</t>
        </is>
      </c>
      <c r="E7" s="88" t="inlineStr">
        <is>
          <t>Tablero Serv. Aux. SE#4</t>
        </is>
      </c>
      <c r="F7" s="83" t="inlineStr">
        <is>
          <t>RevA – Envío IB</t>
        </is>
      </c>
      <c r="G7" s="84" t="n">
        <v>6611.081</v>
      </c>
      <c r="H7" s="85" t="inlineStr">
        <is>
          <t>Hito 1 (10%)</t>
        </is>
      </c>
      <c r="I7" s="8" t="n">
        <v>36141.326</v>
      </c>
      <c r="J7" s="27" t="n">
        <v>6611.081</v>
      </c>
      <c r="K7" s="86" t="n">
        <v>42752.407</v>
      </c>
    </row>
    <row r="8" ht="16" customHeight="1">
      <c r="A8" s="16" t="n">
        <v>46185</v>
      </c>
      <c r="B8" s="81" t="inlineStr">
        <is>
          <t>S3-4508944971</t>
        </is>
      </c>
      <c r="C8" s="12" t="inlineStr">
        <is>
          <t>Pos 190</t>
        </is>
      </c>
      <c r="D8" s="82" t="inlineStr">
        <is>
          <t>102-UPS-001A/B</t>
        </is>
      </c>
      <c r="E8" s="82" t="inlineStr">
        <is>
          <t>Sistema UPS Corriente Alterna</t>
        </is>
      </c>
      <c r="F8" s="83" t="inlineStr">
        <is>
          <t>RevA – Envío IB</t>
        </is>
      </c>
      <c r="G8" s="84" t="n">
        <v>55043.432</v>
      </c>
      <c r="H8" s="85" t="inlineStr">
        <is>
          <t>Hito 1 (10%)</t>
        </is>
      </c>
      <c r="I8" s="15" t="n">
        <v>91184.758</v>
      </c>
      <c r="J8" s="8" t="n">
        <v>6611.081</v>
      </c>
      <c r="K8" s="86" t="n">
        <v>97795.83900000001</v>
      </c>
    </row>
    <row r="9" ht="16" customHeight="1">
      <c r="A9" s="16" t="n">
        <v>46185</v>
      </c>
      <c r="B9" s="81" t="inlineStr">
        <is>
          <t>S3-4508944971</t>
        </is>
      </c>
      <c r="C9" s="12" t="inlineStr">
        <is>
          <t>Pos 200</t>
        </is>
      </c>
      <c r="D9" s="82" t="inlineStr">
        <is>
          <t>102-VCC-001A/B</t>
        </is>
      </c>
      <c r="E9" s="82" t="inlineStr">
        <is>
          <t>Sistema Corriente Continua VCC</t>
        </is>
      </c>
      <c r="F9" s="83" t="inlineStr">
        <is>
          <t>RevA – Envío IB</t>
        </is>
      </c>
      <c r="G9" s="84" t="n">
        <v>27483.391</v>
      </c>
      <c r="H9" s="85" t="inlineStr">
        <is>
          <t>Hito 1 (10%)</t>
        </is>
      </c>
      <c r="I9" s="15" t="n">
        <v>118668.149</v>
      </c>
      <c r="J9" s="8" t="n">
        <v>6611.081</v>
      </c>
      <c r="K9" s="86" t="n">
        <v>125279.23</v>
      </c>
    </row>
    <row r="10" ht="16" customHeight="1">
      <c r="A10" s="28" t="n">
        <v>46185</v>
      </c>
      <c r="B10" s="87" t="inlineStr">
        <is>
          <t>S4-4508944973</t>
        </is>
      </c>
      <c r="C10" s="24" t="inlineStr">
        <is>
          <t>Pos 60</t>
        </is>
      </c>
      <c r="D10" s="88" t="inlineStr">
        <is>
          <t>102-DP-101UPS</t>
        </is>
      </c>
      <c r="E10" s="88" t="inlineStr">
        <is>
          <t>Tablero Distribución UPS SE#4</t>
        </is>
      </c>
      <c r="F10" s="83" t="inlineStr">
        <is>
          <t>RevA – Envío IB</t>
        </is>
      </c>
      <c r="G10" s="84" t="n">
        <v>2530.557</v>
      </c>
      <c r="H10" s="85" t="inlineStr">
        <is>
          <t>Hito 1 (10%)</t>
        </is>
      </c>
      <c r="I10" s="8" t="n">
        <v>118668.149</v>
      </c>
      <c r="J10" s="27" t="n">
        <v>9141.638000000001</v>
      </c>
      <c r="K10" s="86" t="n">
        <v>127809.787</v>
      </c>
    </row>
    <row r="11" ht="16" customHeight="1">
      <c r="A11" s="28" t="n">
        <v>46185</v>
      </c>
      <c r="B11" s="87" t="inlineStr">
        <is>
          <t>S4-4508944973</t>
        </is>
      </c>
      <c r="C11" s="24" t="inlineStr">
        <is>
          <t>Pos 70</t>
        </is>
      </c>
      <c r="D11" s="88" t="inlineStr">
        <is>
          <t>102-DP-101VCC</t>
        </is>
      </c>
      <c r="E11" s="88" t="inlineStr">
        <is>
          <t>Tablero Distribución VCC SE#4</t>
        </is>
      </c>
      <c r="F11" s="83" t="inlineStr">
        <is>
          <t>RevA – Envío IB</t>
        </is>
      </c>
      <c r="G11" s="84" t="n">
        <v>2929.123</v>
      </c>
      <c r="H11" s="85" t="inlineStr">
        <is>
          <t>Hito 1 (10%)</t>
        </is>
      </c>
      <c r="I11" s="8" t="n">
        <v>118668.149</v>
      </c>
      <c r="J11" s="27" t="n">
        <v>12070.761</v>
      </c>
      <c r="K11" s="86" t="n">
        <v>130738.91</v>
      </c>
    </row>
    <row r="12" ht="16" customHeight="1">
      <c r="A12" s="28" t="n">
        <v>46185</v>
      </c>
      <c r="B12" s="87" t="inlineStr">
        <is>
          <t>S4-4508944973</t>
        </is>
      </c>
      <c r="C12" s="24" t="inlineStr">
        <is>
          <t>Pos 100</t>
        </is>
      </c>
      <c r="D12" s="88" t="inlineStr">
        <is>
          <t>102-TGMT-001/003</t>
        </is>
      </c>
      <c r="E12" s="88" t="inlineStr">
        <is>
          <t>SWG MT 13.2kV / 6.6kV – Celdas</t>
        </is>
      </c>
      <c r="F12" s="83" t="inlineStr">
        <is>
          <t>RevA – Envío IB</t>
        </is>
      </c>
      <c r="G12" s="84" t="n">
        <v>51748.45800000001</v>
      </c>
      <c r="H12" s="85" t="inlineStr">
        <is>
          <t>Hito 1 (10%)</t>
        </is>
      </c>
      <c r="I12" s="8" t="n">
        <v>118668.149</v>
      </c>
      <c r="J12" s="27" t="n">
        <v>63819.219</v>
      </c>
      <c r="K12" s="86" t="n">
        <v>182487.368</v>
      </c>
    </row>
    <row r="13" ht="16" customHeight="1">
      <c r="A13" s="28" t="n">
        <v>46185</v>
      </c>
      <c r="B13" s="87" t="inlineStr">
        <is>
          <t>S4-4508944973</t>
        </is>
      </c>
      <c r="C13" s="24" t="inlineStr">
        <is>
          <t>Pos 110</t>
        </is>
      </c>
      <c r="D13" s="88" t="inlineStr">
        <is>
          <t>102-TGMT-001/003</t>
        </is>
      </c>
      <c r="E13" s="88" t="inlineStr">
        <is>
          <t>SWG MT – Tableros lote 1</t>
        </is>
      </c>
      <c r="F13" s="83" t="inlineStr">
        <is>
          <t>RevA – Envío IB</t>
        </is>
      </c>
      <c r="G13" s="84" t="n">
        <v>38643.473</v>
      </c>
      <c r="H13" s="85" t="inlineStr">
        <is>
          <t>Hito 1 (10%)</t>
        </is>
      </c>
      <c r="I13" s="8" t="n">
        <v>118668.149</v>
      </c>
      <c r="J13" s="27" t="n">
        <v>102462.692</v>
      </c>
      <c r="K13" s="86" t="n">
        <v>221130.841</v>
      </c>
    </row>
    <row r="14" ht="16" customHeight="1">
      <c r="A14" s="28" t="n">
        <v>46185</v>
      </c>
      <c r="B14" s="87" t="inlineStr">
        <is>
          <t>S4-4508944973</t>
        </is>
      </c>
      <c r="C14" s="24" t="inlineStr">
        <is>
          <t>Pos 130</t>
        </is>
      </c>
      <c r="D14" s="88" t="inlineStr">
        <is>
          <t>102-TGMT-001/003</t>
        </is>
      </c>
      <c r="E14" s="88" t="inlineStr">
        <is>
          <t>SWG MT – Tableros lote 2</t>
        </is>
      </c>
      <c r="F14" s="83" t="inlineStr">
        <is>
          <t>RevA – Envío IB</t>
        </is>
      </c>
      <c r="G14" s="84" t="n">
        <v>38643.473</v>
      </c>
      <c r="H14" s="85" t="inlineStr">
        <is>
          <t>Hito 1 (10%)</t>
        </is>
      </c>
      <c r="I14" s="8" t="n">
        <v>118668.149</v>
      </c>
      <c r="J14" s="27" t="n">
        <v>141106.165</v>
      </c>
      <c r="K14" s="86" t="n">
        <v>259774.314</v>
      </c>
    </row>
    <row r="15" ht="16" customHeight="1">
      <c r="A15" s="16" t="n">
        <v>46188</v>
      </c>
      <c r="B15" s="81" t="inlineStr">
        <is>
          <t>S3-4508944971</t>
        </is>
      </c>
      <c r="C15" s="12" t="inlineStr">
        <is>
          <t>Pos 70</t>
        </is>
      </c>
      <c r="D15" s="82" t="inlineStr">
        <is>
          <t>102-DP-VFD-24210A/B/C</t>
        </is>
      </c>
      <c r="E15" s="82" t="inlineStr">
        <is>
          <t>VFD Variador Frec. Bombas BT (×3)</t>
        </is>
      </c>
      <c r="F15" s="83" t="inlineStr">
        <is>
          <t>RevA – Envío IB</t>
        </is>
      </c>
      <c r="G15" s="84" t="n">
        <v>24250.812</v>
      </c>
      <c r="H15" s="85" t="inlineStr">
        <is>
          <t>Hito 1 (10%)</t>
        </is>
      </c>
      <c r="I15" s="15" t="n">
        <v>142918.961</v>
      </c>
      <c r="J15" s="8" t="n">
        <v>141106.165</v>
      </c>
      <c r="K15" s="86" t="n">
        <v>284025.126</v>
      </c>
    </row>
    <row r="16" ht="16" customHeight="1">
      <c r="A16" s="28" t="n">
        <v>46188</v>
      </c>
      <c r="B16" s="87" t="inlineStr">
        <is>
          <t>S4-4508944973</t>
        </is>
      </c>
      <c r="C16" s="24" t="inlineStr">
        <is>
          <t>Pos 90</t>
        </is>
      </c>
      <c r="D16" s="88" t="inlineStr">
        <is>
          <t>102-DP-VFD-23310A/B/C</t>
        </is>
      </c>
      <c r="E16" s="88" t="inlineStr">
        <is>
          <t>VFD Variador Frec. Bombas MT (×3)</t>
        </is>
      </c>
      <c r="F16" s="83" t="inlineStr">
        <is>
          <t>RevA – Envío IB</t>
        </is>
      </c>
      <c r="G16" s="84" t="n">
        <v>39695.256</v>
      </c>
      <c r="H16" s="85" t="inlineStr">
        <is>
          <t>Hito 1 (10%)</t>
        </is>
      </c>
      <c r="I16" s="8" t="n">
        <v>142918.961</v>
      </c>
      <c r="J16" s="27" t="n">
        <v>180801.421</v>
      </c>
      <c r="K16" s="86" t="n">
        <v>323720.382</v>
      </c>
    </row>
    <row r="17" ht="16" customHeight="1">
      <c r="A17" s="16" t="n">
        <v>46195</v>
      </c>
      <c r="B17" s="81" t="inlineStr">
        <is>
          <t>S3-4508944971</t>
        </is>
      </c>
      <c r="C17" s="12" t="inlineStr">
        <is>
          <t>Pos 190</t>
        </is>
      </c>
      <c r="D17" s="82" t="inlineStr">
        <is>
          <t>102-UPS-001A/B</t>
        </is>
      </c>
      <c r="E17" s="82" t="inlineStr">
        <is>
          <t>Sistema UPS Corriente Alterna</t>
        </is>
      </c>
      <c r="F17" s="89" t="inlineStr">
        <is>
          <t>Rev0 – Aprobación IB</t>
        </is>
      </c>
      <c r="G17" s="84" t="n">
        <v>55043.432</v>
      </c>
      <c r="H17" s="85" t="inlineStr">
        <is>
          <t>Hito 2 (10%)</t>
        </is>
      </c>
      <c r="I17" s="15" t="n">
        <v>197962.393</v>
      </c>
      <c r="J17" s="8" t="n">
        <v>180801.421</v>
      </c>
      <c r="K17" s="86" t="n">
        <v>378763.814</v>
      </c>
    </row>
    <row r="18" ht="16" customHeight="1">
      <c r="A18" s="16" t="n">
        <v>46195</v>
      </c>
      <c r="B18" s="81" t="inlineStr">
        <is>
          <t>S3-4508944971</t>
        </is>
      </c>
      <c r="C18" s="12" t="inlineStr">
        <is>
          <t>Pos 200</t>
        </is>
      </c>
      <c r="D18" s="82" t="inlineStr">
        <is>
          <t>102-VCC-001A/B</t>
        </is>
      </c>
      <c r="E18" s="82" t="inlineStr">
        <is>
          <t>Sistema Corriente Continua VCC</t>
        </is>
      </c>
      <c r="F18" s="89" t="inlineStr">
        <is>
          <t>Rev0 – Aprobación IB</t>
        </is>
      </c>
      <c r="G18" s="84" t="n">
        <v>27483.391</v>
      </c>
      <c r="H18" s="85" t="inlineStr">
        <is>
          <t>Hito 2 (10%)</t>
        </is>
      </c>
      <c r="I18" s="15" t="n">
        <v>225445.784</v>
      </c>
      <c r="J18" s="8" t="n">
        <v>180801.421</v>
      </c>
      <c r="K18" s="86" t="n">
        <v>406247.205</v>
      </c>
    </row>
    <row r="19" ht="16" customHeight="1">
      <c r="A19" s="28" t="n">
        <v>46195</v>
      </c>
      <c r="B19" s="87" t="inlineStr">
        <is>
          <t>S4-4508944973</t>
        </is>
      </c>
      <c r="C19" s="24" t="inlineStr">
        <is>
          <t>Pos 60</t>
        </is>
      </c>
      <c r="D19" s="88" t="inlineStr">
        <is>
          <t>102-DP-101UPS</t>
        </is>
      </c>
      <c r="E19" s="88" t="inlineStr">
        <is>
          <t>Tablero Distribución UPS SE#4</t>
        </is>
      </c>
      <c r="F19" s="89" t="inlineStr">
        <is>
          <t>Rev0 – Aprobación IB</t>
        </is>
      </c>
      <c r="G19" s="84" t="n">
        <v>2530.557</v>
      </c>
      <c r="H19" s="85" t="inlineStr">
        <is>
          <t>Hito 2 (10%)</t>
        </is>
      </c>
      <c r="I19" s="8" t="n">
        <v>225445.784</v>
      </c>
      <c r="J19" s="27" t="n">
        <v>183331.978</v>
      </c>
      <c r="K19" s="86" t="n">
        <v>408777.762</v>
      </c>
    </row>
    <row r="20" ht="16" customHeight="1">
      <c r="A20" s="28" t="n">
        <v>46195</v>
      </c>
      <c r="B20" s="87" t="inlineStr">
        <is>
          <t>S4-4508944973</t>
        </is>
      </c>
      <c r="C20" s="24" t="inlineStr">
        <is>
          <t>Pos 70</t>
        </is>
      </c>
      <c r="D20" s="88" t="inlineStr">
        <is>
          <t>102-DP-101VCC</t>
        </is>
      </c>
      <c r="E20" s="88" t="inlineStr">
        <is>
          <t>Tablero Distribución VCC SE#4</t>
        </is>
      </c>
      <c r="F20" s="89" t="inlineStr">
        <is>
          <t>Rev0 – Aprobación IB</t>
        </is>
      </c>
      <c r="G20" s="84" t="n">
        <v>2929.123</v>
      </c>
      <c r="H20" s="85" t="inlineStr">
        <is>
          <t>Hito 2 (10%)</t>
        </is>
      </c>
      <c r="I20" s="8" t="n">
        <v>225445.784</v>
      </c>
      <c r="J20" s="27" t="n">
        <v>186261.101</v>
      </c>
      <c r="K20" s="86" t="n">
        <v>411706.885</v>
      </c>
    </row>
    <row r="21" ht="16" customHeight="1">
      <c r="A21" s="16" t="n">
        <v>46199</v>
      </c>
      <c r="B21" s="81" t="inlineStr">
        <is>
          <t>S3-4508944971</t>
        </is>
      </c>
      <c r="C21" s="12" t="inlineStr">
        <is>
          <t>Pos 120</t>
        </is>
      </c>
      <c r="D21" s="82" t="inlineStr">
        <is>
          <t>102-DB-007A/B</t>
        </is>
      </c>
      <c r="E21" s="82" t="inlineStr">
        <is>
          <t>Ducto de Barras 3F+N  DB-007</t>
        </is>
      </c>
      <c r="F21" s="83" t="inlineStr">
        <is>
          <t>RevA – Envío IB</t>
        </is>
      </c>
      <c r="G21" s="84" t="n">
        <v>16950.143</v>
      </c>
      <c r="H21" s="85" t="inlineStr">
        <is>
          <t>Hito 1 (10%)</t>
        </is>
      </c>
      <c r="I21" s="15" t="n">
        <v>242395.927</v>
      </c>
      <c r="J21" s="8" t="n">
        <v>186261.101</v>
      </c>
      <c r="K21" s="86" t="n">
        <v>428657.028</v>
      </c>
    </row>
    <row r="22" ht="16" customHeight="1">
      <c r="A22" s="16" t="n">
        <v>46199</v>
      </c>
      <c r="B22" s="81" t="inlineStr">
        <is>
          <t>S3-4508944971</t>
        </is>
      </c>
      <c r="C22" s="12" t="inlineStr">
        <is>
          <t>Pos 130</t>
        </is>
      </c>
      <c r="D22" s="82" t="inlineStr">
        <is>
          <t>102-DB-006A/B</t>
        </is>
      </c>
      <c r="E22" s="82" t="inlineStr">
        <is>
          <t>Ducto de Barras 3F+N  DB-006</t>
        </is>
      </c>
      <c r="F22" s="83" t="inlineStr">
        <is>
          <t>RevA – Envío IB</t>
        </is>
      </c>
      <c r="G22" s="84" t="n">
        <v>18207.508</v>
      </c>
      <c r="H22" s="85" t="inlineStr">
        <is>
          <t>Hito 1 (10%)</t>
        </is>
      </c>
      <c r="I22" s="15" t="n">
        <v>260603.435</v>
      </c>
      <c r="J22" s="8" t="n">
        <v>186261.101</v>
      </c>
      <c r="K22" s="86" t="n">
        <v>446864.536</v>
      </c>
    </row>
    <row r="23" ht="16" customHeight="1">
      <c r="A23" s="16" t="n">
        <v>46199</v>
      </c>
      <c r="B23" s="81" t="inlineStr">
        <is>
          <t>S3-4508944971</t>
        </is>
      </c>
      <c r="C23" s="12" t="inlineStr">
        <is>
          <t>Pos 140</t>
        </is>
      </c>
      <c r="D23" s="82" t="inlineStr">
        <is>
          <t>102-DB-005A/B</t>
        </is>
      </c>
      <c r="E23" s="82" t="inlineStr">
        <is>
          <t>Ducto de Barras 3F+N  DB-005</t>
        </is>
      </c>
      <c r="F23" s="83" t="inlineStr">
        <is>
          <t>RevA – Envío IB</t>
        </is>
      </c>
      <c r="G23" s="84" t="n">
        <v>13909.432</v>
      </c>
      <c r="H23" s="85" t="inlineStr">
        <is>
          <t>Hito 1 (10%)</t>
        </is>
      </c>
      <c r="I23" s="15" t="n">
        <v>274512.867</v>
      </c>
      <c r="J23" s="8" t="n">
        <v>186261.101</v>
      </c>
      <c r="K23" s="86" t="n">
        <v>460773.968</v>
      </c>
    </row>
    <row r="24" ht="16" customHeight="1">
      <c r="A24" s="16" t="n">
        <v>46203</v>
      </c>
      <c r="B24" s="81" t="inlineStr">
        <is>
          <t>S3-4508944971</t>
        </is>
      </c>
      <c r="C24" s="12" t="inlineStr">
        <is>
          <t>Pos 70</t>
        </is>
      </c>
      <c r="D24" s="82" t="inlineStr">
        <is>
          <t>102-DP-VFD-24210A/B/C</t>
        </is>
      </c>
      <c r="E24" s="82" t="inlineStr">
        <is>
          <t>VFD Variador Frec. Bombas BT (×3)</t>
        </is>
      </c>
      <c r="F24" s="89" t="inlineStr">
        <is>
          <t>Rev0 – Aprobación IB</t>
        </is>
      </c>
      <c r="G24" s="84" t="n">
        <v>24250.812</v>
      </c>
      <c r="H24" s="85" t="inlineStr">
        <is>
          <t>Hito 2 (10%)</t>
        </is>
      </c>
      <c r="I24" s="15" t="n">
        <v>298763.679</v>
      </c>
      <c r="J24" s="8" t="n">
        <v>186261.101</v>
      </c>
      <c r="K24" s="86" t="n">
        <v>485024.78</v>
      </c>
    </row>
    <row r="25" ht="16" customHeight="1">
      <c r="A25" s="28" t="n">
        <v>46203</v>
      </c>
      <c r="B25" s="87" t="inlineStr">
        <is>
          <t>S4-4508944973</t>
        </is>
      </c>
      <c r="C25" s="24" t="inlineStr">
        <is>
          <t>Pos 90</t>
        </is>
      </c>
      <c r="D25" s="88" t="inlineStr">
        <is>
          <t>102-DP-VFD-23310A/B/C</t>
        </is>
      </c>
      <c r="E25" s="88" t="inlineStr">
        <is>
          <t>VFD Variador Frec. Bombas MT (×3)</t>
        </is>
      </c>
      <c r="F25" s="89" t="inlineStr">
        <is>
          <t>Rev0 – Aprobación IB</t>
        </is>
      </c>
      <c r="G25" s="84" t="n">
        <v>39695.256</v>
      </c>
      <c r="H25" s="85" t="inlineStr">
        <is>
          <t>Hito 2 (10%)</t>
        </is>
      </c>
      <c r="I25" s="8" t="n">
        <v>298763.679</v>
      </c>
      <c r="J25" s="27" t="n">
        <v>225956.357</v>
      </c>
      <c r="K25" s="86" t="n">
        <v>524720.036</v>
      </c>
    </row>
    <row r="26" ht="16" customHeight="1">
      <c r="A26" s="28" t="n">
        <v>46209</v>
      </c>
      <c r="B26" s="87" t="inlineStr">
        <is>
          <t>S4-4508944973</t>
        </is>
      </c>
      <c r="C26" s="24" t="inlineStr">
        <is>
          <t>Pos 80</t>
        </is>
      </c>
      <c r="D26" s="88" t="inlineStr">
        <is>
          <t>102-DP-101</t>
        </is>
      </c>
      <c r="E26" s="88" t="inlineStr">
        <is>
          <t>Tablero Serv. Aux. SE#4</t>
        </is>
      </c>
      <c r="F26" s="89" t="inlineStr">
        <is>
          <t>Rev0 – Aprobación IB</t>
        </is>
      </c>
      <c r="G26" s="84" t="n">
        <v>6611.081</v>
      </c>
      <c r="H26" s="85" t="inlineStr">
        <is>
          <t>Hito 2 (10%)</t>
        </is>
      </c>
      <c r="I26" s="8" t="n">
        <v>298763.679</v>
      </c>
      <c r="J26" s="27" t="n">
        <v>232567.438</v>
      </c>
      <c r="K26" s="86" t="n">
        <v>531331.117</v>
      </c>
    </row>
    <row r="27" ht="16" customHeight="1">
      <c r="A27" s="16" t="n">
        <v>46213</v>
      </c>
      <c r="B27" s="81" t="inlineStr">
        <is>
          <t>S3-4508944971</t>
        </is>
      </c>
      <c r="C27" s="12" t="inlineStr">
        <is>
          <t>Pos 80</t>
        </is>
      </c>
      <c r="D27" s="82" t="inlineStr">
        <is>
          <t>102-DP-001-TRA</t>
        </is>
      </c>
      <c r="E27" s="82" t="inlineStr">
        <is>
          <t>Tablero Distribución Tracing</t>
        </is>
      </c>
      <c r="F27" s="89" t="inlineStr">
        <is>
          <t>Rev0 – Aprobación IB</t>
        </is>
      </c>
      <c r="G27" s="84" t="n">
        <v>9563.272999999999</v>
      </c>
      <c r="H27" s="85" t="inlineStr">
        <is>
          <t>Hito 2 (10%)</t>
        </is>
      </c>
      <c r="I27" s="15" t="n">
        <v>308326.952</v>
      </c>
      <c r="J27" s="8" t="n">
        <v>232567.438</v>
      </c>
      <c r="K27" s="86" t="n">
        <v>540894.39</v>
      </c>
    </row>
    <row r="28" ht="16" customHeight="1">
      <c r="A28" s="16" t="n">
        <v>46213</v>
      </c>
      <c r="B28" s="81" t="inlineStr">
        <is>
          <t>S3-4508944971</t>
        </is>
      </c>
      <c r="C28" s="12" t="inlineStr">
        <is>
          <t>Pos 90</t>
        </is>
      </c>
      <c r="D28" s="82" t="inlineStr">
        <is>
          <t>102-DP-001</t>
        </is>
      </c>
      <c r="E28" s="82" t="inlineStr">
        <is>
          <t>Tablero Serv. Aux. SE#3</t>
        </is>
      </c>
      <c r="F28" s="89" t="inlineStr">
        <is>
          <t>Rev0 – Aprobación IB</t>
        </is>
      </c>
      <c r="G28" s="84" t="n">
        <v>10588.506</v>
      </c>
      <c r="H28" s="85" t="inlineStr">
        <is>
          <t>Hito 2 (10%)</t>
        </is>
      </c>
      <c r="I28" s="15" t="n">
        <v>318915.458</v>
      </c>
      <c r="J28" s="8" t="n">
        <v>232567.438</v>
      </c>
      <c r="K28" s="86" t="n">
        <v>551482.8960000001</v>
      </c>
    </row>
    <row r="29" ht="16" customHeight="1">
      <c r="A29" s="16" t="n">
        <v>46213</v>
      </c>
      <c r="B29" s="81" t="inlineStr">
        <is>
          <t>S3-4508944971</t>
        </is>
      </c>
      <c r="C29" s="12" t="inlineStr">
        <is>
          <t>Pos 100</t>
        </is>
      </c>
      <c r="D29" s="82" t="inlineStr">
        <is>
          <t>102-LP-002</t>
        </is>
      </c>
      <c r="E29" s="82" t="inlineStr">
        <is>
          <t>Tablero Distribución UPS</t>
        </is>
      </c>
      <c r="F29" s="89" t="inlineStr">
        <is>
          <t>Rev0 – Aprobación IB</t>
        </is>
      </c>
      <c r="G29" s="84" t="n">
        <v>6348.57</v>
      </c>
      <c r="H29" s="85" t="inlineStr">
        <is>
          <t>Hito 2 (10%)</t>
        </is>
      </c>
      <c r="I29" s="15" t="n">
        <v>325264.028</v>
      </c>
      <c r="J29" s="8" t="n">
        <v>232567.438</v>
      </c>
      <c r="K29" s="86" t="n">
        <v>557831.466</v>
      </c>
    </row>
    <row r="30" ht="16" customHeight="1">
      <c r="A30" s="16" t="n">
        <v>46213</v>
      </c>
      <c r="B30" s="81" t="inlineStr">
        <is>
          <t>S3-4508944971</t>
        </is>
      </c>
      <c r="C30" s="12" t="inlineStr">
        <is>
          <t>Pos 110</t>
        </is>
      </c>
      <c r="D30" s="82" t="inlineStr">
        <is>
          <t>102-LP-001</t>
        </is>
      </c>
      <c r="E30" s="82" t="inlineStr">
        <is>
          <t>Tablero Distribución Serv. Aux. S#3</t>
        </is>
      </c>
      <c r="F30" s="89" t="inlineStr">
        <is>
          <t>Rev0 – Aprobación IB</t>
        </is>
      </c>
      <c r="G30" s="84" t="n">
        <v>9640.977000000001</v>
      </c>
      <c r="H30" s="85" t="inlineStr">
        <is>
          <t>Hito 2 (10%)</t>
        </is>
      </c>
      <c r="I30" s="15" t="n">
        <v>334905.005</v>
      </c>
      <c r="J30" s="8" t="n">
        <v>232567.438</v>
      </c>
      <c r="K30" s="86" t="n">
        <v>567472.443</v>
      </c>
    </row>
    <row r="31" ht="16" customHeight="1">
      <c r="A31" s="16" t="n">
        <v>46219</v>
      </c>
      <c r="B31" s="81" t="inlineStr">
        <is>
          <t>S3-4508944971</t>
        </is>
      </c>
      <c r="C31" s="12" t="inlineStr">
        <is>
          <t>Pos 120</t>
        </is>
      </c>
      <c r="D31" s="82" t="inlineStr">
        <is>
          <t>102-DB-007A/B</t>
        </is>
      </c>
      <c r="E31" s="82" t="inlineStr">
        <is>
          <t>Ducto de Barras 3F+N  DB-007</t>
        </is>
      </c>
      <c r="F31" s="89" t="inlineStr">
        <is>
          <t>Rev0 – Aprobación IB</t>
        </is>
      </c>
      <c r="G31" s="84" t="n">
        <v>16950.143</v>
      </c>
      <c r="H31" s="85" t="inlineStr">
        <is>
          <t>Hito 2 (10%)</t>
        </is>
      </c>
      <c r="I31" s="15" t="n">
        <v>351855.148</v>
      </c>
      <c r="J31" s="8" t="n">
        <v>232567.438</v>
      </c>
      <c r="K31" s="86" t="n">
        <v>584422.586</v>
      </c>
    </row>
    <row r="32" ht="16" customHeight="1">
      <c r="A32" s="16" t="n">
        <v>46219</v>
      </c>
      <c r="B32" s="81" t="inlineStr">
        <is>
          <t>S3-4508944971</t>
        </is>
      </c>
      <c r="C32" s="12" t="inlineStr">
        <is>
          <t>Pos 130</t>
        </is>
      </c>
      <c r="D32" s="82" t="inlineStr">
        <is>
          <t>102-DB-006A/B</t>
        </is>
      </c>
      <c r="E32" s="82" t="inlineStr">
        <is>
          <t>Ducto de Barras 3F+N  DB-006</t>
        </is>
      </c>
      <c r="F32" s="89" t="inlineStr">
        <is>
          <t>Rev0 – Aprobación IB</t>
        </is>
      </c>
      <c r="G32" s="84" t="n">
        <v>18207.508</v>
      </c>
      <c r="H32" s="85" t="inlineStr">
        <is>
          <t>Hito 2 (10%)</t>
        </is>
      </c>
      <c r="I32" s="15" t="n">
        <v>370062.656</v>
      </c>
      <c r="J32" s="8" t="n">
        <v>232567.438</v>
      </c>
      <c r="K32" s="86" t="n">
        <v>602630.094</v>
      </c>
    </row>
    <row r="33" ht="16" customHeight="1">
      <c r="A33" s="16" t="n">
        <v>46219</v>
      </c>
      <c r="B33" s="81" t="inlineStr">
        <is>
          <t>S3-4508944971</t>
        </is>
      </c>
      <c r="C33" s="12" t="inlineStr">
        <is>
          <t>Pos 140</t>
        </is>
      </c>
      <c r="D33" s="82" t="inlineStr">
        <is>
          <t>102-DB-005A/B</t>
        </is>
      </c>
      <c r="E33" s="82" t="inlineStr">
        <is>
          <t>Ducto de Barras 3F+N  DB-005</t>
        </is>
      </c>
      <c r="F33" s="89" t="inlineStr">
        <is>
          <t>Rev0 – Aprobación IB</t>
        </is>
      </c>
      <c r="G33" s="84" t="n">
        <v>13909.432</v>
      </c>
      <c r="H33" s="85" t="inlineStr">
        <is>
          <t>Hito 2 (10%)</t>
        </is>
      </c>
      <c r="I33" s="15" t="n">
        <v>383972.088</v>
      </c>
      <c r="J33" s="8" t="n">
        <v>232567.438</v>
      </c>
      <c r="K33" s="86" t="n">
        <v>616539.5260000001</v>
      </c>
    </row>
    <row r="34" ht="16" customHeight="1">
      <c r="A34" s="28" t="n">
        <v>46224</v>
      </c>
      <c r="B34" s="87" t="inlineStr">
        <is>
          <t>S4-4508944973</t>
        </is>
      </c>
      <c r="C34" s="24" t="inlineStr">
        <is>
          <t>Pos 120</t>
        </is>
      </c>
      <c r="D34" s="88" t="inlineStr">
        <is>
          <t>SE#4 MT</t>
        </is>
      </c>
      <c r="E34" s="88" t="inlineStr">
        <is>
          <t>Sala Eléctrica N°4 MT lote 1</t>
        </is>
      </c>
      <c r="F34" s="83" t="inlineStr">
        <is>
          <t>RevA – Envío IB</t>
        </is>
      </c>
      <c r="G34" s="84" t="n">
        <v>60558.13100000001</v>
      </c>
      <c r="H34" s="85" t="inlineStr">
        <is>
          <t>Hito 1 (10%)</t>
        </is>
      </c>
      <c r="I34" s="8" t="n">
        <v>383972.088</v>
      </c>
      <c r="J34" s="27" t="n">
        <v>293125.569</v>
      </c>
      <c r="K34" s="86" t="n">
        <v>677097.6570000001</v>
      </c>
    </row>
    <row r="35" ht="16" customHeight="1">
      <c r="A35" s="28" t="n">
        <v>46224</v>
      </c>
      <c r="B35" s="87" t="inlineStr">
        <is>
          <t>S4-4508944973</t>
        </is>
      </c>
      <c r="C35" s="24" t="inlineStr">
        <is>
          <t>Pos 140</t>
        </is>
      </c>
      <c r="D35" s="88" t="inlineStr">
        <is>
          <t>SE#4 MT</t>
        </is>
      </c>
      <c r="E35" s="88" t="inlineStr">
        <is>
          <t>Sala Eléctrica N°4 MT lote 2</t>
        </is>
      </c>
      <c r="F35" s="83" t="inlineStr">
        <is>
          <t>RevA – Envío IB</t>
        </is>
      </c>
      <c r="G35" s="84" t="n">
        <v>60558.13100000001</v>
      </c>
      <c r="H35" s="85" t="inlineStr">
        <is>
          <t>Hito 1 (10%)</t>
        </is>
      </c>
      <c r="I35" s="8" t="n">
        <v>383972.088</v>
      </c>
      <c r="J35" s="27" t="n">
        <v>353683.7</v>
      </c>
      <c r="K35" s="86" t="n">
        <v>737655.7880000002</v>
      </c>
    </row>
    <row r="36" ht="16" customHeight="1">
      <c r="A36" s="28" t="n">
        <v>46224</v>
      </c>
      <c r="B36" s="87" t="inlineStr">
        <is>
          <t>S4-4508944973</t>
        </is>
      </c>
      <c r="C36" s="24" t="inlineStr">
        <is>
          <t>Pos 150</t>
        </is>
      </c>
      <c r="D36" s="88" t="inlineStr">
        <is>
          <t>SE#4 MT</t>
        </is>
      </c>
      <c r="E36" s="88" t="inlineStr">
        <is>
          <t>Sala Eléctrica N°4 MT lote 3</t>
        </is>
      </c>
      <c r="F36" s="83" t="inlineStr">
        <is>
          <t>RevA – Envío IB</t>
        </is>
      </c>
      <c r="G36" s="84" t="n">
        <v>60558.13100000001</v>
      </c>
      <c r="H36" s="85" t="inlineStr">
        <is>
          <t>Hito 1 (10%)</t>
        </is>
      </c>
      <c r="I36" s="8" t="n">
        <v>383972.088</v>
      </c>
      <c r="J36" s="27" t="n">
        <v>414241.831</v>
      </c>
      <c r="K36" s="86" t="n">
        <v>798213.9190000002</v>
      </c>
    </row>
    <row r="37" ht="16" customHeight="1">
      <c r="A37" s="16" t="n">
        <v>46232</v>
      </c>
      <c r="B37" s="81" t="inlineStr">
        <is>
          <t>S3-4508944971</t>
        </is>
      </c>
      <c r="C37" s="12" t="inlineStr">
        <is>
          <t>Pos 180</t>
        </is>
      </c>
      <c r="D37" s="82" t="inlineStr">
        <is>
          <t>SE#3 MT</t>
        </is>
      </c>
      <c r="E37" s="82" t="inlineStr">
        <is>
          <t>Sala Eléctrica N°3 BT lote 1</t>
        </is>
      </c>
      <c r="F37" s="83" t="inlineStr">
        <is>
          <t>RevA – Envío IB</t>
        </is>
      </c>
      <c r="G37" s="84" t="n">
        <v>62281.70699999999</v>
      </c>
      <c r="H37" s="85" t="inlineStr">
        <is>
          <t>Hito 1 (10%)</t>
        </is>
      </c>
      <c r="I37" s="15" t="n">
        <v>446253.795</v>
      </c>
      <c r="J37" s="8" t="n">
        <v>414241.831</v>
      </c>
      <c r="K37" s="86" t="n">
        <v>860495.6260000002</v>
      </c>
    </row>
    <row r="38" ht="16" customHeight="1">
      <c r="A38" s="16" t="n">
        <v>46232</v>
      </c>
      <c r="B38" s="81" t="inlineStr">
        <is>
          <t>S3-4508944971</t>
        </is>
      </c>
      <c r="C38" s="12" t="inlineStr">
        <is>
          <t>Pos 240</t>
        </is>
      </c>
      <c r="D38" s="82" t="inlineStr">
        <is>
          <t>SE#3 MT</t>
        </is>
      </c>
      <c r="E38" s="82" t="inlineStr">
        <is>
          <t>Sala Eléctrica N°3 BT lote 2</t>
        </is>
      </c>
      <c r="F38" s="83" t="inlineStr">
        <is>
          <t>RevA – Envío IB</t>
        </is>
      </c>
      <c r="G38" s="84" t="n">
        <v>62281.70699999999</v>
      </c>
      <c r="H38" s="85" t="inlineStr">
        <is>
          <t>Hito 1 (10%)</t>
        </is>
      </c>
      <c r="I38" s="15" t="n">
        <v>508535.502</v>
      </c>
      <c r="J38" s="8" t="n">
        <v>414241.831</v>
      </c>
      <c r="K38" s="86" t="n">
        <v>922777.3330000001</v>
      </c>
    </row>
    <row r="39" ht="16" customHeight="1">
      <c r="A39" s="16" t="n">
        <v>46232</v>
      </c>
      <c r="B39" s="81" t="inlineStr">
        <is>
          <t>S3-4508944971</t>
        </is>
      </c>
      <c r="C39" s="12" t="inlineStr">
        <is>
          <t>Pos 250</t>
        </is>
      </c>
      <c r="D39" s="82" t="inlineStr">
        <is>
          <t>SE#3 MT</t>
        </is>
      </c>
      <c r="E39" s="82" t="inlineStr">
        <is>
          <t>Sala Eléctrica N°3 BT lote 3</t>
        </is>
      </c>
      <c r="F39" s="83" t="inlineStr">
        <is>
          <t>RevA – Envío IB</t>
        </is>
      </c>
      <c r="G39" s="84" t="n">
        <v>62281.70699999999</v>
      </c>
      <c r="H39" s="85" t="inlineStr">
        <is>
          <t>Hito 1 (10%)</t>
        </is>
      </c>
      <c r="I39" s="15" t="n">
        <v>570817.209</v>
      </c>
      <c r="J39" s="8" t="n">
        <v>414241.831</v>
      </c>
      <c r="K39" s="86" t="n">
        <v>985059.04</v>
      </c>
    </row>
    <row r="40" ht="16" customHeight="1">
      <c r="A40" s="16" t="n">
        <v>46232</v>
      </c>
      <c r="B40" s="81" t="inlineStr">
        <is>
          <t>S3-4508944971</t>
        </is>
      </c>
      <c r="C40" s="12" t="inlineStr">
        <is>
          <t>Pos 260</t>
        </is>
      </c>
      <c r="D40" s="82" t="inlineStr">
        <is>
          <t>SE#3 MT</t>
        </is>
      </c>
      <c r="E40" s="82" t="inlineStr">
        <is>
          <t>Sala Eléctrica N°3 BT lote 4</t>
        </is>
      </c>
      <c r="F40" s="83" t="inlineStr">
        <is>
          <t>RevA – Envío IB</t>
        </is>
      </c>
      <c r="G40" s="84" t="n">
        <v>62281.70699999999</v>
      </c>
      <c r="H40" s="85" t="inlineStr">
        <is>
          <t>Hito 1 (10%)</t>
        </is>
      </c>
      <c r="I40" s="15" t="n">
        <v>633098.916</v>
      </c>
      <c r="J40" s="8" t="n">
        <v>414241.831</v>
      </c>
      <c r="K40" s="86" t="n">
        <v>1047340.747</v>
      </c>
    </row>
    <row r="41" ht="16" customHeight="1">
      <c r="A41" s="16" t="n">
        <v>46232</v>
      </c>
      <c r="B41" s="81" t="inlineStr">
        <is>
          <t>S3-4508944971</t>
        </is>
      </c>
      <c r="C41" s="12" t="inlineStr">
        <is>
          <t>Pos 270</t>
        </is>
      </c>
      <c r="D41" s="82" t="inlineStr">
        <is>
          <t>SE#3 MT</t>
        </is>
      </c>
      <c r="E41" s="82" t="inlineStr">
        <is>
          <t>Sala Eléctrica N°3 BT lote 5</t>
        </is>
      </c>
      <c r="F41" s="83" t="inlineStr">
        <is>
          <t>RevA – Envío IB</t>
        </is>
      </c>
      <c r="G41" s="84" t="n">
        <v>62281.70699999999</v>
      </c>
      <c r="H41" s="85" t="inlineStr">
        <is>
          <t>Hito 1 (10%)</t>
        </is>
      </c>
      <c r="I41" s="15" t="n">
        <v>695380.6229999999</v>
      </c>
      <c r="J41" s="8" t="n">
        <v>414241.831</v>
      </c>
      <c r="K41" s="86" t="n">
        <v>1109622.454</v>
      </c>
    </row>
    <row r="42" ht="16" customHeight="1">
      <c r="A42" s="28" t="n">
        <v>46234</v>
      </c>
      <c r="B42" s="87" t="inlineStr">
        <is>
          <t>S4-4508944973</t>
        </is>
      </c>
      <c r="C42" s="24" t="inlineStr">
        <is>
          <t>Pos 100</t>
        </is>
      </c>
      <c r="D42" s="88" t="inlineStr">
        <is>
          <t>102-TGMT-001/003</t>
        </is>
      </c>
      <c r="E42" s="88" t="inlineStr">
        <is>
          <t>SWG MT 13.2kV / 6.6kV – Celdas</t>
        </is>
      </c>
      <c r="F42" s="89" t="inlineStr">
        <is>
          <t>Rev0 – Aprobación IB</t>
        </is>
      </c>
      <c r="G42" s="84" t="n">
        <v>51748.45800000001</v>
      </c>
      <c r="H42" s="85" t="inlineStr">
        <is>
          <t>Hito 2 (10%)</t>
        </is>
      </c>
      <c r="I42" s="8" t="n">
        <v>695380.6229999999</v>
      </c>
      <c r="J42" s="27" t="n">
        <v>465990.289</v>
      </c>
      <c r="K42" s="86" t="n">
        <v>1161370.912</v>
      </c>
    </row>
    <row r="43" ht="16" customHeight="1">
      <c r="A43" s="28" t="n">
        <v>46234</v>
      </c>
      <c r="B43" s="87" t="inlineStr">
        <is>
          <t>S4-4508944973</t>
        </is>
      </c>
      <c r="C43" s="24" t="inlineStr">
        <is>
          <t>Pos 110</t>
        </is>
      </c>
      <c r="D43" s="88" t="inlineStr">
        <is>
          <t>102-TGMT-001/003</t>
        </is>
      </c>
      <c r="E43" s="88" t="inlineStr">
        <is>
          <t>SWG MT – Tableros lote 1</t>
        </is>
      </c>
      <c r="F43" s="89" t="inlineStr">
        <is>
          <t>Rev0 – Aprobación IB</t>
        </is>
      </c>
      <c r="G43" s="84" t="n">
        <v>38643.473</v>
      </c>
      <c r="H43" s="85" t="inlineStr">
        <is>
          <t>Hito 2 (10%)</t>
        </is>
      </c>
      <c r="I43" s="8" t="n">
        <v>695380.6229999999</v>
      </c>
      <c r="J43" s="27" t="n">
        <v>504633.762</v>
      </c>
      <c r="K43" s="86" t="n">
        <v>1200014.385</v>
      </c>
    </row>
    <row r="44" ht="16" customHeight="1">
      <c r="A44" s="28" t="n">
        <v>46234</v>
      </c>
      <c r="B44" s="87" t="inlineStr">
        <is>
          <t>S4-4508944973</t>
        </is>
      </c>
      <c r="C44" s="24" t="inlineStr">
        <is>
          <t>Pos 130</t>
        </is>
      </c>
      <c r="D44" s="88" t="inlineStr">
        <is>
          <t>102-TGMT-001/003</t>
        </is>
      </c>
      <c r="E44" s="88" t="inlineStr">
        <is>
          <t>SWG MT – Tableros lote 2</t>
        </is>
      </c>
      <c r="F44" s="89" t="inlineStr">
        <is>
          <t>Rev0 – Aprobación IB</t>
        </is>
      </c>
      <c r="G44" s="84" t="n">
        <v>38643.473</v>
      </c>
      <c r="H44" s="85" t="inlineStr">
        <is>
          <t>Hito 2 (10%)</t>
        </is>
      </c>
      <c r="I44" s="8" t="n">
        <v>695380.6229999999</v>
      </c>
      <c r="J44" s="27" t="n">
        <v>543277.235</v>
      </c>
      <c r="K44" s="86" t="n">
        <v>1238657.858</v>
      </c>
    </row>
    <row r="45" ht="16" customHeight="1">
      <c r="A45" s="16" t="n">
        <v>46244</v>
      </c>
      <c r="B45" s="81" t="inlineStr">
        <is>
          <t>S3-4508944971</t>
        </is>
      </c>
      <c r="C45" s="12" t="inlineStr">
        <is>
          <t>Pos 150</t>
        </is>
      </c>
      <c r="D45" s="82" t="inlineStr">
        <is>
          <t>102-CCM-007</t>
        </is>
      </c>
      <c r="E45" s="82" t="inlineStr">
        <is>
          <t>CCM 380/220V lote 1</t>
        </is>
      </c>
      <c r="F45" s="83" t="inlineStr">
        <is>
          <t>RevA – Envío IB</t>
        </is>
      </c>
      <c r="G45" s="84" t="n">
        <v>45129.847</v>
      </c>
      <c r="H45" s="85" t="inlineStr">
        <is>
          <t>Hito 1 (10%)</t>
        </is>
      </c>
      <c r="I45" s="15" t="n">
        <v>740510.4699999999</v>
      </c>
      <c r="J45" s="8" t="n">
        <v>543277.235</v>
      </c>
      <c r="K45" s="86" t="n">
        <v>1283787.705</v>
      </c>
    </row>
    <row r="46" ht="16" customHeight="1">
      <c r="A46" s="16" t="n">
        <v>46244</v>
      </c>
      <c r="B46" s="81" t="inlineStr">
        <is>
          <t>S3-4508944971</t>
        </is>
      </c>
      <c r="C46" s="12" t="inlineStr">
        <is>
          <t>Pos 160</t>
        </is>
      </c>
      <c r="D46" s="82" t="inlineStr">
        <is>
          <t>102-CCM-006</t>
        </is>
      </c>
      <c r="E46" s="82" t="inlineStr">
        <is>
          <t>CCM 380/220V lote 1</t>
        </is>
      </c>
      <c r="F46" s="83" t="inlineStr">
        <is>
          <t>RevA – Envío IB</t>
        </is>
      </c>
      <c r="G46" s="84" t="n">
        <v>49294.264</v>
      </c>
      <c r="H46" s="85" t="inlineStr">
        <is>
          <t>Hito 1 (10%)</t>
        </is>
      </c>
      <c r="I46" s="15" t="n">
        <v>789804.7339999998</v>
      </c>
      <c r="J46" s="8" t="n">
        <v>543277.235</v>
      </c>
      <c r="K46" s="86" t="n">
        <v>1333081.969</v>
      </c>
    </row>
    <row r="47" ht="16" customHeight="1">
      <c r="A47" s="16" t="n">
        <v>46244</v>
      </c>
      <c r="B47" s="81" t="inlineStr">
        <is>
          <t>S3-4508944971</t>
        </is>
      </c>
      <c r="C47" s="12" t="inlineStr">
        <is>
          <t>Pos 170</t>
        </is>
      </c>
      <c r="D47" s="82" t="inlineStr">
        <is>
          <t>102-CCM-005</t>
        </is>
      </c>
      <c r="E47" s="82" t="inlineStr">
        <is>
          <t>CCM 380/220V lote 1</t>
        </is>
      </c>
      <c r="F47" s="83" t="inlineStr">
        <is>
          <t>RevA – Envío IB</t>
        </is>
      </c>
      <c r="G47" s="84" t="n">
        <v>55273.798</v>
      </c>
      <c r="H47" s="85" t="inlineStr">
        <is>
          <t>Hito 1 (10%)</t>
        </is>
      </c>
      <c r="I47" s="15" t="n">
        <v>845078.5319999998</v>
      </c>
      <c r="J47" s="8" t="n">
        <v>543277.235</v>
      </c>
      <c r="K47" s="86" t="n">
        <v>1388355.767</v>
      </c>
    </row>
    <row r="48" ht="16" customHeight="1">
      <c r="A48" s="16" t="n">
        <v>46244</v>
      </c>
      <c r="B48" s="81" t="inlineStr">
        <is>
          <t>S3-4508944971</t>
        </is>
      </c>
      <c r="C48" s="12" t="inlineStr">
        <is>
          <t>Pos 210</t>
        </is>
      </c>
      <c r="D48" s="82" t="inlineStr">
        <is>
          <t>102-CCM-007</t>
        </is>
      </c>
      <c r="E48" s="82" t="inlineStr">
        <is>
          <t>CCM 380/220V lote 2</t>
        </is>
      </c>
      <c r="F48" s="83" t="inlineStr">
        <is>
          <t>RevA – Envío IB</t>
        </is>
      </c>
      <c r="G48" s="84" t="n">
        <v>45129.847</v>
      </c>
      <c r="H48" s="85" t="inlineStr">
        <is>
          <t>Hito 1 (10%)</t>
        </is>
      </c>
      <c r="I48" s="15" t="n">
        <v>890208.3789999997</v>
      </c>
      <c r="J48" s="8" t="n">
        <v>543277.235</v>
      </c>
      <c r="K48" s="86" t="n">
        <v>1433485.614</v>
      </c>
    </row>
    <row r="49" ht="16" customHeight="1">
      <c r="A49" s="16" t="n">
        <v>46244</v>
      </c>
      <c r="B49" s="81" t="inlineStr">
        <is>
          <t>S3-4508944971</t>
        </is>
      </c>
      <c r="C49" s="12" t="inlineStr">
        <is>
          <t>Pos 220</t>
        </is>
      </c>
      <c r="D49" s="82" t="inlineStr">
        <is>
          <t>102-CCM-006</t>
        </is>
      </c>
      <c r="E49" s="82" t="inlineStr">
        <is>
          <t>CCM 380/220V lote 2</t>
        </is>
      </c>
      <c r="F49" s="83" t="inlineStr">
        <is>
          <t>RevA – Envío IB</t>
        </is>
      </c>
      <c r="G49" s="84" t="n">
        <v>49294.264</v>
      </c>
      <c r="H49" s="85" t="inlineStr">
        <is>
          <t>Hito 1 (10%)</t>
        </is>
      </c>
      <c r="I49" s="15" t="n">
        <v>939502.6429999997</v>
      </c>
      <c r="J49" s="8" t="n">
        <v>543277.235</v>
      </c>
      <c r="K49" s="86" t="n">
        <v>1482779.878</v>
      </c>
    </row>
    <row r="50" ht="16" customHeight="1">
      <c r="A50" s="16" t="n">
        <v>46244</v>
      </c>
      <c r="B50" s="81" t="inlineStr">
        <is>
          <t>S3-4508944971</t>
        </is>
      </c>
      <c r="C50" s="12" t="inlineStr">
        <is>
          <t>Pos 230</t>
        </is>
      </c>
      <c r="D50" s="82" t="inlineStr">
        <is>
          <t>102-CCM-005</t>
        </is>
      </c>
      <c r="E50" s="82" t="inlineStr">
        <is>
          <t>CCM 380/220V lote 2</t>
        </is>
      </c>
      <c r="F50" s="83" t="inlineStr">
        <is>
          <t>RevA – Envío IB</t>
        </is>
      </c>
      <c r="G50" s="84" t="n">
        <v>55273.798</v>
      </c>
      <c r="H50" s="85" t="inlineStr">
        <is>
          <t>Hito 1 (10%)</t>
        </is>
      </c>
      <c r="I50" s="15" t="n">
        <v>994776.4409999996</v>
      </c>
      <c r="J50" s="8" t="n">
        <v>543277.235</v>
      </c>
      <c r="K50" s="86" t="n">
        <v>1538053.676</v>
      </c>
    </row>
    <row r="51" ht="16" customHeight="1">
      <c r="A51" s="28" t="n">
        <v>46244</v>
      </c>
      <c r="B51" s="87" t="inlineStr">
        <is>
          <t>S4-4508944973</t>
        </is>
      </c>
      <c r="C51" s="24" t="inlineStr">
        <is>
          <t>Pos 120</t>
        </is>
      </c>
      <c r="D51" s="88" t="inlineStr">
        <is>
          <t>SE#4 MT</t>
        </is>
      </c>
      <c r="E51" s="88" t="inlineStr">
        <is>
          <t>Sala Eléctrica N°4 MT lote 1</t>
        </is>
      </c>
      <c r="F51" s="89" t="inlineStr">
        <is>
          <t>Rev0 – Aprobación IB</t>
        </is>
      </c>
      <c r="G51" s="84" t="n">
        <v>60558.13100000001</v>
      </c>
      <c r="H51" s="85" t="inlineStr">
        <is>
          <t>Hito 2 (10%)</t>
        </is>
      </c>
      <c r="I51" s="8" t="n">
        <v>994776.4409999996</v>
      </c>
      <c r="J51" s="27" t="n">
        <v>603835.366</v>
      </c>
      <c r="K51" s="86" t="n">
        <v>1598611.807</v>
      </c>
    </row>
    <row r="52" ht="16" customHeight="1">
      <c r="A52" s="28" t="n">
        <v>46244</v>
      </c>
      <c r="B52" s="87" t="inlineStr">
        <is>
          <t>S4-4508944973</t>
        </is>
      </c>
      <c r="C52" s="24" t="inlineStr">
        <is>
          <t>Pos 140</t>
        </is>
      </c>
      <c r="D52" s="88" t="inlineStr">
        <is>
          <t>SE#4 MT</t>
        </is>
      </c>
      <c r="E52" s="88" t="inlineStr">
        <is>
          <t>Sala Eléctrica N°4 MT lote 2</t>
        </is>
      </c>
      <c r="F52" s="89" t="inlineStr">
        <is>
          <t>Rev0 – Aprobación IB</t>
        </is>
      </c>
      <c r="G52" s="84" t="n">
        <v>60558.13100000001</v>
      </c>
      <c r="H52" s="85" t="inlineStr">
        <is>
          <t>Hito 2 (10%)</t>
        </is>
      </c>
      <c r="I52" s="8" t="n">
        <v>994776.4409999996</v>
      </c>
      <c r="J52" s="27" t="n">
        <v>664393.4970000001</v>
      </c>
      <c r="K52" s="86" t="n">
        <v>1659169.938</v>
      </c>
    </row>
    <row r="53" ht="16" customHeight="1">
      <c r="A53" s="28" t="n">
        <v>46244</v>
      </c>
      <c r="B53" s="87" t="inlineStr">
        <is>
          <t>S4-4508944973</t>
        </is>
      </c>
      <c r="C53" s="24" t="inlineStr">
        <is>
          <t>Pos 150</t>
        </is>
      </c>
      <c r="D53" s="88" t="inlineStr">
        <is>
          <t>SE#4 MT</t>
        </is>
      </c>
      <c r="E53" s="88" t="inlineStr">
        <is>
          <t>Sala Eléctrica N°4 MT lote 3</t>
        </is>
      </c>
      <c r="F53" s="89" t="inlineStr">
        <is>
          <t>Rev0 – Aprobación IB</t>
        </is>
      </c>
      <c r="G53" s="84" t="n">
        <v>60558.13100000001</v>
      </c>
      <c r="H53" s="85" t="inlineStr">
        <is>
          <t>Hito 2 (10%)</t>
        </is>
      </c>
      <c r="I53" s="8" t="n">
        <v>994776.4409999996</v>
      </c>
      <c r="J53" s="27" t="n">
        <v>724951.6280000001</v>
      </c>
      <c r="K53" s="86" t="n">
        <v>1719728.069</v>
      </c>
    </row>
    <row r="54" ht="16" customHeight="1">
      <c r="A54" s="16" t="n">
        <v>46251</v>
      </c>
      <c r="B54" s="81" t="inlineStr">
        <is>
          <t>S3-4508944971</t>
        </is>
      </c>
      <c r="C54" s="12" t="inlineStr">
        <is>
          <t>Pos 180</t>
        </is>
      </c>
      <c r="D54" s="82" t="inlineStr">
        <is>
          <t>SE#3 MT</t>
        </is>
      </c>
      <c r="E54" s="82" t="inlineStr">
        <is>
          <t>Sala Eléctrica N°3 BT lote 1</t>
        </is>
      </c>
      <c r="F54" s="89" t="inlineStr">
        <is>
          <t>Rev0 – Aprobación IB</t>
        </is>
      </c>
      <c r="G54" s="84" t="n">
        <v>62281.70699999999</v>
      </c>
      <c r="H54" s="85" t="inlineStr">
        <is>
          <t>Hito 2 (10%)</t>
        </is>
      </c>
      <c r="I54" s="15" t="n">
        <v>1057058.148</v>
      </c>
      <c r="J54" s="8" t="n">
        <v>724951.6280000001</v>
      </c>
      <c r="K54" s="86" t="n">
        <v>1782009.776</v>
      </c>
    </row>
    <row r="55" ht="16" customHeight="1">
      <c r="A55" s="16" t="n">
        <v>46251</v>
      </c>
      <c r="B55" s="81" t="inlineStr">
        <is>
          <t>S3-4508944971</t>
        </is>
      </c>
      <c r="C55" s="12" t="inlineStr">
        <is>
          <t>Pos 240</t>
        </is>
      </c>
      <c r="D55" s="82" t="inlineStr">
        <is>
          <t>SE#3 MT</t>
        </is>
      </c>
      <c r="E55" s="82" t="inlineStr">
        <is>
          <t>Sala Eléctrica N°3 BT lote 2</t>
        </is>
      </c>
      <c r="F55" s="89" t="inlineStr">
        <is>
          <t>Rev0 – Aprobación IB</t>
        </is>
      </c>
      <c r="G55" s="84" t="n">
        <v>62281.70699999999</v>
      </c>
      <c r="H55" s="85" t="inlineStr">
        <is>
          <t>Hito 2 (10%)</t>
        </is>
      </c>
      <c r="I55" s="15" t="n">
        <v>1119339.855</v>
      </c>
      <c r="J55" s="8" t="n">
        <v>724951.6280000001</v>
      </c>
      <c r="K55" s="86" t="n">
        <v>1844291.483</v>
      </c>
    </row>
    <row r="56" ht="16" customHeight="1">
      <c r="A56" s="16" t="n">
        <v>46251</v>
      </c>
      <c r="B56" s="81" t="inlineStr">
        <is>
          <t>S3-4508944971</t>
        </is>
      </c>
      <c r="C56" s="12" t="inlineStr">
        <is>
          <t>Pos 250</t>
        </is>
      </c>
      <c r="D56" s="82" t="inlineStr">
        <is>
          <t>SE#3 MT</t>
        </is>
      </c>
      <c r="E56" s="82" t="inlineStr">
        <is>
          <t>Sala Eléctrica N°3 BT lote 3</t>
        </is>
      </c>
      <c r="F56" s="89" t="inlineStr">
        <is>
          <t>Rev0 – Aprobación IB</t>
        </is>
      </c>
      <c r="G56" s="84" t="n">
        <v>62281.70699999999</v>
      </c>
      <c r="H56" s="85" t="inlineStr">
        <is>
          <t>Hito 2 (10%)</t>
        </is>
      </c>
      <c r="I56" s="15" t="n">
        <v>1181621.561999999</v>
      </c>
      <c r="J56" s="8" t="n">
        <v>724951.6280000001</v>
      </c>
      <c r="K56" s="86" t="n">
        <v>1906573.19</v>
      </c>
    </row>
    <row r="57" ht="16" customHeight="1">
      <c r="A57" s="16" t="n">
        <v>46251</v>
      </c>
      <c r="B57" s="81" t="inlineStr">
        <is>
          <t>S3-4508944971</t>
        </is>
      </c>
      <c r="C57" s="12" t="inlineStr">
        <is>
          <t>Pos 260</t>
        </is>
      </c>
      <c r="D57" s="82" t="inlineStr">
        <is>
          <t>SE#3 MT</t>
        </is>
      </c>
      <c r="E57" s="82" t="inlineStr">
        <is>
          <t>Sala Eléctrica N°3 BT lote 4</t>
        </is>
      </c>
      <c r="F57" s="89" t="inlineStr">
        <is>
          <t>Rev0 – Aprobación IB</t>
        </is>
      </c>
      <c r="G57" s="84" t="n">
        <v>62281.70699999999</v>
      </c>
      <c r="H57" s="85" t="inlineStr">
        <is>
          <t>Hito 2 (10%)</t>
        </is>
      </c>
      <c r="I57" s="15" t="n">
        <v>1243903.268999999</v>
      </c>
      <c r="J57" s="8" t="n">
        <v>724951.6280000001</v>
      </c>
      <c r="K57" s="86" t="n">
        <v>1968854.897</v>
      </c>
    </row>
    <row r="58" ht="16" customHeight="1">
      <c r="A58" s="16" t="n">
        <v>46251</v>
      </c>
      <c r="B58" s="81" t="inlineStr">
        <is>
          <t>S3-4508944971</t>
        </is>
      </c>
      <c r="C58" s="12" t="inlineStr">
        <is>
          <t>Pos 270</t>
        </is>
      </c>
      <c r="D58" s="82" t="inlineStr">
        <is>
          <t>SE#3 MT</t>
        </is>
      </c>
      <c r="E58" s="82" t="inlineStr">
        <is>
          <t>Sala Eléctrica N°3 BT lote 5</t>
        </is>
      </c>
      <c r="F58" s="89" t="inlineStr">
        <is>
          <t>Rev0 – Aprobación IB</t>
        </is>
      </c>
      <c r="G58" s="84" t="n">
        <v>62281.70699999999</v>
      </c>
      <c r="H58" s="85" t="inlineStr">
        <is>
          <t>Hito 2 (10%)</t>
        </is>
      </c>
      <c r="I58" s="15" t="n">
        <v>1306184.975999999</v>
      </c>
      <c r="J58" s="8" t="n">
        <v>724951.6280000001</v>
      </c>
      <c r="K58" s="86" t="n">
        <v>2031136.604</v>
      </c>
    </row>
    <row r="59" ht="16" customHeight="1">
      <c r="A59" s="16" t="n">
        <v>46259</v>
      </c>
      <c r="B59" s="81" t="inlineStr">
        <is>
          <t>S3-4508944971</t>
        </is>
      </c>
      <c r="C59" s="12" t="inlineStr">
        <is>
          <t>Pos 150</t>
        </is>
      </c>
      <c r="D59" s="82" t="inlineStr">
        <is>
          <t>102-CCM-007</t>
        </is>
      </c>
      <c r="E59" s="82" t="inlineStr">
        <is>
          <t>CCM 380/220V lote 1</t>
        </is>
      </c>
      <c r="F59" s="89" t="inlineStr">
        <is>
          <t>Rev0 – Aprobación IB</t>
        </is>
      </c>
      <c r="G59" s="84" t="n">
        <v>45129.847</v>
      </c>
      <c r="H59" s="85" t="inlineStr">
        <is>
          <t>Hito 2 (10%)</t>
        </is>
      </c>
      <c r="I59" s="15" t="n">
        <v>1351314.822999999</v>
      </c>
      <c r="J59" s="8" t="n">
        <v>724951.6280000001</v>
      </c>
      <c r="K59" s="86" t="n">
        <v>2076266.451</v>
      </c>
    </row>
    <row r="60" ht="16" customHeight="1">
      <c r="A60" s="16" t="n">
        <v>46259</v>
      </c>
      <c r="B60" s="81" t="inlineStr">
        <is>
          <t>S3-4508944971</t>
        </is>
      </c>
      <c r="C60" s="12" t="inlineStr">
        <is>
          <t>Pos 160</t>
        </is>
      </c>
      <c r="D60" s="82" t="inlineStr">
        <is>
          <t>102-CCM-006</t>
        </is>
      </c>
      <c r="E60" s="82" t="inlineStr">
        <is>
          <t>CCM 380/220V lote 1</t>
        </is>
      </c>
      <c r="F60" s="89" t="inlineStr">
        <is>
          <t>Rev0 – Aprobación IB</t>
        </is>
      </c>
      <c r="G60" s="84" t="n">
        <v>49294.264</v>
      </c>
      <c r="H60" s="85" t="inlineStr">
        <is>
          <t>Hito 2 (10%)</t>
        </is>
      </c>
      <c r="I60" s="15" t="n">
        <v>1400609.086999999</v>
      </c>
      <c r="J60" s="8" t="n">
        <v>724951.6280000001</v>
      </c>
      <c r="K60" s="86" t="n">
        <v>2125560.715</v>
      </c>
    </row>
    <row r="61" ht="16" customHeight="1">
      <c r="A61" s="16" t="n">
        <v>46259</v>
      </c>
      <c r="B61" s="81" t="inlineStr">
        <is>
          <t>S3-4508944971</t>
        </is>
      </c>
      <c r="C61" s="12" t="inlineStr">
        <is>
          <t>Pos 170</t>
        </is>
      </c>
      <c r="D61" s="82" t="inlineStr">
        <is>
          <t>102-CCM-005</t>
        </is>
      </c>
      <c r="E61" s="82" t="inlineStr">
        <is>
          <t>CCM 380/220V lote 1</t>
        </is>
      </c>
      <c r="F61" s="89" t="inlineStr">
        <is>
          <t>Rev0 – Aprobación IB</t>
        </is>
      </c>
      <c r="G61" s="84" t="n">
        <v>55273.798</v>
      </c>
      <c r="H61" s="85" t="inlineStr">
        <is>
          <t>Hito 2 (10%)</t>
        </is>
      </c>
      <c r="I61" s="15" t="n">
        <v>1455882.884999999</v>
      </c>
      <c r="J61" s="8" t="n">
        <v>724951.6280000001</v>
      </c>
      <c r="K61" s="86" t="n">
        <v>2180834.513</v>
      </c>
    </row>
    <row r="62" ht="16" customHeight="1">
      <c r="A62" s="16" t="n">
        <v>46259</v>
      </c>
      <c r="B62" s="81" t="inlineStr">
        <is>
          <t>S3-4508944971</t>
        </is>
      </c>
      <c r="C62" s="12" t="inlineStr">
        <is>
          <t>Pos 210</t>
        </is>
      </c>
      <c r="D62" s="82" t="inlineStr">
        <is>
          <t>102-CCM-007</t>
        </is>
      </c>
      <c r="E62" s="82" t="inlineStr">
        <is>
          <t>CCM 380/220V lote 2</t>
        </is>
      </c>
      <c r="F62" s="89" t="inlineStr">
        <is>
          <t>Rev0 – Aprobación IB</t>
        </is>
      </c>
      <c r="G62" s="84" t="n">
        <v>45129.847</v>
      </c>
      <c r="H62" s="85" t="inlineStr">
        <is>
          <t>Hito 2 (10%)</t>
        </is>
      </c>
      <c r="I62" s="15" t="n">
        <v>1501012.731999999</v>
      </c>
      <c r="J62" s="8" t="n">
        <v>724951.6280000001</v>
      </c>
      <c r="K62" s="86" t="n">
        <v>2225964.36</v>
      </c>
    </row>
    <row r="63" ht="16" customHeight="1">
      <c r="A63" s="16" t="n">
        <v>46259</v>
      </c>
      <c r="B63" s="81" t="inlineStr">
        <is>
          <t>S3-4508944971</t>
        </is>
      </c>
      <c r="C63" s="12" t="inlineStr">
        <is>
          <t>Pos 220</t>
        </is>
      </c>
      <c r="D63" s="82" t="inlineStr">
        <is>
          <t>102-CCM-006</t>
        </is>
      </c>
      <c r="E63" s="82" t="inlineStr">
        <is>
          <t>CCM 380/220V lote 2</t>
        </is>
      </c>
      <c r="F63" s="89" t="inlineStr">
        <is>
          <t>Rev0 – Aprobación IB</t>
        </is>
      </c>
      <c r="G63" s="84" t="n">
        <v>49294.264</v>
      </c>
      <c r="H63" s="85" t="inlineStr">
        <is>
          <t>Hito 2 (10%)</t>
        </is>
      </c>
      <c r="I63" s="15" t="n">
        <v>1550306.995999999</v>
      </c>
      <c r="J63" s="8" t="n">
        <v>724951.6280000001</v>
      </c>
      <c r="K63" s="86" t="n">
        <v>2275258.624</v>
      </c>
    </row>
    <row r="64" ht="16" customHeight="1">
      <c r="A64" s="16" t="n">
        <v>46259</v>
      </c>
      <c r="B64" s="81" t="inlineStr">
        <is>
          <t>S3-4508944971</t>
        </is>
      </c>
      <c r="C64" s="12" t="inlineStr">
        <is>
          <t>Pos 230</t>
        </is>
      </c>
      <c r="D64" s="82" t="inlineStr">
        <is>
          <t>102-CCM-005</t>
        </is>
      </c>
      <c r="E64" s="82" t="inlineStr">
        <is>
          <t>CCM 380/220V lote 2</t>
        </is>
      </c>
      <c r="F64" s="89" t="inlineStr">
        <is>
          <t>Rev0 – Aprobación IB</t>
        </is>
      </c>
      <c r="G64" s="84" t="n">
        <v>55273.798</v>
      </c>
      <c r="H64" s="85" t="inlineStr">
        <is>
          <t>Hito 2 (10%)</t>
        </is>
      </c>
      <c r="I64" s="15" t="n">
        <v>1605580.793999999</v>
      </c>
      <c r="J64" s="8" t="n">
        <v>724951.6280000001</v>
      </c>
      <c r="K64" s="86" t="n">
        <v>2330532.422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2026-06-08T23:21:10Z</dcterms:created>
  <dcterms:modified xsi:type="dcterms:W3CDTF">2026-06-08T23:21:10Z</dcterms:modified>
</cp:coreProperties>
</file>