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atos_Productividad" sheetId="2" state="visible" r:id="rId2"/>
    <sheet xmlns:r="http://schemas.openxmlformats.org/officeDocument/2006/relationships" name="Notas_Hipot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9">
    <font>
      <name val="Calibri"/>
      <family val="2"/>
      <color theme="1"/>
      <sz val="11"/>
      <scheme val="minor"/>
    </font>
    <font>
      <b val="1"/>
      <color rgb="001F3B63"/>
      <sz val="13"/>
    </font>
    <font>
      <i val="1"/>
      <color rgb="00C00000"/>
      <sz val="9"/>
    </font>
    <font>
      <b val="1"/>
      <color rgb="00FFFFFF"/>
      <sz val="9"/>
    </font>
    <font>
      <b val="1"/>
      <color rgb="00FFFFFF"/>
      <sz val="8"/>
    </font>
    <font>
      <sz val="9"/>
    </font>
    <font>
      <b val="1"/>
      <color rgb="00808080"/>
      <sz val="9"/>
    </font>
    <font>
      <b val="1"/>
      <sz val="9"/>
    </font>
    <font>
      <b val="1"/>
      <color rgb="00ED7D31"/>
      <sz val="9"/>
    </font>
    <font>
      <b val="1"/>
      <color rgb="002E75B6"/>
      <sz val="9"/>
    </font>
    <font>
      <b val="1"/>
      <color rgb="00C55A11"/>
      <sz val="9"/>
    </font>
    <font>
      <b val="1"/>
      <color rgb="00548235"/>
      <sz val="9"/>
    </font>
    <font>
      <b val="1"/>
      <color rgb="00C00000"/>
      <sz val="9"/>
    </font>
    <font>
      <b val="1"/>
      <color rgb="001F3B63"/>
      <sz val="12"/>
    </font>
    <font>
      <b val="1"/>
      <color rgb="00C00000"/>
    </font>
    <font>
      <b val="1"/>
      <color rgb="00FFFFFF"/>
    </font>
    <font>
      <b val="1"/>
      <sz val="8"/>
    </font>
    <font>
      <i val="1"/>
      <sz val="8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7" fontId="4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0" fillId="2" borderId="0" pivotButton="0" quotePrefix="0" xfId="0"/>
    <xf numFmtId="0" fontId="16" fillId="3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808080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2E75B6"/>
        </patternFill>
      </fill>
    </dxf>
    <dxf>
      <fill>
        <patternFill patternType="solid">
          <fgColor rgb="00C55A11"/>
        </patternFill>
      </fill>
    </dxf>
    <dxf>
      <fill>
        <patternFill patternType="solid">
          <fgColor rgb="00548235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10" customWidth="1" min="4" max="4"/>
    <col width="10" customWidth="1" min="5" max="5"/>
    <col width="5" customWidth="1" min="6" max="6"/>
    <col width="8" customWidth="1" min="7" max="7"/>
    <col width="9" customWidth="1" min="8" max="8"/>
    <col width="7" customWidth="1" min="9" max="9"/>
    <col width="7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18" customHeight="1">
      <c r="A1" s="1" t="inlineStr">
        <is>
          <t>C5551 - LA CALERA 2  ·  Determinación de plazos para conexionado  ·  Electricidad e Instrumentación</t>
        </is>
      </c>
    </row>
    <row r="2">
      <c r="A2" s="2" t="inlineStr">
        <is>
          <t>Reconstrucción del programa (imagen original) · RFSU 31-ENE-2028 · Rev.0 · 2026-06-14 · Valores transcriptos de la imagen — VERIFICAR</t>
        </is>
      </c>
    </row>
    <row r="4">
      <c r="A4" s="3" t="inlineStr">
        <is>
          <t>Activity ID</t>
        </is>
      </c>
      <c r="B4" s="3" t="inlineStr">
        <is>
          <t>Activity Name</t>
        </is>
      </c>
      <c r="C4" s="3" t="inlineStr">
        <is>
          <t>Dur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TF</t>
        </is>
      </c>
      <c r="G4" s="3" t="inlineStr">
        <is>
          <t>Cant</t>
        </is>
      </c>
      <c r="H4" s="3" t="inlineStr">
        <is>
          <t>hhs</t>
        </is>
      </c>
      <c r="I4" s="3" t="inlineStr">
        <is>
          <t>Q/sm</t>
        </is>
      </c>
      <c r="J4" s="3" t="inlineStr">
        <is>
          <t>hhs/Q</t>
        </is>
      </c>
      <c r="K4" s="4" t="n">
        <v>46174</v>
      </c>
      <c r="L4" s="4" t="n">
        <v>46204</v>
      </c>
      <c r="M4" s="4" t="n">
        <v>46235</v>
      </c>
      <c r="N4" s="4" t="n">
        <v>46266</v>
      </c>
      <c r="O4" s="4" t="n">
        <v>46296</v>
      </c>
      <c r="P4" s="4" t="n">
        <v>46327</v>
      </c>
      <c r="Q4" s="4" t="n">
        <v>46357</v>
      </c>
      <c r="R4" s="4" t="n">
        <v>46388</v>
      </c>
      <c r="S4" s="4" t="n">
        <v>46419</v>
      </c>
      <c r="T4" s="4" t="n">
        <v>46447</v>
      </c>
      <c r="U4" s="4" t="n">
        <v>46478</v>
      </c>
      <c r="V4" s="4" t="n">
        <v>46508</v>
      </c>
      <c r="W4" s="4" t="n">
        <v>46539</v>
      </c>
      <c r="X4" s="4" t="n">
        <v>46569</v>
      </c>
      <c r="Y4" s="4" t="n">
        <v>46600</v>
      </c>
      <c r="Z4" s="4" t="n">
        <v>46631</v>
      </c>
      <c r="AA4" s="4" t="n">
        <v>46661</v>
      </c>
      <c r="AB4" s="4" t="n">
        <v>46692</v>
      </c>
      <c r="AC4" s="4" t="n">
        <v>46722</v>
      </c>
      <c r="AD4" s="4" t="n">
        <v>46753</v>
      </c>
      <c r="AE4" s="4" t="n">
        <v>46784</v>
      </c>
    </row>
    <row r="5">
      <c r="A5" s="5" t="n"/>
      <c r="B5" s="6" t="inlineStr">
        <is>
          <t>HITOS / EVENTOS PREVIOS (fechas a confirmar)</t>
        </is>
      </c>
      <c r="C5" s="7" t="n"/>
      <c r="D5" s="5" t="n"/>
      <c r="E5" s="5" t="n"/>
      <c r="F5" s="7" t="n"/>
      <c r="G5" s="7" t="n"/>
      <c r="H5" s="7" t="n"/>
      <c r="I5" s="7" t="n"/>
      <c r="J5" s="7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>
      <c r="A6" s="5" t="n"/>
      <c r="B6" s="5" t="inlineStr">
        <is>
          <t xml:space="preserve">   PHs (Permisos / Hold Points)</t>
        </is>
      </c>
      <c r="C6" s="7" t="n"/>
      <c r="D6" s="5" t="n"/>
      <c r="E6" s="5" t="n"/>
      <c r="F6" s="7" t="n"/>
      <c r="G6" s="7" t="n"/>
      <c r="H6" s="7" t="n"/>
      <c r="I6" s="7" t="n"/>
      <c r="J6" s="7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>
      <c r="A7" s="5" t="n"/>
      <c r="B7" s="5" t="inlineStr">
        <is>
          <t xml:space="preserve">   Llegan canalizaciones Eléctricas</t>
        </is>
      </c>
      <c r="C7" s="7" t="n"/>
      <c r="D7" s="5" t="n"/>
      <c r="E7" s="5" t="n"/>
      <c r="F7" s="7" t="n"/>
      <c r="G7" s="7" t="n"/>
      <c r="H7" s="7" t="n"/>
      <c r="I7" s="7" t="n"/>
      <c r="J7" s="7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>
      <c r="A8" s="5" t="n"/>
      <c r="B8" s="5" t="inlineStr">
        <is>
          <t xml:space="preserve">   Llegan canalizaciones Instrumentación</t>
        </is>
      </c>
      <c r="C8" s="7" t="n"/>
      <c r="D8" s="5" t="n"/>
      <c r="E8" s="5" t="n"/>
      <c r="F8" s="7" t="n"/>
      <c r="G8" s="7" t="n"/>
      <c r="H8" s="7" t="n"/>
      <c r="I8" s="7" t="n"/>
      <c r="J8" s="7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5" t="n"/>
      <c r="B9" s="5" t="inlineStr">
        <is>
          <t xml:space="preserve">   Llegan cables Instrumentación</t>
        </is>
      </c>
      <c r="C9" s="7" t="n"/>
      <c r="D9" s="5" t="n"/>
      <c r="E9" s="5" t="n"/>
      <c r="F9" s="7" t="n"/>
      <c r="G9" s="7" t="n"/>
      <c r="H9" s="7" t="n"/>
      <c r="I9" s="7" t="n"/>
      <c r="J9" s="7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5" t="n"/>
      <c r="B10" s="5" t="inlineStr">
        <is>
          <t xml:space="preserve">   Llegan cables Eléctricos</t>
        </is>
      </c>
      <c r="C10" s="7" t="n"/>
      <c r="D10" s="5" t="n"/>
      <c r="E10" s="5" t="n"/>
      <c r="F10" s="7" t="n"/>
      <c r="G10" s="7" t="n"/>
      <c r="H10" s="7" t="n"/>
      <c r="I10" s="7" t="n"/>
      <c r="J10" s="7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5" t="n"/>
      <c r="B11" s="5" t="inlineStr">
        <is>
          <t xml:space="preserve">   Llegada de Instrumentos</t>
        </is>
      </c>
      <c r="C11" s="7" t="n"/>
      <c r="D11" s="5" t="n"/>
      <c r="E11" s="5" t="n"/>
      <c r="F11" s="7" t="n"/>
      <c r="G11" s="7" t="n"/>
      <c r="H11" s="7" t="n"/>
      <c r="I11" s="7" t="n"/>
      <c r="J11" s="7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>
      <c r="A12" s="5" t="n"/>
      <c r="B12" s="5" t="inlineStr">
        <is>
          <t xml:space="preserve">   Fundaciones</t>
        </is>
      </c>
      <c r="C12" s="7" t="n"/>
      <c r="D12" s="5" t="n"/>
      <c r="E12" s="5" t="n"/>
      <c r="F12" s="7" t="n"/>
      <c r="G12" s="7" t="n"/>
      <c r="H12" s="7" t="n"/>
      <c r="I12" s="7" t="n"/>
      <c r="J12" s="7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5" t="n"/>
      <c r="B13" s="5" t="inlineStr">
        <is>
          <t xml:space="preserve">   EE.MM. (equipos electromecánicos)</t>
        </is>
      </c>
      <c r="C13" s="7" t="n"/>
      <c r="D13" s="5" t="n"/>
      <c r="E13" s="5" t="n"/>
      <c r="F13" s="7" t="n"/>
      <c r="G13" s="7" t="n"/>
      <c r="H13" s="7" t="n"/>
      <c r="I13" s="7" t="n"/>
      <c r="J13" s="7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>
      <c r="A14" s="5" t="n"/>
      <c r="B14" s="5" t="inlineStr">
        <is>
          <t xml:space="preserve">   Canalizaciones Eléctricas</t>
        </is>
      </c>
      <c r="C14" s="7" t="n"/>
      <c r="D14" s="5" t="n"/>
      <c r="E14" s="5" t="n"/>
      <c r="F14" s="7" t="n"/>
      <c r="G14" s="7" t="n"/>
      <c r="H14" s="7" t="n"/>
      <c r="I14" s="7" t="n"/>
      <c r="J14" s="7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>
      <c r="A15" s="5" t="n"/>
      <c r="B15" s="5" t="inlineStr">
        <is>
          <t xml:space="preserve">   Canalizaciones Instrumentación</t>
        </is>
      </c>
      <c r="C15" s="7" t="n"/>
      <c r="D15" s="5" t="n"/>
      <c r="E15" s="5" t="n"/>
      <c r="F15" s="7" t="n"/>
      <c r="G15" s="7" t="n"/>
      <c r="H15" s="7" t="n"/>
      <c r="I15" s="7" t="n"/>
      <c r="J15" s="7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>
      <c r="A16" s="9" t="n"/>
      <c r="B16" s="10" t="inlineStr">
        <is>
          <t>Montaje de Instrumentos</t>
        </is>
      </c>
      <c r="C16" s="11" t="n">
        <v>222.9</v>
      </c>
      <c r="D16" s="12" t="n">
        <v>46428</v>
      </c>
      <c r="E16" s="12" t="n">
        <v>46688</v>
      </c>
      <c r="F16" s="11" t="n"/>
      <c r="G16" s="11" t="n"/>
      <c r="H16" s="11" t="n"/>
      <c r="I16" s="11" t="n"/>
      <c r="J16" s="11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>
      <c r="A17" s="5" t="n"/>
      <c r="B17" s="5" t="inlineStr">
        <is>
          <t xml:space="preserve">   Válvulas</t>
        </is>
      </c>
      <c r="C17" s="7" t="n"/>
      <c r="D17" s="13" t="n">
        <v>46428</v>
      </c>
      <c r="E17" s="13" t="n">
        <v>46688</v>
      </c>
      <c r="F17" s="7" t="n"/>
      <c r="G17" s="7" t="n">
        <v>362</v>
      </c>
      <c r="H17" s="7" t="n">
        <v>7682</v>
      </c>
      <c r="I17" s="7" t="n"/>
      <c r="J17" s="7" t="n">
        <v>21.22</v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>
      <c r="A18" s="5" t="n"/>
      <c r="B18" s="5" t="inlineStr">
        <is>
          <t xml:space="preserve">   Instrumentos</t>
        </is>
      </c>
      <c r="C18" s="7" t="n"/>
      <c r="D18" s="13" t="n">
        <v>46428</v>
      </c>
      <c r="E18" s="13" t="n">
        <v>46688</v>
      </c>
      <c r="F18" s="7" t="n"/>
      <c r="G18" s="7" t="n">
        <v>838</v>
      </c>
      <c r="H18" s="7" t="n">
        <v>11643</v>
      </c>
      <c r="I18" s="7" t="n"/>
      <c r="J18" s="7" t="n">
        <v>13.8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>
      <c r="A19" s="9" t="n"/>
      <c r="B19" s="14" t="inlineStr">
        <is>
          <t>Tendido y conex. cables Instrumentación</t>
        </is>
      </c>
      <c r="C19" s="11" t="n">
        <v>226.3</v>
      </c>
      <c r="D19" s="12" t="n">
        <v>46480</v>
      </c>
      <c r="E19" s="12" t="n">
        <v>46744</v>
      </c>
      <c r="F19" s="11" t="n"/>
      <c r="G19" s="11" t="n"/>
      <c r="H19" s="11" t="n"/>
      <c r="I19" s="11" t="n"/>
      <c r="J19" s="11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>
      <c r="A20" s="5" t="n"/>
      <c r="B20" s="5" t="inlineStr">
        <is>
          <t xml:space="preserve">   Tendido</t>
        </is>
      </c>
      <c r="C20" s="7" t="n"/>
      <c r="D20" s="13" t="n">
        <v>46480</v>
      </c>
      <c r="E20" s="13" t="n">
        <v>46744</v>
      </c>
      <c r="F20" s="7" t="n"/>
      <c r="G20" s="7" t="n">
        <v>58713</v>
      </c>
      <c r="H20" s="7" t="n">
        <v>29967</v>
      </c>
      <c r="I20" s="7" t="n">
        <v>1816</v>
      </c>
      <c r="J20" s="7" t="n">
        <v>0.51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>
      <c r="A21" s="5" t="n"/>
      <c r="B21" s="5" t="inlineStr">
        <is>
          <t xml:space="preserve">   Conexionado</t>
        </is>
      </c>
      <c r="C21" s="7" t="n"/>
      <c r="D21" s="13" t="n">
        <v>46480</v>
      </c>
      <c r="E21" s="13" t="n">
        <v>46744</v>
      </c>
      <c r="F21" s="7" t="n"/>
      <c r="G21" s="7" t="n">
        <v>12684</v>
      </c>
      <c r="H21" s="7" t="n">
        <v>6890</v>
      </c>
      <c r="I21" s="7" t="n">
        <v>1308</v>
      </c>
      <c r="J21" s="7" t="n">
        <v>0.54</v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>
      <c r="A22" s="9" t="n"/>
      <c r="B22" s="15" t="inlineStr">
        <is>
          <t>Tendido y conex. cables Eléctricos</t>
        </is>
      </c>
      <c r="C22" s="11" t="n">
        <v>156.9</v>
      </c>
      <c r="D22" s="12" t="n">
        <v>46537</v>
      </c>
      <c r="E22" s="12" t="n">
        <v>46720</v>
      </c>
      <c r="F22" s="11" t="n"/>
      <c r="G22" s="11" t="n"/>
      <c r="H22" s="11" t="n"/>
      <c r="I22" s="11" t="n"/>
      <c r="J22" s="11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>
      <c r="A23" s="5" t="n"/>
      <c r="B23" s="5" t="inlineStr">
        <is>
          <t xml:space="preserve">   Tendido</t>
        </is>
      </c>
      <c r="C23" s="7" t="n"/>
      <c r="D23" s="13" t="n">
        <v>46537</v>
      </c>
      <c r="E23" s="13" t="n">
        <v>46720</v>
      </c>
      <c r="F23" s="7" t="n"/>
      <c r="G23" s="7" t="n">
        <v>93555</v>
      </c>
      <c r="H23" s="7" t="n">
        <v>39862</v>
      </c>
      <c r="I23" s="7" t="n">
        <v>4175</v>
      </c>
      <c r="J23" s="7" t="n">
        <v>0.43</v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>
      <c r="A24" s="5" t="n"/>
      <c r="B24" s="5" t="inlineStr">
        <is>
          <t xml:space="preserve">   Conexionado</t>
        </is>
      </c>
      <c r="C24" s="7" t="n"/>
      <c r="D24" s="13" t="n">
        <v>46537</v>
      </c>
      <c r="E24" s="13" t="n">
        <v>46720</v>
      </c>
      <c r="F24" s="7" t="n"/>
      <c r="G24" s="7" t="n">
        <v>7137</v>
      </c>
      <c r="H24" s="7" t="n">
        <v>5315</v>
      </c>
      <c r="I24" s="7" t="n">
        <v>1062</v>
      </c>
      <c r="J24" s="7" t="n">
        <v>0.74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>
      <c r="A25" s="5" t="inlineStr">
        <is>
          <t>CS023090</t>
        </is>
      </c>
      <c r="B25" s="16" t="inlineStr">
        <is>
          <t>Montaje estructura de soporte / Sala INS</t>
        </is>
      </c>
      <c r="C25" s="7" t="n">
        <v>35</v>
      </c>
      <c r="D25" s="13" t="n">
        <v>46435</v>
      </c>
      <c r="E25" s="13" t="n">
        <v>46475</v>
      </c>
      <c r="F25" s="7" t="n">
        <v>59</v>
      </c>
      <c r="G25" s="7" t="n"/>
      <c r="H25" s="7" t="n"/>
      <c r="I25" s="7" t="n"/>
      <c r="J25" s="7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>
      <c r="A26" s="5" t="inlineStr">
        <is>
          <t>CE014050</t>
        </is>
      </c>
      <c r="B26" s="16" t="inlineStr">
        <is>
          <t>Montaje de shelter - Sala Eléctrica # 3</t>
        </is>
      </c>
      <c r="C26" s="7" t="n">
        <v>38</v>
      </c>
      <c r="D26" s="13" t="n">
        <v>46535</v>
      </c>
      <c r="E26" s="13" t="n">
        <v>46578</v>
      </c>
      <c r="F26" s="7" t="n"/>
      <c r="G26" s="7" t="n">
        <v>8</v>
      </c>
      <c r="H26" s="7" t="n"/>
      <c r="I26" s="7" t="n"/>
      <c r="J26" s="7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>
      <c r="A27" s="5" t="inlineStr">
        <is>
          <t>CE018050</t>
        </is>
      </c>
      <c r="B27" s="16" t="inlineStr">
        <is>
          <t>Montaje de shelter - Sala Eléctrica # 4 (AJUST)</t>
        </is>
      </c>
      <c r="C27" s="7" t="n">
        <v>48</v>
      </c>
      <c r="D27" s="13" t="n">
        <v>46521</v>
      </c>
      <c r="E27" s="13" t="n">
        <v>46560</v>
      </c>
      <c r="F27" s="7" t="n"/>
      <c r="G27" s="7" t="n">
        <v>8</v>
      </c>
      <c r="H27" s="7" t="n"/>
      <c r="I27" s="7" t="n"/>
      <c r="J27" s="7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>
      <c r="A28" s="5" t="inlineStr">
        <is>
          <t>CDE1180</t>
        </is>
      </c>
      <c r="B28" s="16" t="inlineStr">
        <is>
          <t>Montaje de tableros y equipos eléctricos</t>
        </is>
      </c>
      <c r="C28" s="7" t="n">
        <v>54</v>
      </c>
      <c r="D28" s="13" t="n">
        <v>46580</v>
      </c>
      <c r="E28" s="13" t="n">
        <v>46641</v>
      </c>
      <c r="F28" s="7" t="n"/>
      <c r="G28" s="7" t="n">
        <v>106</v>
      </c>
      <c r="H28" s="7" t="n"/>
      <c r="I28" s="7" t="n"/>
      <c r="J28" s="7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>
      <c r="A29" s="5" t="inlineStr">
        <is>
          <t>CE014060</t>
        </is>
      </c>
      <c r="B29" s="16" t="inlineStr">
        <is>
          <t>Montaje de Transf/Gen Emerg - Salas Eléctricas</t>
        </is>
      </c>
      <c r="C29" s="7" t="n">
        <v>20</v>
      </c>
      <c r="D29" s="13" t="n">
        <v>46591</v>
      </c>
      <c r="E29" s="13" t="n">
        <v>46613</v>
      </c>
      <c r="F29" s="7" t="n"/>
      <c r="G29" s="7" t="n">
        <v>80</v>
      </c>
      <c r="H29" s="7" t="n"/>
      <c r="I29" s="7" t="n"/>
      <c r="J29" s="7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>
      <c r="A30" s="5" t="inlineStr">
        <is>
          <t>CDW1000</t>
        </is>
      </c>
      <c r="B30" s="17" t="inlineStr">
        <is>
          <t>Precomisionado</t>
        </is>
      </c>
      <c r="C30" s="7" t="n">
        <v>220</v>
      </c>
      <c r="D30" s="13" t="n">
        <v>46510</v>
      </c>
      <c r="E30" s="13" t="n">
        <v>46765</v>
      </c>
      <c r="F30" s="7" t="n"/>
      <c r="G30" s="7" t="n">
        <v>0</v>
      </c>
      <c r="H30" s="7" t="n"/>
      <c r="I30" s="7" t="n"/>
      <c r="J30" s="7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>
      <c r="A31" s="5" t="n"/>
      <c r="B31" s="5" t="inlineStr">
        <is>
          <t xml:space="preserve">   Precom sistema eléctrico (bomba-motor-PMS)</t>
        </is>
      </c>
      <c r="C31" s="7" t="n"/>
      <c r="D31" s="13" t="n">
        <v>46510</v>
      </c>
      <c r="E31" s="13" t="n">
        <v>46765</v>
      </c>
      <c r="F31" s="7" t="n"/>
      <c r="G31" s="7" t="n"/>
      <c r="H31" s="7" t="n"/>
      <c r="I31" s="7" t="n"/>
      <c r="J31" s="7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>
      <c r="A32" s="5" t="n"/>
      <c r="B32" s="5" t="inlineStr">
        <is>
          <t xml:space="preserve">   Precom SCADA / PCS / PSS / ESD / F&amp;G</t>
        </is>
      </c>
      <c r="C32" s="7" t="n"/>
      <c r="D32" s="13" t="n">
        <v>46600</v>
      </c>
      <c r="E32" s="13" t="n">
        <v>46765</v>
      </c>
      <c r="F32" s="7" t="n"/>
      <c r="G32" s="7" t="n"/>
      <c r="H32" s="7" t="n"/>
      <c r="I32" s="7" t="n"/>
      <c r="J32" s="7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>
      <c r="A33" s="5" t="inlineStr">
        <is>
          <t>CDW1010</t>
        </is>
      </c>
      <c r="B33" s="17" t="inlineStr">
        <is>
          <t>Comisionado</t>
        </is>
      </c>
      <c r="C33" s="7" t="n">
        <v>200</v>
      </c>
      <c r="D33" s="13" t="n">
        <v>46584</v>
      </c>
      <c r="E33" s="13" t="n">
        <v>46783</v>
      </c>
      <c r="F33" s="7" t="n"/>
      <c r="G33" s="7" t="n">
        <v>0</v>
      </c>
      <c r="H33" s="7" t="n"/>
      <c r="I33" s="7" t="n"/>
      <c r="J33" s="7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>
      <c r="A34" s="5" t="n"/>
      <c r="B34" s="5" t="inlineStr">
        <is>
          <t xml:space="preserve">   Propuesta 1 — Energización</t>
        </is>
      </c>
      <c r="C34" s="7" t="n"/>
      <c r="D34" s="13" t="n">
        <v>46675</v>
      </c>
      <c r="E34" s="13" t="n">
        <v>46691</v>
      </c>
      <c r="F34" s="7" t="n"/>
      <c r="G34" s="7" t="n"/>
      <c r="H34" s="7" t="n"/>
      <c r="I34" s="7" t="n"/>
      <c r="J34" s="7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>
      <c r="A35" s="5" t="n"/>
      <c r="B35" s="5" t="inlineStr">
        <is>
          <t xml:space="preserve">   Propuesta 2 — Energización</t>
        </is>
      </c>
      <c r="C35" s="7" t="n"/>
      <c r="D35" s="13" t="n">
        <v>46706</v>
      </c>
      <c r="E35" s="13" t="n">
        <v>46721</v>
      </c>
      <c r="F35" s="7" t="n"/>
      <c r="G35" s="7" t="n"/>
      <c r="H35" s="7" t="n"/>
      <c r="I35" s="7" t="n"/>
      <c r="J35" s="7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</sheetData>
  <conditionalFormatting sqref="K5:AE15">
    <cfRule type="expression" priority="1" dxfId="0">
      <formula>AND($D5&lt;=EOMONTH(K$4,0),$E5&gt;=K$4,$D5&lt;&gt;"")</formula>
    </cfRule>
  </conditionalFormatting>
  <conditionalFormatting sqref="K16:AE18">
    <cfRule type="expression" priority="2" dxfId="1">
      <formula>AND($D16&lt;=EOMONTH(K$4,0),$E16&gt;=K$4,$D16&lt;&gt;"")</formula>
    </cfRule>
  </conditionalFormatting>
  <conditionalFormatting sqref="K19:AE21">
    <cfRule type="expression" priority="3" dxfId="2">
      <formula>AND($D19&lt;=EOMONTH(K$4,0),$E19&gt;=K$4,$D19&lt;&gt;"")</formula>
    </cfRule>
  </conditionalFormatting>
  <conditionalFormatting sqref="K22:AE24">
    <cfRule type="expression" priority="4" dxfId="3">
      <formula>AND($D22&lt;=EOMONTH(K$4,0),$E22&gt;=K$4,$D22&lt;&gt;"")</formula>
    </cfRule>
  </conditionalFormatting>
  <conditionalFormatting sqref="K25:AE29">
    <cfRule type="expression" priority="5" dxfId="4">
      <formula>AND($D25&lt;=EOMONTH(K$4,0),$E25&gt;=K$4,$D25&lt;&gt;"")</formula>
    </cfRule>
  </conditionalFormatting>
  <conditionalFormatting sqref="K30:AE35">
    <cfRule type="expression" priority="6" dxfId="5">
      <formula>AND($D30&lt;=EOMONTH(K$4,0),$E30&gt;=K$4,$D30&lt;&gt;"")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8" t="inlineStr">
        <is>
          <t>DATOS DE PRODUCTIVIDAD Y PUNTAS — transcripción de la imagen (VERIFICAR)</t>
        </is>
      </c>
    </row>
    <row r="2">
      <c r="A2" s="19" t="inlineStr">
        <is>
          <t>Avance referencia:  ELEC 75%   ·   INS 60%</t>
        </is>
      </c>
    </row>
    <row r="4">
      <c r="A4" s="20" t="inlineStr">
        <is>
          <t>ORIGINAL</t>
        </is>
      </c>
      <c r="B4" s="21" t="n"/>
      <c r="C4" s="21" t="n"/>
      <c r="D4" s="21" t="n"/>
      <c r="E4" s="21" t="n"/>
      <c r="F4" s="21" t="n"/>
      <c r="G4" s="21" t="n"/>
    </row>
    <row r="5">
      <c r="A5" s="22" t="inlineStr">
        <is>
          <t>Frente</t>
        </is>
      </c>
      <c r="B5" s="22" t="inlineStr">
        <is>
          <t>Hhs/día</t>
        </is>
      </c>
      <c r="C5" s="22" t="inlineStr">
        <is>
          <t>N°Pers Base 10/d</t>
        </is>
      </c>
      <c r="D5" s="22" t="inlineStr">
        <is>
          <t>Rendim. (Q/día)</t>
        </is>
      </c>
      <c r="E5" s="22" t="inlineStr">
        <is>
          <t>standard AESA (Q/día)</t>
        </is>
      </c>
      <c r="F5" s="22" t="inlineStr">
        <is>
          <t>Improductividad</t>
        </is>
      </c>
      <c r="G5" s="22" t="inlineStr">
        <is>
          <t>VMDS</t>
        </is>
      </c>
    </row>
    <row r="6">
      <c r="A6" t="inlineStr">
        <is>
          <t>Frente 1</t>
        </is>
      </c>
      <c r="B6" t="n">
        <v>132.43</v>
      </c>
      <c r="C6" t="n">
        <v>13.24</v>
      </c>
      <c r="D6" t="n">
        <v>259.46</v>
      </c>
      <c r="E6" t="n">
        <v>0.32</v>
      </c>
      <c r="F6" t="n">
        <v>1.59</v>
      </c>
      <c r="G6" t="n">
        <v>0</v>
      </c>
    </row>
    <row r="7">
      <c r="A7" t="inlineStr">
        <is>
          <t>Frente 2</t>
        </is>
      </c>
      <c r="B7" t="n">
        <v>9.130000000000001</v>
      </c>
      <c r="C7" t="n">
        <v>0.91</v>
      </c>
      <c r="D7" t="n">
        <v>186.84</v>
      </c>
      <c r="E7" t="n">
        <v>1.2</v>
      </c>
      <c r="F7" t="n">
        <v>0.45</v>
      </c>
    </row>
    <row r="8">
      <c r="A8" t="inlineStr">
        <is>
          <t>Frente 3</t>
        </is>
      </c>
      <c r="B8" t="n">
        <v>254.13</v>
      </c>
      <c r="C8" t="n">
        <v>25.41</v>
      </c>
      <c r="D8" t="n">
        <v>596.4299999999999</v>
      </c>
      <c r="E8" t="n">
        <v>0.35</v>
      </c>
      <c r="F8" t="n">
        <v>1.22</v>
      </c>
      <c r="G8" t="n">
        <v>0</v>
      </c>
    </row>
    <row r="9">
      <c r="A9" t="inlineStr">
        <is>
          <t>Frente 4</t>
        </is>
      </c>
      <c r="B9" t="n">
        <v>10.17</v>
      </c>
      <c r="C9" t="n">
        <v>1.02</v>
      </c>
      <c r="D9" t="n">
        <v>151.67</v>
      </c>
      <c r="E9" t="n">
        <v>0.97</v>
      </c>
      <c r="F9" t="n">
        <v>0.77</v>
      </c>
    </row>
    <row r="11">
      <c r="A11" s="20" t="inlineStr">
        <is>
          <t>REFERENCIAS (prod / hhs / cuadrillas)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</row>
    <row r="12">
      <c r="A12" s="22" t="inlineStr">
        <is>
          <t>Frente</t>
        </is>
      </c>
      <c r="B12" s="22" t="inlineStr">
        <is>
          <t>P80 B (Q/hhs)</t>
        </is>
      </c>
      <c r="C12" s="22" t="inlineStr">
        <is>
          <t>NEC B (Q/hhs)</t>
        </is>
      </c>
      <c r="D12" s="22" t="inlineStr">
        <is>
          <t>P80 C (Q/hhs)</t>
        </is>
      </c>
      <c r="E12" s="22" t="inlineStr">
        <is>
          <t>MEGA (Q/hhs)</t>
        </is>
      </c>
      <c r="F12" s="22" t="inlineStr">
        <is>
          <t>LAS (Q/sem)</t>
        </is>
      </c>
      <c r="G12" s="22" t="inlineStr">
        <is>
          <t>Duración aj. (días)</t>
        </is>
      </c>
      <c r="H12" s="22" t="inlineStr">
        <is>
          <t>hhs VMDS</t>
        </is>
      </c>
      <c r="I12" s="22" t="inlineStr">
        <is>
          <t>hhs NEC B</t>
        </is>
      </c>
      <c r="J12" s="22" t="inlineStr">
        <is>
          <t>hhs Combinadas</t>
        </is>
      </c>
      <c r="K12" s="22" t="inlineStr">
        <is>
          <t>N°Pers VMDS</t>
        </is>
      </c>
      <c r="L12" s="22" t="inlineStr">
        <is>
          <t>N°Pers NECB</t>
        </is>
      </c>
      <c r="M12" s="22" t="inlineStr">
        <is>
          <t>N°Pers COMB</t>
        </is>
      </c>
      <c r="N12" s="22" t="inlineStr">
        <is>
          <t>Q/sem</t>
        </is>
      </c>
    </row>
    <row r="13">
      <c r="A13" t="inlineStr">
        <is>
          <t>Frente 1</t>
        </is>
      </c>
      <c r="B13" t="n">
        <v>0.37</v>
      </c>
      <c r="C13" t="n">
        <v>0.54</v>
      </c>
      <c r="D13" t="n">
        <v>0.47</v>
      </c>
      <c r="E13" t="n">
        <v>1000</v>
      </c>
      <c r="F13" t="n">
        <v>9600</v>
      </c>
      <c r="G13" t="n">
        <v>176</v>
      </c>
      <c r="H13" t="n">
        <v>21489</v>
      </c>
      <c r="I13" t="n">
        <v>31940</v>
      </c>
      <c r="J13" t="n">
        <v>27830</v>
      </c>
      <c r="K13" t="n">
        <v>12</v>
      </c>
      <c r="L13" t="n">
        <v>18</v>
      </c>
      <c r="M13" t="n">
        <v>16</v>
      </c>
      <c r="N13" t="n">
        <v>2002</v>
      </c>
    </row>
    <row r="14">
      <c r="A14" t="inlineStr">
        <is>
          <t>Frente 2</t>
        </is>
      </c>
      <c r="C14" t="n">
        <v>7.71</v>
      </c>
      <c r="E14" t="n">
        <v>330</v>
      </c>
      <c r="F14" t="n">
        <v>1377</v>
      </c>
      <c r="G14" t="n">
        <v>52.8</v>
      </c>
      <c r="J14" t="n">
        <v>97756</v>
      </c>
      <c r="M14" t="n">
        <v>185</v>
      </c>
      <c r="N14" t="n">
        <v>1441</v>
      </c>
    </row>
    <row r="15">
      <c r="A15" t="inlineStr">
        <is>
          <t>Frente 3</t>
        </is>
      </c>
      <c r="B15" t="n">
        <v>0.26</v>
      </c>
      <c r="C15" t="n">
        <v>0.82</v>
      </c>
      <c r="D15" t="n">
        <v>0.63</v>
      </c>
      <c r="E15" t="n">
        <v>1219</v>
      </c>
      <c r="F15" t="n">
        <v>6800</v>
      </c>
      <c r="G15" t="n">
        <v>168</v>
      </c>
      <c r="H15" t="n">
        <v>24324</v>
      </c>
      <c r="I15" t="n">
        <v>77089</v>
      </c>
      <c r="J15" t="n">
        <v>59127</v>
      </c>
      <c r="K15" t="n">
        <v>14</v>
      </c>
      <c r="L15" t="n">
        <v>46</v>
      </c>
      <c r="M15" t="n">
        <v>35</v>
      </c>
      <c r="N15" t="n">
        <v>3341</v>
      </c>
    </row>
    <row r="16">
      <c r="A16" t="inlineStr">
        <is>
          <t>Frente 4</t>
        </is>
      </c>
      <c r="C16" t="n">
        <v>6.47</v>
      </c>
      <c r="E16" t="n">
        <v>210</v>
      </c>
      <c r="F16" t="n">
        <v>1219</v>
      </c>
      <c r="G16" t="n">
        <v>50.4</v>
      </c>
      <c r="J16" t="n">
        <v>46162</v>
      </c>
      <c r="M16" t="n">
        <v>92</v>
      </c>
      <c r="N16" t="n">
        <v>850</v>
      </c>
    </row>
    <row r="18">
      <c r="A18" s="20" t="inlineStr">
        <is>
          <t>LUEGO DE INSTALADAS LAS SALAS</t>
        </is>
      </c>
      <c r="B18" s="21" t="n"/>
      <c r="C18" s="21" t="n"/>
      <c r="D18" s="21" t="n"/>
      <c r="E18" s="21" t="n"/>
      <c r="F18" s="21" t="n"/>
      <c r="G18" s="21" t="n"/>
      <c r="H18" s="21" t="n"/>
    </row>
    <row r="19">
      <c r="A19" s="22" t="inlineStr">
        <is>
          <t>Item</t>
        </is>
      </c>
      <c r="B19" s="22" t="inlineStr">
        <is>
          <t>Alcance d/montadas las salas (puntas)</t>
        </is>
      </c>
      <c r="C19" s="22" t="inlineStr">
        <is>
          <t>Duración entre salas y energización (días)</t>
        </is>
      </c>
      <c r="D19" s="22" t="inlineStr">
        <is>
          <t>Alcance entre salas (puntas)</t>
        </is>
      </c>
      <c r="E19" s="22" t="inlineStr">
        <is>
          <t>Alcance entre salas (hhs)</t>
        </is>
      </c>
      <c r="F19" s="22" t="inlineStr">
        <is>
          <t>N°Pers Base 10/d (ORIG)</t>
        </is>
      </c>
      <c r="G19" s="22" t="inlineStr">
        <is>
          <t>N°Pers Base 10/d (NECB)</t>
        </is>
      </c>
      <c r="H19" s="22" t="inlineStr">
        <is>
          <t>Q/sem</t>
        </is>
      </c>
    </row>
    <row r="20">
      <c r="A20" t="inlineStr">
        <is>
          <t>Caso 1</t>
        </is>
      </c>
      <c r="B20" t="n">
        <v>7610</v>
      </c>
      <c r="C20" t="n">
        <v>132</v>
      </c>
      <c r="D20" t="n">
        <v>4134</v>
      </c>
      <c r="E20" t="n">
        <v>58653</v>
      </c>
      <c r="F20" t="n">
        <v>3</v>
      </c>
      <c r="G20" t="n">
        <v>44</v>
      </c>
      <c r="H20" t="n">
        <v>346</v>
      </c>
    </row>
    <row r="21">
      <c r="A21" t="inlineStr">
        <is>
          <t>Caso 2</t>
        </is>
      </c>
      <c r="B21" t="n">
        <v>5353</v>
      </c>
      <c r="C21" t="n">
        <v>96</v>
      </c>
      <c r="D21" t="n">
        <v>3986</v>
      </c>
      <c r="E21" t="n">
        <v>34622</v>
      </c>
      <c r="F21" t="n">
        <v>4</v>
      </c>
      <c r="G21" t="n">
        <v>36</v>
      </c>
      <c r="H21" t="n">
        <v>335</v>
      </c>
    </row>
    <row r="22">
      <c r="A22" t="inlineStr">
        <is>
          <t>Caso 3 (50% shelter 3)</t>
        </is>
      </c>
      <c r="B22" t="n">
        <v>2676</v>
      </c>
      <c r="C22" t="n">
        <v>60</v>
      </c>
      <c r="D22" t="n">
        <v>1993</v>
      </c>
      <c r="E22" t="n">
        <v>17311</v>
      </c>
      <c r="F22" t="n">
        <v>3</v>
      </c>
      <c r="G22" t="n">
        <v>29</v>
      </c>
      <c r="H22" t="n">
        <v>268</v>
      </c>
    </row>
    <row r="25">
      <c r="A25" s="23" t="inlineStr">
        <is>
          <t>Notas: 'Considerando un 50% de puntas para el shelter 3'.  'Plazo remanente entre el completamiento del montaje de shelter #3 hasta la propuesta #1 de energización'.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NOTAS E HIPÓTESIS (de la imagen original)</t>
        </is>
      </c>
    </row>
    <row r="2">
      <c r="A2" s="25" t="inlineStr"/>
    </row>
    <row r="3">
      <c r="A3" s="25" t="inlineStr">
        <is>
          <t>• RFSU objetivo: 31-ENE-2028. Cronograma MUY ajustado.</t>
        </is>
      </c>
    </row>
    <row r="4">
      <c r="A4" s="25" t="inlineStr">
        <is>
          <t>• 'Se deben adelantar estas actividades y gestionar PHs → Re-instalar Instrumentos' (montaje de instrumentos).</t>
        </is>
      </c>
    </row>
    <row r="5">
      <c r="A5" s="25" t="inlineStr">
        <is>
          <t>• Tendido cables: anotaciones 'Inicio c/20%' y 'Inicio c/50%' (arranque de tendido con avance parcial de canalizaciones).</t>
        </is>
      </c>
    </row>
    <row r="6">
      <c r="A6" s="25" t="inlineStr">
        <is>
          <t>• Dos propuestas de ENERGIZACIÓN: Propuesta 1 (~OCT-27) y Propuesta 2 (~NOV-27).</t>
        </is>
      </c>
    </row>
    <row r="7">
      <c r="A7" s="25" t="inlineStr">
        <is>
          <t>• Precomisionado: sistema eléctrico (bomba-motor-PMS) + SCADA/PCS/PSS/ESD/F&amp;G.</t>
        </is>
      </c>
    </row>
    <row r="8">
      <c r="A8" s="25" t="inlineStr">
        <is>
          <t>• Montaje de shelters: Sala INS, Sala Eléctrica #3, Sala Eléctrica #4 (AJUST).</t>
        </is>
      </c>
    </row>
    <row r="9">
      <c r="A9" s="25" t="inlineStr">
        <is>
          <t>• 'Hipótesis para comprobar' (nota del autor).</t>
        </is>
      </c>
    </row>
    <row r="10">
      <c r="A10" s="25" t="inlineStr"/>
    </row>
    <row r="11">
      <c r="A11" s="26" t="inlineStr">
        <is>
          <t>PENDIENTE DE VERIFICAR contra la imagen:</t>
        </is>
      </c>
    </row>
    <row r="12">
      <c r="A12" s="25" t="inlineStr">
        <is>
          <t xml:space="preserve">  - Valores de hhs / Q/sm / hhs/Q de cada frente.</t>
        </is>
      </c>
    </row>
    <row r="13">
      <c r="A13" s="25" t="inlineStr">
        <is>
          <t xml:space="preserve">  - Fechas exactas de los hitos previos (canalizaciones, cables, instrumentos, fundaciones, EE.MM.).</t>
        </is>
      </c>
    </row>
    <row r="14">
      <c r="A14" s="25" t="inlineStr">
        <is>
          <t xml:space="preserve">  - Tablas de productividad (ORIGINAL / REFERENCIAS / LUEGO DE INSTALADAS LAS SALAS).</t>
        </is>
      </c>
    </row>
    <row r="15">
      <c r="A15" s="25" t="inlineStr">
        <is>
          <t xml:space="preserve">  - Asignación de los 4 'frentes' a las actividades.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2026-06-20T01:40:19Z</dcterms:created>
  <dcterms:modified xmlns:dcterms="http://purl.org/dc/terms/" xmlns:xsi="http://www.w3.org/2001/XMLSchema-instance" xsi:type="dcterms:W3CDTF">2026-06-20T01:40:19Z</dcterms:modified>
</cp:coreProperties>
</file>