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ables_Completo" sheetId="1" state="visible" r:id="rId1"/>
    <sheet name="2_Resumen_Formaciones" sheetId="2" state="visible" r:id="rId2"/>
    <sheet name="3_Cargas_CPF2" sheetId="3" state="visible" r:id="rId3"/>
    <sheet name="4_Estimacion_Instalacion" sheetId="4" state="visible" r:id="rId4"/>
    <sheet name="5_Cronograma_Campo" sheetId="5" state="visible" r:id="rId5"/>
    <sheet name="6_Resumen_Ejecutivo" sheetId="6" state="visible" r:id="rId6"/>
    <sheet name="8_Puntas_Conexion" sheetId="7" state="visible" r:id="rId7"/>
    <sheet name="9_Lista_Materiales" sheetId="8" state="visible" r:id="rId8"/>
  </sheets>
  <definedNames>
    <definedName name="_xlnm._FilterDatabase" localSheetId="0" hidden="1">'1_Cables_Completo'!$A$1:$K$634</definedName>
    <definedName name="_xlnm._FilterDatabase" localSheetId="1" hidden="1">'2_Resumen_Formaciones'!$A$1:$H$51</definedName>
    <definedName name="_xlnm._FilterDatabase" localSheetId="2" hidden="1">'3_Cargas_CPF2'!$A$1:$H$244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#,##0.0"/>
    <numFmt numFmtId="166" formatCode="0.0%"/>
  </numFmts>
  <fonts count="8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  <sz val="12"/>
    </font>
    <font>
      <b val="1"/>
      <color rgb="00FFFFFF"/>
      <sz val="11"/>
    </font>
    <font>
      <color rgb="00000000"/>
    </font>
    <font>
      <b val="1"/>
      <color rgb="00FFFFFF"/>
    </font>
    <font>
      <b val="1"/>
      <color rgb="00FFFFFF"/>
      <sz val="14"/>
    </font>
    <font>
      <color rgb="00FFFFFF"/>
      <sz val="10"/>
    </font>
    <font>
      <b val="1"/>
      <color rgb="00000000"/>
    </font>
    <font>
      <name val="Calibri"/>
      <b val="1"/>
      <color rgb="00FFFFFF"/>
      <sz val="12"/>
    </font>
    <font>
      <name val="Calibri"/>
      <color rgb="00FFFFFF"/>
      <sz val="8.5"/>
    </font>
    <font>
      <name val="Calibri"/>
      <b val="1"/>
      <color rgb="00FFFFFF"/>
      <sz val="10"/>
    </font>
    <font>
      <name val="Calibri"/>
      <b val="1"/>
      <color rgb="00FFFFFF"/>
      <sz val="8.5"/>
    </font>
    <font>
      <name val="Calibri"/>
      <color rgb="00000000"/>
      <sz val="9"/>
    </font>
    <font>
      <name val="Calibri"/>
      <b val="1"/>
      <color rgb="00375623"/>
      <sz val="10"/>
    </font>
    <font>
      <name val="Calibri"/>
      <color rgb="00E36C09"/>
      <sz val="9"/>
    </font>
    <font>
      <name val="Calibri"/>
      <color rgb="00880000"/>
      <sz val="9"/>
    </font>
    <font>
      <name val="Calibri"/>
      <color rgb="00CC0000"/>
      <sz val="9"/>
    </font>
    <font>
      <name val="Calibri"/>
      <color rgb="00AA0000"/>
      <sz val="9"/>
    </font>
    <font>
      <name val="Calibri"/>
      <color rgb="001F4E79"/>
      <sz val="9"/>
    </font>
    <font>
      <name val="Calibri"/>
      <color rgb="009C5700"/>
      <sz val="9"/>
    </font>
    <font>
      <name val="Calibri"/>
      <color rgb="005050AA"/>
      <sz val="9"/>
    </font>
    <font>
      <name val="Calibri"/>
      <b val="1"/>
      <color rgb="00375623"/>
      <sz val="9"/>
    </font>
    <font>
      <name val="Calibri"/>
      <color rgb="00000000"/>
      <sz val="10"/>
    </font>
    <font>
      <name val="Calibri"/>
      <color rgb="007B2600"/>
      <sz val="9"/>
    </font>
    <font>
      <name val="Calibri"/>
      <color rgb="00880055"/>
      <sz val="9"/>
    </font>
    <font>
      <name val="Calibri"/>
      <color rgb="005B5800"/>
      <sz val="9"/>
    </font>
    <font>
      <name val="Calibri"/>
      <color rgb="00595959"/>
      <sz val="9"/>
    </font>
    <font>
      <name val="Calibri"/>
      <color rgb="008B6914"/>
      <sz val="9"/>
    </font>
    <font>
      <name val="Calibri"/>
      <b val="1"/>
      <color rgb="001F4E79"/>
      <sz val="9"/>
    </font>
    <font>
      <name val="Calibri"/>
      <i val="1"/>
      <color rgb="00000000"/>
      <sz val="9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b val="1"/>
      <color rgb="00FFFFFF"/>
      <sz val="9"/>
    </font>
    <font>
      <name val="Calibri"/>
      <b val="1"/>
      <color rgb="008B6914"/>
      <sz val="9"/>
    </font>
    <font>
      <name val="Calibri"/>
      <b val="1"/>
      <color rgb="00C67200"/>
      <sz val="9"/>
    </font>
    <font>
      <name val="Calibri"/>
      <b val="1"/>
      <color rgb="00595959"/>
      <sz val="9"/>
    </font>
    <font>
      <name val="Calibri"/>
      <color rgb="00595959"/>
      <sz val="8"/>
    </font>
    <font>
      <name val="Calibri"/>
      <b val="1"/>
      <color rgb="00FFFFFF"/>
      <sz val="11"/>
    </font>
    <font>
      <name val="Calibri"/>
      <color rgb="00000000"/>
      <sz val="8"/>
    </font>
    <font>
      <name val="Calibri"/>
      <i val="1"/>
      <color rgb="00000000"/>
      <sz val="8"/>
    </font>
    <font>
      <name val="Calibri"/>
      <i val="1"/>
      <color rgb="00595959"/>
      <sz val="7"/>
    </font>
    <font>
      <name val="Calibri"/>
      <b val="1"/>
      <color rgb="00880000"/>
      <sz val="9"/>
    </font>
    <font>
      <name val="Calibri"/>
      <b val="1"/>
      <color rgb="00CC0000"/>
      <sz val="9"/>
    </font>
    <font>
      <name val="Calibri"/>
      <b val="1"/>
      <color rgb="00AA0000"/>
      <sz val="9"/>
    </font>
    <font>
      <name val="Calibri"/>
      <color rgb="002E75B6"/>
      <sz val="9"/>
    </font>
    <font>
      <name val="Calibri"/>
      <b val="1"/>
      <color rgb="002E75B6"/>
      <sz val="9"/>
    </font>
    <font>
      <name val="Calibri"/>
      <b val="1"/>
      <color rgb="009C5700"/>
      <sz val="9"/>
    </font>
    <font>
      <name val="Calibri"/>
      <b val="1"/>
      <color rgb="005050AA"/>
      <sz val="9"/>
    </font>
    <font>
      <name val="Calibri"/>
      <b val="1"/>
      <color rgb="007B2600"/>
      <sz val="9"/>
    </font>
    <font>
      <name val="Calibri"/>
      <b val="1"/>
      <color rgb="00880055"/>
      <sz val="9"/>
    </font>
    <font>
      <name val="Calibri"/>
      <b val="1"/>
      <color rgb="005B5800"/>
      <sz val="9"/>
    </font>
    <font>
      <name val="Calibri"/>
      <b val="1"/>
      <color rgb="001F4E79"/>
      <sz val="8"/>
    </font>
    <font>
      <name val="Calibri"/>
      <color rgb="001F4E79"/>
      <sz val="8"/>
    </font>
    <font>
      <name val="Calibri"/>
      <color rgb="00880000"/>
      <sz val="8"/>
    </font>
    <font>
      <name val="Calibri"/>
      <color rgb="00CC0000"/>
      <sz val="8"/>
    </font>
    <font>
      <name val="Calibri"/>
      <color rgb="00AA0000"/>
      <sz val="8"/>
    </font>
    <font>
      <name val="Calibri"/>
      <color rgb="002E75B6"/>
      <sz val="8"/>
    </font>
    <font>
      <name val="Calibri"/>
      <color rgb="009C5700"/>
      <sz val="8"/>
    </font>
    <font>
      <name val="Calibri"/>
      <color rgb="005050AA"/>
      <sz val="8"/>
    </font>
    <font>
      <name val="Calibri"/>
      <b val="1"/>
      <color rgb="00000000"/>
      <sz val="9"/>
    </font>
    <font>
      <name val="Calibri"/>
      <b val="1"/>
      <color rgb="00880000"/>
      <sz val="8"/>
    </font>
    <font>
      <name val="Calibri"/>
      <b val="1"/>
      <color rgb="009C0006"/>
      <sz val="9"/>
    </font>
    <font>
      <name val="Calibri"/>
      <b val="1"/>
      <color rgb="009C0006"/>
      <sz val="10"/>
    </font>
    <font>
      <name val="Calibri"/>
      <i val="1"/>
      <color rgb="00595959"/>
      <sz val="9"/>
    </font>
    <font>
      <name val="Calibri"/>
      <b val="1"/>
      <color rgb="008B4513"/>
      <sz val="8"/>
    </font>
    <font>
      <name val="Calibri"/>
      <color rgb="008B4513"/>
      <sz val="9"/>
    </font>
    <font>
      <name val="Calibri"/>
      <color rgb="008B4513"/>
      <sz val="8"/>
    </font>
    <font>
      <name val="Calibri"/>
      <b val="1"/>
      <color rgb="001F4E79"/>
      <sz val="10"/>
    </font>
    <font>
      <name val="Calibri"/>
      <b val="1"/>
      <color rgb="00880000"/>
      <sz val="10"/>
    </font>
    <font>
      <name val="Calibri"/>
      <b val="1"/>
      <color rgb="007B4A00"/>
      <sz val="9"/>
    </font>
    <font>
      <name val="Calibri"/>
      <color rgb="007B4A00"/>
      <sz val="8"/>
    </font>
    <font>
      <name val="Calibri"/>
      <color rgb="007B4A00"/>
      <sz val="9"/>
    </font>
    <font>
      <name val="Calibri"/>
      <b val="1"/>
      <color rgb="007B4A00"/>
      <sz val="10"/>
    </font>
    <font>
      <name val="Calibri"/>
      <color rgb="00375623"/>
      <sz val="8"/>
    </font>
    <font>
      <name val="Calibri"/>
      <color rgb="00375623"/>
      <sz val="9"/>
    </font>
    <font>
      <name val="Calibri"/>
      <b val="1"/>
      <color rgb="007030A0"/>
      <sz val="9"/>
    </font>
    <font>
      <name val="Calibri"/>
      <color rgb="007030A0"/>
      <sz val="8"/>
    </font>
    <font>
      <name val="Calibri"/>
      <color rgb="007030A0"/>
      <sz val="9"/>
    </font>
    <font>
      <name val="Calibri"/>
      <b val="1"/>
      <color rgb="007030A0"/>
      <sz val="10"/>
    </font>
    <font>
      <name val="Calibri"/>
      <i val="1"/>
      <color rgb="00595959"/>
      <sz val="8.5"/>
    </font>
  </fonts>
  <fills count="5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6600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BDD7EE"/>
      </patternFill>
    </fill>
    <fill>
      <patternFill patternType="solid">
        <fgColor rgb="00FF9900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880000"/>
      </patternFill>
    </fill>
    <fill>
      <patternFill patternType="solid">
        <fgColor rgb="00595959"/>
      </patternFill>
    </fill>
    <fill>
      <patternFill patternType="solid">
        <fgColor rgb="001F4E79"/>
      </patternFill>
    </fill>
    <fill>
      <patternFill patternType="solid">
        <fgColor rgb="00F8F8F8"/>
      </patternFill>
    </fill>
    <fill>
      <patternFill patternType="solid">
        <fgColor rgb="00FFE0CC"/>
      </patternFill>
    </fill>
    <fill>
      <patternFill patternType="solid">
        <fgColor rgb="00FFE0E0"/>
      </patternFill>
    </fill>
    <fill>
      <patternFill patternType="solid">
        <fgColor rgb="00FFF0F0"/>
      </patternFill>
    </fill>
    <fill>
      <patternFill patternType="solid">
        <fgColor rgb="00FFF5F5"/>
      </patternFill>
    </fill>
    <fill>
      <patternFill patternType="solid">
        <fgColor rgb="00FFFAFA"/>
      </patternFill>
    </fill>
    <fill>
      <patternFill patternType="solid">
        <fgColor rgb="00DEEAF1"/>
      </patternFill>
    </fill>
    <fill>
      <patternFill patternType="solid">
        <fgColor rgb="00FFF8DC"/>
      </patternFill>
    </fill>
    <fill>
      <patternFill patternType="solid">
        <fgColor rgb="00F0F0FF"/>
      </patternFill>
    </fill>
    <fill>
      <patternFill patternType="solid">
        <fgColor rgb="00375623"/>
      </patternFill>
    </fill>
    <fill>
      <patternFill patternType="solid">
        <fgColor rgb="00FFE8E0"/>
      </patternFill>
    </fill>
    <fill>
      <patternFill patternType="solid">
        <fgColor rgb="00FFDDC0"/>
      </patternFill>
    </fill>
    <fill>
      <patternFill patternType="solid">
        <fgColor rgb="00FFE8F0"/>
      </patternFill>
    </fill>
    <fill>
      <patternFill patternType="solid">
        <fgColor rgb="00FFFFF0"/>
      </patternFill>
    </fill>
    <fill>
      <patternFill patternType="solid">
        <fgColor rgb="00FFF0D8"/>
      </patternFill>
    </fill>
    <fill>
      <patternFill patternType="solid">
        <fgColor rgb="00F8F8FF"/>
      </patternFill>
    </fill>
    <fill>
      <patternFill patternType="solid">
        <fgColor rgb="00E0E0E0"/>
      </patternFill>
    </fill>
    <fill>
      <patternFill patternType="solid">
        <fgColor rgb="00CC0000"/>
      </patternFill>
    </fill>
    <fill>
      <patternFill patternType="solid">
        <fgColor rgb="00404040"/>
      </patternFill>
    </fill>
    <fill>
      <patternFill patternType="solid">
        <fgColor rgb="007030A0"/>
      </patternFill>
    </fill>
    <fill>
      <patternFill patternType="solid">
        <fgColor rgb="00F8FB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AE0"/>
      </patternFill>
    </fill>
    <fill>
      <patternFill patternType="solid">
        <fgColor rgb="00F0FFF0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FFF0D0"/>
      </patternFill>
    </fill>
    <fill>
      <patternFill patternType="solid">
        <fgColor rgb="00FFFAEF"/>
      </patternFill>
    </fill>
    <fill>
      <patternFill patternType="solid">
        <fgColor rgb="00EBF3FB"/>
      </patternFill>
    </fill>
    <fill>
      <patternFill patternType="solid">
        <fgColor rgb="00EBF5FF"/>
      </patternFill>
    </fill>
    <fill>
      <patternFill patternType="solid">
        <fgColor rgb="007B4A00"/>
      </patternFill>
    </fill>
    <fill>
      <patternFill patternType="solid">
        <fgColor rgb="00F5F0FF"/>
      </patternFill>
    </fill>
  </fills>
  <borders count="1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20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0" fillId="12" borderId="1" applyAlignment="1" pivotButton="0" quotePrefix="0" xfId="0">
      <alignment vertical="center" wrapText="1"/>
    </xf>
    <xf numFmtId="0" fontId="6" fillId="1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3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165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right" vertical="center"/>
    </xf>
    <xf numFmtId="0" fontId="1" fillId="5" borderId="1" pivotButton="0" quotePrefix="0" xfId="0"/>
    <xf numFmtId="0" fontId="0" fillId="7" borderId="1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26" borderId="0" applyAlignment="1" pivotButton="0" quotePrefix="0" xfId="0">
      <alignment horizontal="left" vertical="center" wrapText="1"/>
    </xf>
    <xf numFmtId="0" fontId="10" fillId="14" borderId="6" applyAlignment="1" pivotButton="0" quotePrefix="0" xfId="0">
      <alignment horizontal="center" vertical="center"/>
    </xf>
    <xf numFmtId="0" fontId="11" fillId="15" borderId="7" applyAlignment="1" pivotButton="0" quotePrefix="0" xfId="0">
      <alignment horizontal="center" vertical="center"/>
    </xf>
    <xf numFmtId="0" fontId="12" fillId="14" borderId="6" applyAlignment="1" pivotButton="0" quotePrefix="0" xfId="0">
      <alignment horizontal="left" vertical="center"/>
    </xf>
    <xf numFmtId="0" fontId="13" fillId="16" borderId="7" applyAlignment="1" pivotButton="0" quotePrefix="0" xfId="0">
      <alignment horizontal="center" vertical="center" wrapText="1"/>
    </xf>
    <xf numFmtId="0" fontId="14" fillId="17" borderId="7" applyAlignment="1" pivotButton="0" quotePrefix="0" xfId="0">
      <alignment horizontal="left" vertical="center"/>
    </xf>
    <xf numFmtId="3" fontId="14" fillId="17" borderId="7" applyAlignment="1" pivotButton="0" quotePrefix="0" xfId="0">
      <alignment horizontal="right" vertical="center"/>
    </xf>
    <xf numFmtId="0" fontId="15" fillId="4" borderId="7" applyAlignment="1" pivotButton="0" quotePrefix="0" xfId="0">
      <alignment horizontal="left" vertical="center"/>
    </xf>
    <xf numFmtId="3" fontId="15" fillId="4" borderId="7" applyAlignment="1" pivotButton="0" quotePrefix="0" xfId="0">
      <alignment horizontal="right" vertical="center"/>
    </xf>
    <xf numFmtId="0" fontId="12" fillId="16" borderId="6" applyAlignment="1" pivotButton="0" quotePrefix="0" xfId="0">
      <alignment horizontal="left" vertical="center"/>
    </xf>
    <xf numFmtId="0" fontId="16" fillId="18" borderId="7" applyAlignment="1" pivotButton="0" quotePrefix="0" xfId="0">
      <alignment horizontal="left" vertical="center"/>
    </xf>
    <xf numFmtId="3" fontId="16" fillId="18" borderId="7" applyAlignment="1" pivotButton="0" quotePrefix="0" xfId="0">
      <alignment horizontal="right" vertical="center"/>
    </xf>
    <xf numFmtId="0" fontId="16" fillId="18" borderId="7" applyAlignment="1" pivotButton="0" quotePrefix="0" xfId="0">
      <alignment horizontal="center" vertical="center"/>
    </xf>
    <xf numFmtId="0" fontId="17" fillId="19" borderId="7" applyAlignment="1" pivotButton="0" quotePrefix="0" xfId="0">
      <alignment horizontal="left" vertical="center"/>
    </xf>
    <xf numFmtId="3" fontId="17" fillId="19" borderId="7" applyAlignment="1" pivotButton="0" quotePrefix="0" xfId="0">
      <alignment horizontal="right" vertical="center"/>
    </xf>
    <xf numFmtId="0" fontId="17" fillId="19" borderId="7" applyAlignment="1" pivotButton="0" quotePrefix="0" xfId="0">
      <alignment horizontal="center" vertical="center"/>
    </xf>
    <xf numFmtId="0" fontId="18" fillId="20" borderId="7" applyAlignment="1" pivotButton="0" quotePrefix="0" xfId="0">
      <alignment horizontal="left" vertical="center"/>
    </xf>
    <xf numFmtId="3" fontId="18" fillId="20" borderId="7" applyAlignment="1" pivotButton="0" quotePrefix="0" xfId="0">
      <alignment horizontal="right" vertical="center"/>
    </xf>
    <xf numFmtId="0" fontId="18" fillId="20" borderId="7" applyAlignment="1" pivotButton="0" quotePrefix="0" xfId="0">
      <alignment horizontal="center" vertical="center"/>
    </xf>
    <xf numFmtId="0" fontId="18" fillId="21" borderId="7" applyAlignment="1" pivotButton="0" quotePrefix="0" xfId="0">
      <alignment horizontal="left" vertical="center"/>
    </xf>
    <xf numFmtId="3" fontId="18" fillId="21" borderId="7" applyAlignment="1" pivotButton="0" quotePrefix="0" xfId="0">
      <alignment horizontal="right" vertical="center"/>
    </xf>
    <xf numFmtId="0" fontId="18" fillId="21" borderId="7" applyAlignment="1" pivotButton="0" quotePrefix="0" xfId="0">
      <alignment horizontal="center" vertical="center"/>
    </xf>
    <xf numFmtId="0" fontId="19" fillId="22" borderId="7" applyAlignment="1" pivotButton="0" quotePrefix="0" xfId="0">
      <alignment horizontal="left" vertical="center"/>
    </xf>
    <xf numFmtId="3" fontId="19" fillId="22" borderId="7" applyAlignment="1" pivotButton="0" quotePrefix="0" xfId="0">
      <alignment horizontal="right" vertical="center"/>
    </xf>
    <xf numFmtId="0" fontId="19" fillId="22" borderId="7" applyAlignment="1" pivotButton="0" quotePrefix="0" xfId="0">
      <alignment horizontal="center" vertical="center"/>
    </xf>
    <xf numFmtId="0" fontId="20" fillId="23" borderId="7" applyAlignment="1" pivotButton="0" quotePrefix="0" xfId="0">
      <alignment horizontal="left" vertical="center"/>
    </xf>
    <xf numFmtId="3" fontId="20" fillId="23" borderId="7" applyAlignment="1" pivotButton="0" quotePrefix="0" xfId="0">
      <alignment horizontal="right" vertical="center"/>
    </xf>
    <xf numFmtId="0" fontId="20" fillId="23" borderId="7" applyAlignment="1" pivotButton="0" quotePrefix="0" xfId="0">
      <alignment horizontal="center" vertical="center"/>
    </xf>
    <xf numFmtId="0" fontId="21" fillId="24" borderId="7" applyAlignment="1" pivotButton="0" quotePrefix="0" xfId="0">
      <alignment horizontal="left" vertical="center"/>
    </xf>
    <xf numFmtId="3" fontId="21" fillId="24" borderId="7" applyAlignment="1" pivotButton="0" quotePrefix="0" xfId="0">
      <alignment horizontal="right" vertical="center"/>
    </xf>
    <xf numFmtId="0" fontId="21" fillId="24" borderId="7" applyAlignment="1" pivotButton="0" quotePrefix="0" xfId="0">
      <alignment horizontal="center" vertical="center"/>
    </xf>
    <xf numFmtId="0" fontId="22" fillId="25" borderId="7" applyAlignment="1" pivotButton="0" quotePrefix="0" xfId="0">
      <alignment horizontal="left" vertical="center"/>
    </xf>
    <xf numFmtId="3" fontId="22" fillId="25" borderId="7" applyAlignment="1" pivotButton="0" quotePrefix="0" xfId="0">
      <alignment horizontal="right" vertical="center"/>
    </xf>
    <xf numFmtId="0" fontId="22" fillId="25" borderId="7" applyAlignment="1" pivotButton="0" quotePrefix="0" xfId="0">
      <alignment horizontal="center" vertical="center"/>
    </xf>
    <xf numFmtId="0" fontId="23" fillId="4" borderId="7" applyAlignment="1" pivotButton="0" quotePrefix="0" xfId="0">
      <alignment horizontal="center" vertical="center"/>
    </xf>
    <xf numFmtId="3" fontId="23" fillId="4" borderId="7" applyAlignment="1" pivotButton="0" quotePrefix="0" xfId="0">
      <alignment horizontal="center" vertical="center"/>
    </xf>
    <xf numFmtId="0" fontId="24" fillId="4" borderId="7" applyAlignment="1" pivotButton="0" quotePrefix="0" xfId="0">
      <alignment horizontal="center" vertical="center"/>
    </xf>
    <xf numFmtId="0" fontId="12" fillId="26" borderId="6" applyAlignment="1" pivotButton="0" quotePrefix="0" xfId="0">
      <alignment horizontal="left" vertical="center"/>
    </xf>
    <xf numFmtId="0" fontId="13" fillId="26" borderId="7" applyAlignment="1" pivotButton="0" quotePrefix="0" xfId="0">
      <alignment horizontal="center" vertical="center" wrapText="1"/>
    </xf>
    <xf numFmtId="0" fontId="25" fillId="27" borderId="7" applyAlignment="1" pivotButton="0" quotePrefix="0" xfId="0">
      <alignment horizontal="left" vertical="center"/>
    </xf>
    <xf numFmtId="3" fontId="25" fillId="27" borderId="7" applyAlignment="1" pivotButton="0" quotePrefix="0" xfId="0">
      <alignment horizontal="right" vertical="center"/>
    </xf>
    <xf numFmtId="0" fontId="25" fillId="27" borderId="7" applyAlignment="1" pivotButton="0" quotePrefix="0" xfId="0">
      <alignment horizontal="center" vertical="center"/>
    </xf>
    <xf numFmtId="0" fontId="25" fillId="28" borderId="7" applyAlignment="1" pivotButton="0" quotePrefix="0" xfId="0">
      <alignment horizontal="left" vertical="center"/>
    </xf>
    <xf numFmtId="3" fontId="25" fillId="28" borderId="7" applyAlignment="1" pivotButton="0" quotePrefix="0" xfId="0">
      <alignment horizontal="right" vertical="center"/>
    </xf>
    <xf numFmtId="0" fontId="25" fillId="28" borderId="7" applyAlignment="1" pivotButton="0" quotePrefix="0" xfId="0">
      <alignment horizontal="center" vertical="center"/>
    </xf>
    <xf numFmtId="0" fontId="26" fillId="29" borderId="7" applyAlignment="1" pivotButton="0" quotePrefix="0" xfId="0">
      <alignment horizontal="left" vertical="center"/>
    </xf>
    <xf numFmtId="3" fontId="26" fillId="29" borderId="7" applyAlignment="1" pivotButton="0" quotePrefix="0" xfId="0">
      <alignment horizontal="right" vertical="center"/>
    </xf>
    <xf numFmtId="0" fontId="26" fillId="29" borderId="7" applyAlignment="1" pivotButton="0" quotePrefix="0" xfId="0">
      <alignment horizontal="center" vertical="center"/>
    </xf>
    <xf numFmtId="0" fontId="27" fillId="30" borderId="7" applyAlignment="1" pivotButton="0" quotePrefix="0" xfId="0">
      <alignment horizontal="left" vertical="center"/>
    </xf>
    <xf numFmtId="3" fontId="27" fillId="30" borderId="7" applyAlignment="1" pivotButton="0" quotePrefix="0" xfId="0">
      <alignment horizontal="right" vertical="center"/>
    </xf>
    <xf numFmtId="0" fontId="27" fillId="30" borderId="7" applyAlignment="1" pivotButton="0" quotePrefix="0" xfId="0">
      <alignment horizontal="center" vertical="center"/>
    </xf>
    <xf numFmtId="0" fontId="21" fillId="31" borderId="7" applyAlignment="1" pivotButton="0" quotePrefix="0" xfId="0">
      <alignment horizontal="left" vertical="center"/>
    </xf>
    <xf numFmtId="3" fontId="21" fillId="31" borderId="7" applyAlignment="1" pivotButton="0" quotePrefix="0" xfId="0">
      <alignment horizontal="right" vertical="center"/>
    </xf>
    <xf numFmtId="0" fontId="21" fillId="31" borderId="7" applyAlignment="1" pivotButton="0" quotePrefix="0" xfId="0">
      <alignment horizontal="center" vertical="center"/>
    </xf>
    <xf numFmtId="0" fontId="28" fillId="32" borderId="7" applyAlignment="1" pivotButton="0" quotePrefix="0" xfId="0">
      <alignment horizontal="left" vertical="center"/>
    </xf>
    <xf numFmtId="3" fontId="28" fillId="32" borderId="7" applyAlignment="1" pivotButton="0" quotePrefix="0" xfId="0">
      <alignment horizontal="right" vertical="center"/>
    </xf>
    <xf numFmtId="0" fontId="28" fillId="32" borderId="7" applyAlignment="1" pivotButton="0" quotePrefix="0" xfId="0">
      <alignment horizontal="center" vertical="center"/>
    </xf>
    <xf numFmtId="0" fontId="28" fillId="33" borderId="7" applyAlignment="1" pivotButton="0" quotePrefix="0" xfId="0">
      <alignment horizontal="left" vertical="center"/>
    </xf>
    <xf numFmtId="3" fontId="28" fillId="33" borderId="7" applyAlignment="1" pivotButton="0" quotePrefix="0" xfId="0">
      <alignment horizontal="right" vertical="center"/>
    </xf>
    <xf numFmtId="0" fontId="28" fillId="33" borderId="7" applyAlignment="1" pivotButton="0" quotePrefix="0" xfId="0">
      <alignment horizontal="center" vertical="center"/>
    </xf>
    <xf numFmtId="0" fontId="12" fillId="34" borderId="6" applyAlignment="1" pivotButton="0" quotePrefix="0" xfId="0">
      <alignment horizontal="left" vertical="center"/>
    </xf>
    <xf numFmtId="0" fontId="13" fillId="34" borderId="7" applyAlignment="1" pivotButton="0" quotePrefix="0" xfId="0">
      <alignment horizontal="center" vertical="center" wrapText="1"/>
    </xf>
    <xf numFmtId="0" fontId="29" fillId="24" borderId="7" applyAlignment="1" pivotButton="0" quotePrefix="0" xfId="0">
      <alignment horizontal="left" vertical="center"/>
    </xf>
    <xf numFmtId="3" fontId="29" fillId="24" borderId="7" applyAlignment="1" pivotButton="0" quotePrefix="0" xfId="0">
      <alignment horizontal="right" vertical="center"/>
    </xf>
    <xf numFmtId="0" fontId="29" fillId="24" borderId="7" applyAlignment="1" pivotButton="0" quotePrefix="0" xfId="0">
      <alignment horizontal="center" vertical="center"/>
    </xf>
    <xf numFmtId="0" fontId="12" fillId="35" borderId="6" applyAlignment="1" pivotButton="0" quotePrefix="0" xfId="0">
      <alignment horizontal="left" vertical="center"/>
    </xf>
    <xf numFmtId="0" fontId="13" fillId="35" borderId="7" applyAlignment="1" pivotButton="0" quotePrefix="0" xfId="0">
      <alignment horizontal="center" vertical="center" wrapText="1"/>
    </xf>
    <xf numFmtId="0" fontId="13" fillId="23" borderId="0" applyAlignment="1" pivotButton="0" quotePrefix="0" xfId="0">
      <alignment horizontal="left" vertical="center"/>
    </xf>
    <xf numFmtId="0" fontId="13" fillId="25" borderId="0" applyAlignment="1" pivotButton="0" quotePrefix="0" xfId="0">
      <alignment horizontal="left" vertical="center"/>
    </xf>
    <xf numFmtId="0" fontId="13" fillId="19" borderId="0" applyAlignment="1" pivotButton="0" quotePrefix="0" xfId="0">
      <alignment horizontal="left" vertical="center"/>
    </xf>
    <xf numFmtId="0" fontId="13" fillId="20" borderId="0" applyAlignment="1" pivotButton="0" quotePrefix="0" xfId="0">
      <alignment horizontal="left" vertical="center"/>
    </xf>
    <xf numFmtId="0" fontId="13" fillId="22" borderId="0" applyAlignment="1" pivotButton="0" quotePrefix="0" xfId="0">
      <alignment horizontal="left" vertical="center"/>
    </xf>
    <xf numFmtId="0" fontId="13" fillId="21" borderId="0" applyAlignment="1" pivotButton="0" quotePrefix="0" xfId="0">
      <alignment horizontal="left" vertical="center"/>
    </xf>
    <xf numFmtId="0" fontId="13" fillId="18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/>
    </xf>
    <xf numFmtId="0" fontId="12" fillId="36" borderId="6" applyAlignment="1" pivotButton="0" quotePrefix="0" xfId="0">
      <alignment horizontal="left" vertical="center"/>
    </xf>
    <xf numFmtId="0" fontId="13" fillId="36" borderId="7" applyAlignment="1" pivotButton="0" quotePrefix="0" xfId="0">
      <alignment horizontal="center" vertical="center" wrapText="1"/>
    </xf>
    <xf numFmtId="0" fontId="17" fillId="20" borderId="7" applyAlignment="1" pivotButton="0" quotePrefix="0" xfId="0">
      <alignment horizontal="left" vertical="center"/>
    </xf>
    <xf numFmtId="3" fontId="17" fillId="20" borderId="7" applyAlignment="1" pivotButton="0" quotePrefix="0" xfId="0">
      <alignment horizontal="right" vertical="center"/>
    </xf>
    <xf numFmtId="0" fontId="12" fillId="15" borderId="6" applyAlignment="1" pivotButton="0" quotePrefix="0" xfId="0">
      <alignment horizontal="left" vertical="center"/>
    </xf>
    <xf numFmtId="0" fontId="30" fillId="23" borderId="0" applyAlignment="1" pivotButton="0" quotePrefix="0" xfId="0">
      <alignment horizontal="left" vertical="center"/>
    </xf>
    <xf numFmtId="0" fontId="31" fillId="37" borderId="0" applyAlignment="1" pivotButton="0" quotePrefix="0" xfId="0">
      <alignment horizontal="left" vertical="center" wrapText="1"/>
    </xf>
    <xf numFmtId="0" fontId="32" fillId="23" borderId="7" applyAlignment="1" pivotButton="0" quotePrefix="0" xfId="0">
      <alignment horizontal="center" vertical="center" wrapText="1"/>
    </xf>
    <xf numFmtId="0" fontId="33" fillId="24" borderId="7" applyAlignment="1" pivotButton="0" quotePrefix="0" xfId="0">
      <alignment horizontal="center" vertical="center" wrapText="1"/>
    </xf>
    <xf numFmtId="0" fontId="32" fillId="24" borderId="7" applyAlignment="1" pivotButton="0" quotePrefix="0" xfId="0">
      <alignment horizontal="center" vertical="center" wrapText="1"/>
    </xf>
    <xf numFmtId="0" fontId="34" fillId="38" borderId="7" applyAlignment="1" pivotButton="0" quotePrefix="0" xfId="0">
      <alignment horizontal="center" vertical="center" wrapText="1"/>
    </xf>
    <xf numFmtId="0" fontId="33" fillId="33" borderId="7" applyAlignment="1" pivotButton="0" quotePrefix="0" xfId="0">
      <alignment horizontal="center" vertical="center" wrapText="1"/>
    </xf>
    <xf numFmtId="0" fontId="28" fillId="39" borderId="7" applyAlignment="1" pivotButton="0" quotePrefix="0" xfId="0">
      <alignment horizontal="center" vertical="center"/>
    </xf>
    <xf numFmtId="0" fontId="35" fillId="40" borderId="7" applyAlignment="1" pivotButton="0" quotePrefix="0" xfId="0">
      <alignment horizontal="center" vertical="center"/>
    </xf>
    <xf numFmtId="1" fontId="28" fillId="39" borderId="7" applyAlignment="1" pivotButton="0" quotePrefix="0" xfId="0">
      <alignment horizontal="center" vertical="center"/>
    </xf>
    <xf numFmtId="1" fontId="36" fillId="40" borderId="7" applyAlignment="1" pivotButton="0" quotePrefix="0" xfId="0">
      <alignment horizontal="center" vertical="center"/>
    </xf>
    <xf numFmtId="1" fontId="37" fillId="41" borderId="7" applyAlignment="1" pivotButton="0" quotePrefix="0" xfId="0">
      <alignment horizontal="center" vertical="center"/>
    </xf>
    <xf numFmtId="0" fontId="38" fillId="42" borderId="7" applyAlignment="1" pivotButton="0" quotePrefix="0" xfId="0">
      <alignment horizontal="left" vertical="center" wrapText="1"/>
    </xf>
    <xf numFmtId="0" fontId="30" fillId="23" borderId="7" applyAlignment="1" pivotButton="0" quotePrefix="0" xfId="0">
      <alignment horizontal="center" vertical="center"/>
    </xf>
    <xf numFmtId="0" fontId="28" fillId="24" borderId="7" applyAlignment="1" pivotButton="0" quotePrefix="0" xfId="0">
      <alignment horizontal="center" vertical="center"/>
    </xf>
    <xf numFmtId="1" fontId="30" fillId="23" borderId="7" applyAlignment="1" pivotButton="0" quotePrefix="0" xfId="0">
      <alignment horizontal="center" vertical="center"/>
    </xf>
    <xf numFmtId="1" fontId="28" fillId="24" borderId="7" applyAlignment="1" pivotButton="0" quotePrefix="0" xfId="0">
      <alignment horizontal="center" vertical="center"/>
    </xf>
    <xf numFmtId="1" fontId="15" fillId="43" borderId="6" applyAlignment="1" pivotButton="0" quotePrefix="0" xfId="0">
      <alignment horizontal="center" vertical="center"/>
    </xf>
    <xf numFmtId="0" fontId="28" fillId="40" borderId="7" applyAlignment="1" pivotButton="0" quotePrefix="0" xfId="0">
      <alignment horizontal="center" vertical="center"/>
    </xf>
    <xf numFmtId="1" fontId="28" fillId="40" borderId="7" applyAlignment="1" pivotButton="0" quotePrefix="0" xfId="0">
      <alignment horizontal="center" vertical="center"/>
    </xf>
    <xf numFmtId="0" fontId="35" fillId="44" borderId="7" applyAlignment="1" pivotButton="0" quotePrefix="0" xfId="0">
      <alignment horizontal="center" vertical="center"/>
    </xf>
    <xf numFmtId="1" fontId="36" fillId="44" borderId="7" applyAlignment="1" pivotButton="0" quotePrefix="0" xfId="0">
      <alignment horizontal="center" vertical="center"/>
    </xf>
    <xf numFmtId="0" fontId="39" fillId="14" borderId="6" applyAlignment="1" pivotButton="0" quotePrefix="0" xfId="0">
      <alignment horizontal="center" vertical="center"/>
    </xf>
    <xf numFmtId="0" fontId="11" fillId="15" borderId="7" applyAlignment="1" pivotButton="0" quotePrefix="0" xfId="0">
      <alignment horizontal="center" vertical="center" wrapText="1"/>
    </xf>
    <xf numFmtId="0" fontId="12" fillId="14" borderId="6" applyAlignment="1" pivotButton="0" quotePrefix="0" xfId="0">
      <alignment horizontal="left" vertical="center"/>
    </xf>
    <xf numFmtId="0" fontId="34" fillId="16" borderId="7" applyAlignment="1" pivotButton="0" quotePrefix="0" xfId="0">
      <alignment horizontal="center" vertical="center" wrapText="1"/>
    </xf>
    <xf numFmtId="0" fontId="14" fillId="17" borderId="7" applyAlignment="1" pivotButton="0" quotePrefix="0" xfId="0">
      <alignment horizontal="left" vertical="center"/>
    </xf>
    <xf numFmtId="3" fontId="14" fillId="17" borderId="7" applyAlignment="1" pivotButton="0" quotePrefix="0" xfId="0">
      <alignment horizontal="center" vertical="center"/>
    </xf>
    <xf numFmtId="0" fontId="14" fillId="17" borderId="7" applyAlignment="1" pivotButton="0" quotePrefix="0" xfId="0">
      <alignment horizontal="center" vertical="center"/>
    </xf>
    <xf numFmtId="0" fontId="40" fillId="17" borderId="7" applyAlignment="1" pivotButton="0" quotePrefix="0" xfId="0">
      <alignment horizontal="center" vertical="center"/>
    </xf>
    <xf numFmtId="0" fontId="41" fillId="17" borderId="7" applyAlignment="1" pivotButton="0" quotePrefix="0" xfId="0">
      <alignment horizontal="center" vertical="center"/>
    </xf>
    <xf numFmtId="0" fontId="29" fillId="45" borderId="7" applyAlignment="1" pivotButton="0" quotePrefix="0" xfId="0">
      <alignment horizontal="left" vertical="center"/>
    </xf>
    <xf numFmtId="3" fontId="29" fillId="45" borderId="7" applyAlignment="1" pivotButton="0" quotePrefix="0" xfId="0">
      <alignment horizontal="center" vertical="center"/>
    </xf>
    <xf numFmtId="0" fontId="29" fillId="45" borderId="7" applyAlignment="1" pivotButton="0" quotePrefix="0" xfId="0">
      <alignment horizontal="center" vertical="center"/>
    </xf>
    <xf numFmtId="0" fontId="40" fillId="45" borderId="7" applyAlignment="1" pivotButton="0" quotePrefix="0" xfId="0">
      <alignment horizontal="center" vertical="center"/>
    </xf>
    <xf numFmtId="0" fontId="41" fillId="45" borderId="7" applyAlignment="1" pivotButton="0" quotePrefix="0" xfId="0">
      <alignment horizontal="center" vertical="center"/>
    </xf>
    <xf numFmtId="0" fontId="23" fillId="4" borderId="7" applyAlignment="1" pivotButton="0" quotePrefix="0" xfId="0">
      <alignment horizontal="left" vertical="center"/>
    </xf>
    <xf numFmtId="3" fontId="23" fillId="4" borderId="7" applyAlignment="1" pivotButton="0" quotePrefix="0" xfId="0">
      <alignment horizontal="center" vertical="center"/>
    </xf>
    <xf numFmtId="3" fontId="15" fillId="38" borderId="7" applyAlignment="1" pivotButton="0" quotePrefix="0" xfId="0">
      <alignment horizontal="center" vertical="center"/>
    </xf>
    <xf numFmtId="0" fontId="40" fillId="4" borderId="7" applyAlignment="1" pivotButton="0" quotePrefix="0" xfId="0">
      <alignment horizontal="center" vertical="center"/>
    </xf>
    <xf numFmtId="0" fontId="41" fillId="4" borderId="7" applyAlignment="1" pivotButton="0" quotePrefix="0" xfId="0">
      <alignment horizontal="center" vertical="center"/>
    </xf>
    <xf numFmtId="0" fontId="12" fillId="16" borderId="6" applyAlignment="1" pivotButton="0" quotePrefix="0" xfId="0">
      <alignment horizontal="left" vertical="center"/>
    </xf>
    <xf numFmtId="0" fontId="20" fillId="23" borderId="7" applyAlignment="1" pivotButton="0" quotePrefix="0" xfId="0">
      <alignment horizontal="left" vertical="center"/>
    </xf>
    <xf numFmtId="3" fontId="20" fillId="23" borderId="7" applyAlignment="1" pivotButton="0" quotePrefix="0" xfId="0">
      <alignment horizontal="center" vertical="center"/>
    </xf>
    <xf numFmtId="3" fontId="30" fillId="23" borderId="7" applyAlignment="1" pivotButton="0" quotePrefix="0" xfId="0">
      <alignment horizontal="center" vertical="center"/>
    </xf>
    <xf numFmtId="166" fontId="20" fillId="23" borderId="7" applyAlignment="1" pivotButton="0" quotePrefix="0" xfId="0">
      <alignment horizontal="center" vertical="center"/>
    </xf>
    <xf numFmtId="0" fontId="14" fillId="23" borderId="7" applyAlignment="1" pivotButton="0" quotePrefix="0" xfId="0">
      <alignment horizontal="center" vertical="center"/>
    </xf>
    <xf numFmtId="0" fontId="42" fillId="23" borderId="7" applyAlignment="1" pivotButton="0" quotePrefix="0" xfId="0">
      <alignment horizontal="left" vertical="center"/>
    </xf>
    <xf numFmtId="0" fontId="38" fillId="23" borderId="7" applyAlignment="1" pivotButton="0" quotePrefix="0" xfId="0">
      <alignment horizontal="left" vertical="center"/>
    </xf>
    <xf numFmtId="0" fontId="17" fillId="19" borderId="7" applyAlignment="1" pivotButton="0" quotePrefix="0" xfId="0">
      <alignment horizontal="left" vertical="center"/>
    </xf>
    <xf numFmtId="3" fontId="17" fillId="19" borderId="7" applyAlignment="1" pivotButton="0" quotePrefix="0" xfId="0">
      <alignment horizontal="center" vertical="center"/>
    </xf>
    <xf numFmtId="3" fontId="43" fillId="19" borderId="7" applyAlignment="1" pivotButton="0" quotePrefix="0" xfId="0">
      <alignment horizontal="center" vertical="center"/>
    </xf>
    <xf numFmtId="166" fontId="17" fillId="19" borderId="7" applyAlignment="1" pivotButton="0" quotePrefix="0" xfId="0">
      <alignment horizontal="center" vertical="center"/>
    </xf>
    <xf numFmtId="0" fontId="14" fillId="19" borderId="7" applyAlignment="1" pivotButton="0" quotePrefix="0" xfId="0">
      <alignment horizontal="center" vertical="center"/>
    </xf>
    <xf numFmtId="0" fontId="42" fillId="19" borderId="7" applyAlignment="1" pivotButton="0" quotePrefix="0" xfId="0">
      <alignment horizontal="left" vertical="center"/>
    </xf>
    <xf numFmtId="0" fontId="38" fillId="19" borderId="7" applyAlignment="1" pivotButton="0" quotePrefix="0" xfId="0">
      <alignment horizontal="left" vertical="center"/>
    </xf>
    <xf numFmtId="0" fontId="18" fillId="20" borderId="7" applyAlignment="1" pivotButton="0" quotePrefix="0" xfId="0">
      <alignment horizontal="left" vertical="center"/>
    </xf>
    <xf numFmtId="3" fontId="18" fillId="20" borderId="7" applyAlignment="1" pivotButton="0" quotePrefix="0" xfId="0">
      <alignment horizontal="center" vertical="center"/>
    </xf>
    <xf numFmtId="3" fontId="44" fillId="20" borderId="7" applyAlignment="1" pivotButton="0" quotePrefix="0" xfId="0">
      <alignment horizontal="center" vertical="center"/>
    </xf>
    <xf numFmtId="166" fontId="18" fillId="20" borderId="7" applyAlignment="1" pivotButton="0" quotePrefix="0" xfId="0">
      <alignment horizontal="center" vertical="center"/>
    </xf>
    <xf numFmtId="0" fontId="14" fillId="20" borderId="7" applyAlignment="1" pivotButton="0" quotePrefix="0" xfId="0">
      <alignment horizontal="center" vertical="center"/>
    </xf>
    <xf numFmtId="0" fontId="42" fillId="20" borderId="7" applyAlignment="1" pivotButton="0" quotePrefix="0" xfId="0">
      <alignment horizontal="left" vertical="center"/>
    </xf>
    <xf numFmtId="0" fontId="38" fillId="20" borderId="7" applyAlignment="1" pivotButton="0" quotePrefix="0" xfId="0">
      <alignment horizontal="left" vertical="center"/>
    </xf>
    <xf numFmtId="0" fontId="19" fillId="21" borderId="7" applyAlignment="1" pivotButton="0" quotePrefix="0" xfId="0">
      <alignment horizontal="left" vertical="center"/>
    </xf>
    <xf numFmtId="3" fontId="19" fillId="21" borderId="7" applyAlignment="1" pivotButton="0" quotePrefix="0" xfId="0">
      <alignment horizontal="center" vertical="center"/>
    </xf>
    <xf numFmtId="3" fontId="45" fillId="21" borderId="7" applyAlignment="1" pivotButton="0" quotePrefix="0" xfId="0">
      <alignment horizontal="center" vertical="center"/>
    </xf>
    <xf numFmtId="166" fontId="19" fillId="21" borderId="7" applyAlignment="1" pivotButton="0" quotePrefix="0" xfId="0">
      <alignment horizontal="center" vertical="center"/>
    </xf>
    <xf numFmtId="0" fontId="14" fillId="21" borderId="7" applyAlignment="1" pivotButton="0" quotePrefix="0" xfId="0">
      <alignment horizontal="center" vertical="center"/>
    </xf>
    <xf numFmtId="0" fontId="42" fillId="21" borderId="7" applyAlignment="1" pivotButton="0" quotePrefix="0" xfId="0">
      <alignment horizontal="left" vertical="center"/>
    </xf>
    <xf numFmtId="0" fontId="38" fillId="21" borderId="7" applyAlignment="1" pivotButton="0" quotePrefix="0" xfId="0">
      <alignment horizontal="left" vertical="center"/>
    </xf>
    <xf numFmtId="0" fontId="19" fillId="22" borderId="7" applyAlignment="1" pivotButton="0" quotePrefix="0" xfId="0">
      <alignment horizontal="left" vertical="center"/>
    </xf>
    <xf numFmtId="3" fontId="19" fillId="22" borderId="7" applyAlignment="1" pivotButton="0" quotePrefix="0" xfId="0">
      <alignment horizontal="center" vertical="center"/>
    </xf>
    <xf numFmtId="3" fontId="45" fillId="22" borderId="7" applyAlignment="1" pivotButton="0" quotePrefix="0" xfId="0">
      <alignment horizontal="center" vertical="center"/>
    </xf>
    <xf numFmtId="166" fontId="19" fillId="22" borderId="7" applyAlignment="1" pivotButton="0" quotePrefix="0" xfId="0">
      <alignment horizontal="center" vertical="center"/>
    </xf>
    <xf numFmtId="0" fontId="14" fillId="22" borderId="7" applyAlignment="1" pivotButton="0" quotePrefix="0" xfId="0">
      <alignment horizontal="center" vertical="center"/>
    </xf>
    <xf numFmtId="0" fontId="42" fillId="22" borderId="7" applyAlignment="1" pivotButton="0" quotePrefix="0" xfId="0">
      <alignment horizontal="left" vertical="center"/>
    </xf>
    <xf numFmtId="0" fontId="38" fillId="22" borderId="7" applyAlignment="1" pivotButton="0" quotePrefix="0" xfId="0">
      <alignment horizontal="left" vertical="center"/>
    </xf>
    <xf numFmtId="0" fontId="46" fillId="46" borderId="7" applyAlignment="1" pivotButton="0" quotePrefix="0" xfId="0">
      <alignment horizontal="left" vertical="center"/>
    </xf>
    <xf numFmtId="3" fontId="46" fillId="46" borderId="7" applyAlignment="1" pivotButton="0" quotePrefix="0" xfId="0">
      <alignment horizontal="center" vertical="center"/>
    </xf>
    <xf numFmtId="3" fontId="47" fillId="46" borderId="7" applyAlignment="1" pivotButton="0" quotePrefix="0" xfId="0">
      <alignment horizontal="center" vertical="center"/>
    </xf>
    <xf numFmtId="166" fontId="46" fillId="46" borderId="7" applyAlignment="1" pivotButton="0" quotePrefix="0" xfId="0">
      <alignment horizontal="center" vertical="center"/>
    </xf>
    <xf numFmtId="0" fontId="14" fillId="46" borderId="7" applyAlignment="1" pivotButton="0" quotePrefix="0" xfId="0">
      <alignment horizontal="center" vertical="center"/>
    </xf>
    <xf numFmtId="0" fontId="42" fillId="46" borderId="7" applyAlignment="1" pivotButton="0" quotePrefix="0" xfId="0">
      <alignment horizontal="left" vertical="center"/>
    </xf>
    <xf numFmtId="0" fontId="38" fillId="46" borderId="7" applyAlignment="1" pivotButton="0" quotePrefix="0" xfId="0">
      <alignment horizontal="left" vertical="center"/>
    </xf>
    <xf numFmtId="0" fontId="21" fillId="24" borderId="7" applyAlignment="1" pivotButton="0" quotePrefix="0" xfId="0">
      <alignment horizontal="left" vertical="center"/>
    </xf>
    <xf numFmtId="3" fontId="21" fillId="24" borderId="7" applyAlignment="1" pivotButton="0" quotePrefix="0" xfId="0">
      <alignment horizontal="center" vertical="center"/>
    </xf>
    <xf numFmtId="3" fontId="48" fillId="24" borderId="7" applyAlignment="1" pivotButton="0" quotePrefix="0" xfId="0">
      <alignment horizontal="center" vertical="center"/>
    </xf>
    <xf numFmtId="166" fontId="21" fillId="24" borderId="7" applyAlignment="1" pivotButton="0" quotePrefix="0" xfId="0">
      <alignment horizontal="center" vertical="center"/>
    </xf>
    <xf numFmtId="0" fontId="14" fillId="24" borderId="7" applyAlignment="1" pivotButton="0" quotePrefix="0" xfId="0">
      <alignment horizontal="center" vertical="center"/>
    </xf>
    <xf numFmtId="0" fontId="42" fillId="24" borderId="7" applyAlignment="1" pivotButton="0" quotePrefix="0" xfId="0">
      <alignment horizontal="left" vertical="center"/>
    </xf>
    <xf numFmtId="0" fontId="38" fillId="24" borderId="7" applyAlignment="1" pivotButton="0" quotePrefix="0" xfId="0">
      <alignment horizontal="left" vertical="center"/>
    </xf>
    <xf numFmtId="0" fontId="22" fillId="25" borderId="7" applyAlignment="1" pivotButton="0" quotePrefix="0" xfId="0">
      <alignment horizontal="left" vertical="center"/>
    </xf>
    <xf numFmtId="3" fontId="22" fillId="25" borderId="7" applyAlignment="1" pivotButton="0" quotePrefix="0" xfId="0">
      <alignment horizontal="center" vertical="center"/>
    </xf>
    <xf numFmtId="3" fontId="49" fillId="25" borderId="7" applyAlignment="1" pivotButton="0" quotePrefix="0" xfId="0">
      <alignment horizontal="center" vertical="center"/>
    </xf>
    <xf numFmtId="166" fontId="22" fillId="25" borderId="7" applyAlignment="1" pivotButton="0" quotePrefix="0" xfId="0">
      <alignment horizontal="center" vertical="center"/>
    </xf>
    <xf numFmtId="0" fontId="14" fillId="25" borderId="7" applyAlignment="1" pivotButton="0" quotePrefix="0" xfId="0">
      <alignment horizontal="center" vertical="center"/>
    </xf>
    <xf numFmtId="0" fontId="42" fillId="25" borderId="7" applyAlignment="1" pivotButton="0" quotePrefix="0" xfId="0">
      <alignment horizontal="left" vertical="center"/>
    </xf>
    <xf numFmtId="0" fontId="38" fillId="25" borderId="7" applyAlignment="1" pivotButton="0" quotePrefix="0" xfId="0">
      <alignment horizontal="left" vertical="center"/>
    </xf>
    <xf numFmtId="0" fontId="28" fillId="33" borderId="7" applyAlignment="1" pivotButton="0" quotePrefix="0" xfId="0">
      <alignment horizontal="left" vertical="center"/>
    </xf>
    <xf numFmtId="3" fontId="28" fillId="33" borderId="7" applyAlignment="1" pivotButton="0" quotePrefix="0" xfId="0">
      <alignment horizontal="center" vertical="center"/>
    </xf>
    <xf numFmtId="3" fontId="37" fillId="33" borderId="7" applyAlignment="1" pivotButton="0" quotePrefix="0" xfId="0">
      <alignment horizontal="center" vertical="center"/>
    </xf>
    <xf numFmtId="166" fontId="28" fillId="33" borderId="7" applyAlignment="1" pivotButton="0" quotePrefix="0" xfId="0">
      <alignment horizontal="center" vertical="center"/>
    </xf>
    <xf numFmtId="0" fontId="14" fillId="33" borderId="7" applyAlignment="1" pivotButton="0" quotePrefix="0" xfId="0">
      <alignment horizontal="center" vertical="center"/>
    </xf>
    <xf numFmtId="0" fontId="42" fillId="33" borderId="7" applyAlignment="1" pivotButton="0" quotePrefix="0" xfId="0">
      <alignment horizontal="left" vertical="center"/>
    </xf>
    <xf numFmtId="0" fontId="38" fillId="33" borderId="7" applyAlignment="1" pivotButton="0" quotePrefix="0" xfId="0">
      <alignment horizontal="left" vertical="center"/>
    </xf>
    <xf numFmtId="0" fontId="23" fillId="38" borderId="7" applyAlignment="1" pivotButton="0" quotePrefix="0" xfId="0">
      <alignment horizontal="left" vertical="center"/>
    </xf>
    <xf numFmtId="3" fontId="23" fillId="38" borderId="7" applyAlignment="1" pivotButton="0" quotePrefix="0" xfId="0">
      <alignment horizontal="center" vertical="center"/>
    </xf>
    <xf numFmtId="0" fontId="23" fillId="38" borderId="7" applyAlignment="1" pivotButton="0" quotePrefix="0" xfId="0">
      <alignment horizontal="center" vertical="center"/>
    </xf>
    <xf numFmtId="0" fontId="14" fillId="38" borderId="7" applyAlignment="1" pivotButton="0" quotePrefix="0" xfId="0">
      <alignment horizontal="center" vertical="center"/>
    </xf>
    <xf numFmtId="0" fontId="12" fillId="26" borderId="6" applyAlignment="1" pivotButton="0" quotePrefix="0" xfId="0">
      <alignment horizontal="left" vertical="center"/>
    </xf>
    <xf numFmtId="0" fontId="34" fillId="26" borderId="7" applyAlignment="1" pivotButton="0" quotePrefix="0" xfId="0">
      <alignment horizontal="center" vertical="center" wrapText="1"/>
    </xf>
    <xf numFmtId="0" fontId="25" fillId="27" borderId="7" applyAlignment="1" pivotButton="0" quotePrefix="0" xfId="0">
      <alignment horizontal="left" vertical="center"/>
    </xf>
    <xf numFmtId="3" fontId="25" fillId="27" borderId="7" applyAlignment="1" pivotButton="0" quotePrefix="0" xfId="0">
      <alignment horizontal="center" vertical="center"/>
    </xf>
    <xf numFmtId="3" fontId="50" fillId="27" borderId="7" applyAlignment="1" pivotButton="0" quotePrefix="0" xfId="0">
      <alignment horizontal="center" vertical="center"/>
    </xf>
    <xf numFmtId="166" fontId="25" fillId="27" borderId="7" applyAlignment="1" pivotButton="0" quotePrefix="0" xfId="0">
      <alignment horizontal="center" vertical="center"/>
    </xf>
    <xf numFmtId="0" fontId="14" fillId="27" borderId="7" applyAlignment="1" pivotButton="0" quotePrefix="0" xfId="0">
      <alignment horizontal="center" vertical="center"/>
    </xf>
    <xf numFmtId="0" fontId="42" fillId="27" borderId="7" applyAlignment="1" pivotButton="0" quotePrefix="0" xfId="0">
      <alignment horizontal="left" vertical="center"/>
    </xf>
    <xf numFmtId="0" fontId="38" fillId="27" borderId="7" applyAlignment="1" pivotButton="0" quotePrefix="0" xfId="0">
      <alignment horizontal="left" vertical="center"/>
    </xf>
    <xf numFmtId="0" fontId="25" fillId="28" borderId="7" applyAlignment="1" pivotButton="0" quotePrefix="0" xfId="0">
      <alignment horizontal="left" vertical="center"/>
    </xf>
    <xf numFmtId="3" fontId="25" fillId="28" borderId="7" applyAlignment="1" pivotButton="0" quotePrefix="0" xfId="0">
      <alignment horizontal="center" vertical="center"/>
    </xf>
    <xf numFmtId="3" fontId="50" fillId="28" borderId="7" applyAlignment="1" pivotButton="0" quotePrefix="0" xfId="0">
      <alignment horizontal="center" vertical="center"/>
    </xf>
    <xf numFmtId="166" fontId="25" fillId="28" borderId="7" applyAlignment="1" pivotButton="0" quotePrefix="0" xfId="0">
      <alignment horizontal="center" vertical="center"/>
    </xf>
    <xf numFmtId="0" fontId="14" fillId="28" borderId="7" applyAlignment="1" pivotButton="0" quotePrefix="0" xfId="0">
      <alignment horizontal="center" vertical="center"/>
    </xf>
    <xf numFmtId="0" fontId="42" fillId="28" borderId="7" applyAlignment="1" pivotButton="0" quotePrefix="0" xfId="0">
      <alignment horizontal="left" vertical="center"/>
    </xf>
    <xf numFmtId="0" fontId="38" fillId="28" borderId="7" applyAlignment="1" pivotButton="0" quotePrefix="0" xfId="0">
      <alignment horizontal="left" vertical="center"/>
    </xf>
    <xf numFmtId="0" fontId="26" fillId="29" borderId="7" applyAlignment="1" pivotButton="0" quotePrefix="0" xfId="0">
      <alignment horizontal="left" vertical="center"/>
    </xf>
    <xf numFmtId="3" fontId="26" fillId="29" borderId="7" applyAlignment="1" pivotButton="0" quotePrefix="0" xfId="0">
      <alignment horizontal="center" vertical="center"/>
    </xf>
    <xf numFmtId="3" fontId="51" fillId="29" borderId="7" applyAlignment="1" pivotButton="0" quotePrefix="0" xfId="0">
      <alignment horizontal="center" vertical="center"/>
    </xf>
    <xf numFmtId="166" fontId="26" fillId="29" borderId="7" applyAlignment="1" pivotButton="0" quotePrefix="0" xfId="0">
      <alignment horizontal="center" vertical="center"/>
    </xf>
    <xf numFmtId="0" fontId="14" fillId="29" borderId="7" applyAlignment="1" pivotButton="0" quotePrefix="0" xfId="0">
      <alignment horizontal="center" vertical="center"/>
    </xf>
    <xf numFmtId="0" fontId="42" fillId="29" borderId="7" applyAlignment="1" pivotButton="0" quotePrefix="0" xfId="0">
      <alignment horizontal="left" vertical="center"/>
    </xf>
    <xf numFmtId="0" fontId="38" fillId="29" borderId="7" applyAlignment="1" pivotButton="0" quotePrefix="0" xfId="0">
      <alignment horizontal="left" vertical="center"/>
    </xf>
    <xf numFmtId="0" fontId="27" fillId="30" borderId="7" applyAlignment="1" pivotButton="0" quotePrefix="0" xfId="0">
      <alignment horizontal="left" vertical="center"/>
    </xf>
    <xf numFmtId="3" fontId="27" fillId="30" borderId="7" applyAlignment="1" pivotButton="0" quotePrefix="0" xfId="0">
      <alignment horizontal="center" vertical="center"/>
    </xf>
    <xf numFmtId="3" fontId="52" fillId="30" borderId="7" applyAlignment="1" pivotButton="0" quotePrefix="0" xfId="0">
      <alignment horizontal="center" vertical="center"/>
    </xf>
    <xf numFmtId="166" fontId="27" fillId="30" borderId="7" applyAlignment="1" pivotButton="0" quotePrefix="0" xfId="0">
      <alignment horizontal="center" vertical="center"/>
    </xf>
    <xf numFmtId="0" fontId="14" fillId="30" borderId="7" applyAlignment="1" pivotButton="0" quotePrefix="0" xfId="0">
      <alignment horizontal="center" vertical="center"/>
    </xf>
    <xf numFmtId="0" fontId="42" fillId="30" borderId="7" applyAlignment="1" pivotButton="0" quotePrefix="0" xfId="0">
      <alignment horizontal="left" vertical="center"/>
    </xf>
    <xf numFmtId="0" fontId="38" fillId="30" borderId="7" applyAlignment="1" pivotButton="0" quotePrefix="0" xfId="0">
      <alignment horizontal="left" vertical="center"/>
    </xf>
    <xf numFmtId="0" fontId="21" fillId="31" borderId="7" applyAlignment="1" pivotButton="0" quotePrefix="0" xfId="0">
      <alignment horizontal="left" vertical="center"/>
    </xf>
    <xf numFmtId="3" fontId="21" fillId="31" borderId="7" applyAlignment="1" pivotButton="0" quotePrefix="0" xfId="0">
      <alignment horizontal="center" vertical="center"/>
    </xf>
    <xf numFmtId="3" fontId="48" fillId="31" borderId="7" applyAlignment="1" pivotButton="0" quotePrefix="0" xfId="0">
      <alignment horizontal="center" vertical="center"/>
    </xf>
    <xf numFmtId="166" fontId="21" fillId="31" borderId="7" applyAlignment="1" pivotButton="0" quotePrefix="0" xfId="0">
      <alignment horizontal="center" vertical="center"/>
    </xf>
    <xf numFmtId="0" fontId="14" fillId="31" borderId="7" applyAlignment="1" pivotButton="0" quotePrefix="0" xfId="0">
      <alignment horizontal="center" vertical="center"/>
    </xf>
    <xf numFmtId="0" fontId="42" fillId="31" borderId="7" applyAlignment="1" pivotButton="0" quotePrefix="0" xfId="0">
      <alignment horizontal="left" vertical="center"/>
    </xf>
    <xf numFmtId="0" fontId="38" fillId="31" borderId="7" applyAlignment="1" pivotButton="0" quotePrefix="0" xfId="0">
      <alignment horizontal="left" vertical="center"/>
    </xf>
    <xf numFmtId="0" fontId="28" fillId="32" borderId="7" applyAlignment="1" pivotButton="0" quotePrefix="0" xfId="0">
      <alignment horizontal="left" vertical="center"/>
    </xf>
    <xf numFmtId="3" fontId="28" fillId="32" borderId="7" applyAlignment="1" pivotButton="0" quotePrefix="0" xfId="0">
      <alignment horizontal="center" vertical="center"/>
    </xf>
    <xf numFmtId="3" fontId="37" fillId="32" borderId="7" applyAlignment="1" pivotButton="0" quotePrefix="0" xfId="0">
      <alignment horizontal="center" vertical="center"/>
    </xf>
    <xf numFmtId="166" fontId="28" fillId="32" borderId="7" applyAlignment="1" pivotButton="0" quotePrefix="0" xfId="0">
      <alignment horizontal="center" vertical="center"/>
    </xf>
    <xf numFmtId="0" fontId="14" fillId="32" borderId="7" applyAlignment="1" pivotButton="0" quotePrefix="0" xfId="0">
      <alignment horizontal="center" vertical="center"/>
    </xf>
    <xf numFmtId="0" fontId="42" fillId="32" borderId="7" applyAlignment="1" pivotButton="0" quotePrefix="0" xfId="0">
      <alignment horizontal="left" vertical="center"/>
    </xf>
    <xf numFmtId="0" fontId="38" fillId="32" borderId="7" applyAlignment="1" pivotButton="0" quotePrefix="0" xfId="0">
      <alignment horizontal="left" vertical="center"/>
    </xf>
    <xf numFmtId="0" fontId="12" fillId="36" borderId="6" applyAlignment="1" pivotButton="0" quotePrefix="0" xfId="0">
      <alignment horizontal="left" vertical="center"/>
    </xf>
    <xf numFmtId="0" fontId="34" fillId="36" borderId="7" applyAlignment="1" pivotButton="0" quotePrefix="0" xfId="0">
      <alignment horizontal="center" vertical="center" wrapText="1"/>
    </xf>
    <xf numFmtId="0" fontId="53" fillId="23" borderId="7" applyAlignment="1" pivotButton="0" quotePrefix="0" xfId="0">
      <alignment horizontal="center" vertical="center"/>
    </xf>
    <xf numFmtId="0" fontId="54" fillId="23" borderId="7" applyAlignment="1" pivotButton="0" quotePrefix="0" xfId="0">
      <alignment horizontal="left" vertical="center"/>
    </xf>
    <xf numFmtId="3" fontId="38" fillId="23" borderId="7" applyAlignment="1" pivotButton="0" quotePrefix="0" xfId="0">
      <alignment horizontal="center" vertical="center"/>
    </xf>
    <xf numFmtId="0" fontId="55" fillId="19" borderId="7" applyAlignment="1" pivotButton="0" quotePrefix="0" xfId="0">
      <alignment horizontal="left" vertical="center"/>
    </xf>
    <xf numFmtId="3" fontId="38" fillId="19" borderId="7" applyAlignment="1" pivotButton="0" quotePrefix="0" xfId="0">
      <alignment horizontal="center" vertical="center"/>
    </xf>
    <xf numFmtId="0" fontId="56" fillId="20" borderId="7" applyAlignment="1" pivotButton="0" quotePrefix="0" xfId="0">
      <alignment horizontal="left" vertical="center"/>
    </xf>
    <xf numFmtId="3" fontId="38" fillId="20" borderId="7" applyAlignment="1" pivotButton="0" quotePrefix="0" xfId="0">
      <alignment horizontal="center" vertical="center"/>
    </xf>
    <xf numFmtId="0" fontId="57" fillId="21" borderId="7" applyAlignment="1" pivotButton="0" quotePrefix="0" xfId="0">
      <alignment horizontal="left" vertical="center"/>
    </xf>
    <xf numFmtId="3" fontId="38" fillId="21" borderId="7" applyAlignment="1" pivotButton="0" quotePrefix="0" xfId="0">
      <alignment horizontal="center" vertical="center"/>
    </xf>
    <xf numFmtId="0" fontId="57" fillId="22" borderId="7" applyAlignment="1" pivotButton="0" quotePrefix="0" xfId="0">
      <alignment horizontal="left" vertical="center"/>
    </xf>
    <xf numFmtId="3" fontId="38" fillId="22" borderId="7" applyAlignment="1" pivotButton="0" quotePrefix="0" xfId="0">
      <alignment horizontal="center" vertical="center"/>
    </xf>
    <xf numFmtId="0" fontId="58" fillId="46" borderId="7" applyAlignment="1" pivotButton="0" quotePrefix="0" xfId="0">
      <alignment horizontal="left" vertical="center"/>
    </xf>
    <xf numFmtId="3" fontId="38" fillId="46" borderId="7" applyAlignment="1" pivotButton="0" quotePrefix="0" xfId="0">
      <alignment horizontal="center" vertical="center"/>
    </xf>
    <xf numFmtId="0" fontId="59" fillId="24" borderId="7" applyAlignment="1" pivotButton="0" quotePrefix="0" xfId="0">
      <alignment horizontal="left" vertical="center"/>
    </xf>
    <xf numFmtId="3" fontId="38" fillId="24" borderId="7" applyAlignment="1" pivotButton="0" quotePrefix="0" xfId="0">
      <alignment horizontal="center" vertical="center"/>
    </xf>
    <xf numFmtId="0" fontId="60" fillId="25" borderId="7" applyAlignment="1" pivotButton="0" quotePrefix="0" xfId="0">
      <alignment horizontal="left" vertical="center"/>
    </xf>
    <xf numFmtId="3" fontId="38" fillId="25" borderId="7" applyAlignment="1" pivotButton="0" quotePrefix="0" xfId="0">
      <alignment horizontal="center" vertical="center"/>
    </xf>
    <xf numFmtId="3" fontId="38" fillId="33" borderId="7" applyAlignment="1" pivotButton="0" quotePrefix="0" xfId="0">
      <alignment horizontal="center" vertical="center"/>
    </xf>
    <xf numFmtId="0" fontId="34" fillId="16" borderId="7" applyAlignment="1" pivotButton="0" quotePrefix="0" xfId="0">
      <alignment horizontal="center" vertical="center"/>
    </xf>
    <xf numFmtId="0" fontId="61" fillId="38" borderId="7" applyAlignment="1" pivotButton="0" quotePrefix="0" xfId="0">
      <alignment horizontal="center" vertical="center"/>
    </xf>
    <xf numFmtId="0" fontId="62" fillId="20" borderId="7" applyAlignment="1" pivotButton="0" quotePrefix="0" xfId="0">
      <alignment horizontal="center" vertical="center"/>
    </xf>
    <xf numFmtId="0" fontId="34" fillId="14" borderId="7" applyAlignment="1" pivotButton="0" quotePrefix="0" xfId="0">
      <alignment horizontal="center" vertical="center"/>
    </xf>
    <xf numFmtId="0" fontId="61" fillId="19" borderId="7" applyAlignment="1" pivotButton="0" quotePrefix="0" xfId="0">
      <alignment horizontal="center" vertical="center"/>
    </xf>
    <xf numFmtId="3" fontId="63" fillId="19" borderId="7" applyAlignment="1" pivotButton="0" quotePrefix="0" xfId="0">
      <alignment horizontal="center" vertical="center"/>
    </xf>
    <xf numFmtId="3" fontId="64" fillId="19" borderId="7" applyAlignment="1" pivotButton="0" quotePrefix="0" xfId="0">
      <alignment horizontal="center" vertical="center"/>
    </xf>
    <xf numFmtId="0" fontId="12" fillId="15" borderId="6" applyAlignment="1" pivotButton="0" quotePrefix="0" xfId="0">
      <alignment horizontal="left" vertical="center"/>
    </xf>
    <xf numFmtId="0" fontId="30" fillId="23" borderId="7" applyAlignment="1" pivotButton="0" quotePrefix="0" xfId="0">
      <alignment horizontal="left" vertical="center"/>
    </xf>
    <xf numFmtId="0" fontId="65" fillId="37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39" fillId="14" borderId="6" applyAlignment="1" pivotButton="0" quotePrefix="0" xfId="0">
      <alignment horizontal="center" vertical="center"/>
    </xf>
    <xf numFmtId="0" fontId="11" fillId="15" borderId="7" applyAlignment="1" pivotButton="0" quotePrefix="0" xfId="0">
      <alignment horizontal="left" vertical="center" wrapText="1"/>
    </xf>
    <xf numFmtId="0" fontId="32" fillId="16" borderId="7" applyAlignment="1" pivotButton="0" quotePrefix="0" xfId="0">
      <alignment horizontal="center" vertical="center" wrapText="1"/>
    </xf>
    <xf numFmtId="0" fontId="12" fillId="47" borderId="6" applyAlignment="1" pivotButton="0" quotePrefix="0" xfId="0">
      <alignment horizontal="left" vertical="center"/>
    </xf>
    <xf numFmtId="0" fontId="38" fillId="47" borderId="7" applyAlignment="1" pivotButton="0" quotePrefix="0" xfId="0">
      <alignment horizontal="center" vertical="center"/>
    </xf>
    <xf numFmtId="0" fontId="30" fillId="47" borderId="7" applyAlignment="1" pivotButton="0" quotePrefix="0" xfId="0">
      <alignment horizontal="center" vertical="center"/>
    </xf>
    <xf numFmtId="0" fontId="54" fillId="47" borderId="7" applyAlignment="1" pivotButton="0" quotePrefix="0" xfId="0">
      <alignment horizontal="left" vertical="center"/>
    </xf>
    <xf numFmtId="0" fontId="30" fillId="47" borderId="7" applyAlignment="1" pivotButton="0" quotePrefix="0" xfId="0">
      <alignment horizontal="left" vertical="center"/>
    </xf>
    <xf numFmtId="0" fontId="38" fillId="47" borderId="7" applyAlignment="1" pivotButton="0" quotePrefix="0" xfId="0">
      <alignment horizontal="left" vertical="center" wrapText="1"/>
    </xf>
    <xf numFmtId="0" fontId="54" fillId="47" borderId="7" applyAlignment="1" pivotButton="0" quotePrefix="0" xfId="0">
      <alignment horizontal="center" vertical="center"/>
    </xf>
    <xf numFmtId="0" fontId="66" fillId="44" borderId="7" applyAlignment="1" pivotButton="0" quotePrefix="0" xfId="0">
      <alignment horizontal="center" vertical="center"/>
    </xf>
    <xf numFmtId="3" fontId="20" fillId="47" borderId="7" applyAlignment="1" pivotButton="0" quotePrefix="0" xfId="0">
      <alignment horizontal="center" vertical="center"/>
    </xf>
    <xf numFmtId="165" fontId="67" fillId="44" borderId="7" applyAlignment="1" pivotButton="0" quotePrefix="0" xfId="0">
      <alignment horizontal="center" vertical="center"/>
    </xf>
    <xf numFmtId="0" fontId="68" fillId="44" borderId="7" applyAlignment="1" pivotButton="0" quotePrefix="0" xfId="0">
      <alignment horizontal="center" vertical="center"/>
    </xf>
    <xf numFmtId="165" fontId="69" fillId="38" borderId="7" applyAlignment="1" pivotButton="0" quotePrefix="0" xfId="0">
      <alignment horizontal="center" vertical="center"/>
    </xf>
    <xf numFmtId="0" fontId="38" fillId="47" borderId="7" applyAlignment="1" pivotButton="0" quotePrefix="0" xfId="0">
      <alignment horizontal="left" vertical="center"/>
    </xf>
    <xf numFmtId="0" fontId="34" fillId="16" borderId="7" applyAlignment="1" pivotButton="0" quotePrefix="0" xfId="0">
      <alignment horizontal="left" vertical="center"/>
    </xf>
    <xf numFmtId="3" fontId="34" fillId="16" borderId="7" applyAlignment="1" pivotButton="0" quotePrefix="0" xfId="0">
      <alignment horizontal="center" vertical="center"/>
    </xf>
    <xf numFmtId="165" fontId="34" fillId="16" borderId="7" applyAlignment="1" pivotButton="0" quotePrefix="0" xfId="0">
      <alignment horizontal="center" vertical="center"/>
    </xf>
    <xf numFmtId="0" fontId="32" fillId="16" borderId="7" applyAlignment="1" pivotButton="0" quotePrefix="0" xfId="0">
      <alignment horizontal="center" vertical="center"/>
    </xf>
    <xf numFmtId="165" fontId="12" fillId="16" borderId="7" applyAlignment="1" pivotButton="0" quotePrefix="0" xfId="0">
      <alignment horizontal="center" vertical="center"/>
    </xf>
    <xf numFmtId="0" fontId="14" fillId="16" borderId="7" applyAlignment="1" pivotButton="0" quotePrefix="0" xfId="0">
      <alignment horizontal="center" vertical="center"/>
    </xf>
    <xf numFmtId="0" fontId="12" fillId="20" borderId="6" applyAlignment="1" pivotButton="0" quotePrefix="0" xfId="0">
      <alignment horizontal="left" vertical="center"/>
    </xf>
    <xf numFmtId="0" fontId="38" fillId="20" borderId="7" applyAlignment="1" pivotButton="0" quotePrefix="0" xfId="0">
      <alignment horizontal="center" vertical="center"/>
    </xf>
    <xf numFmtId="0" fontId="43" fillId="20" borderId="7" applyAlignment="1" pivotButton="0" quotePrefix="0" xfId="0">
      <alignment horizontal="center" vertical="center"/>
    </xf>
    <xf numFmtId="0" fontId="55" fillId="20" borderId="7" applyAlignment="1" pivotButton="0" quotePrefix="0" xfId="0">
      <alignment horizontal="left" vertical="center"/>
    </xf>
    <xf numFmtId="0" fontId="43" fillId="20" borderId="7" applyAlignment="1" pivotButton="0" quotePrefix="0" xfId="0">
      <alignment horizontal="left" vertical="center"/>
    </xf>
    <xf numFmtId="0" fontId="38" fillId="20" borderId="7" applyAlignment="1" pivotButton="0" quotePrefix="0" xfId="0">
      <alignment horizontal="left" vertical="center" wrapText="1"/>
    </xf>
    <xf numFmtId="0" fontId="55" fillId="20" borderId="7" applyAlignment="1" pivotButton="0" quotePrefix="0" xfId="0">
      <alignment horizontal="center" vertical="center"/>
    </xf>
    <xf numFmtId="3" fontId="17" fillId="20" borderId="7" applyAlignment="1" pivotButton="0" quotePrefix="0" xfId="0">
      <alignment horizontal="center" vertical="center"/>
    </xf>
    <xf numFmtId="165" fontId="70" fillId="38" borderId="7" applyAlignment="1" pivotButton="0" quotePrefix="0" xfId="0">
      <alignment horizontal="center" vertical="center"/>
    </xf>
    <xf numFmtId="0" fontId="38" fillId="20" borderId="7" applyAlignment="1" pivotButton="0" quotePrefix="0" xfId="0">
      <alignment horizontal="left" vertical="center"/>
    </xf>
    <xf numFmtId="0" fontId="34" fillId="14" borderId="7" applyAlignment="1" pivotButton="0" quotePrefix="0" xfId="0">
      <alignment horizontal="left" vertical="center"/>
    </xf>
    <xf numFmtId="3" fontId="34" fillId="14" borderId="7" applyAlignment="1" pivotButton="0" quotePrefix="0" xfId="0">
      <alignment horizontal="center" vertical="center"/>
    </xf>
    <xf numFmtId="165" fontId="34" fillId="14" borderId="7" applyAlignment="1" pivotButton="0" quotePrefix="0" xfId="0">
      <alignment horizontal="center" vertical="center"/>
    </xf>
    <xf numFmtId="0" fontId="32" fillId="14" borderId="7" applyAlignment="1" pivotButton="0" quotePrefix="0" xfId="0">
      <alignment horizontal="center" vertical="center"/>
    </xf>
    <xf numFmtId="165" fontId="12" fillId="14" borderId="7" applyAlignment="1" pivotButton="0" quotePrefix="0" xfId="0">
      <alignment horizontal="center" vertical="center"/>
    </xf>
    <xf numFmtId="0" fontId="14" fillId="14" borderId="7" applyAlignment="1" pivotButton="0" quotePrefix="0" xfId="0">
      <alignment horizontal="center" vertical="center"/>
    </xf>
    <xf numFmtId="0" fontId="12" fillId="24" borderId="6" applyAlignment="1" pivotButton="0" quotePrefix="0" xfId="0">
      <alignment horizontal="left" vertical="center"/>
    </xf>
    <xf numFmtId="0" fontId="38" fillId="24" borderId="7" applyAlignment="1" pivotButton="0" quotePrefix="0" xfId="0">
      <alignment horizontal="center" vertical="center"/>
    </xf>
    <xf numFmtId="0" fontId="71" fillId="24" borderId="7" applyAlignment="1" pivotButton="0" quotePrefix="0" xfId="0">
      <alignment horizontal="center" vertical="center"/>
    </xf>
    <xf numFmtId="0" fontId="72" fillId="24" borderId="7" applyAlignment="1" pivotButton="0" quotePrefix="0" xfId="0">
      <alignment horizontal="left" vertical="center"/>
    </xf>
    <xf numFmtId="0" fontId="71" fillId="24" borderId="7" applyAlignment="1" pivotButton="0" quotePrefix="0" xfId="0">
      <alignment horizontal="left" vertical="center"/>
    </xf>
    <xf numFmtId="0" fontId="38" fillId="24" borderId="7" applyAlignment="1" pivotButton="0" quotePrefix="0" xfId="0">
      <alignment horizontal="left" vertical="center" wrapText="1"/>
    </xf>
    <xf numFmtId="0" fontId="72" fillId="24" borderId="7" applyAlignment="1" pivotButton="0" quotePrefix="0" xfId="0">
      <alignment horizontal="center" vertical="center"/>
    </xf>
    <xf numFmtId="3" fontId="73" fillId="24" borderId="7" applyAlignment="1" pivotButton="0" quotePrefix="0" xfId="0">
      <alignment horizontal="center" vertical="center"/>
    </xf>
    <xf numFmtId="165" fontId="74" fillId="38" borderId="7" applyAlignment="1" pivotButton="0" quotePrefix="0" xfId="0">
      <alignment horizontal="center" vertical="center"/>
    </xf>
    <xf numFmtId="0" fontId="38" fillId="24" borderId="7" applyAlignment="1" pivotButton="0" quotePrefix="0" xfId="0">
      <alignment horizontal="left" vertical="center"/>
    </xf>
    <xf numFmtId="0" fontId="34" fillId="48" borderId="7" applyAlignment="1" pivotButton="0" quotePrefix="0" xfId="0">
      <alignment horizontal="left" vertical="center"/>
    </xf>
    <xf numFmtId="3" fontId="34" fillId="48" borderId="7" applyAlignment="1" pivotButton="0" quotePrefix="0" xfId="0">
      <alignment horizontal="center" vertical="center"/>
    </xf>
    <xf numFmtId="165" fontId="34" fillId="48" borderId="7" applyAlignment="1" pivotButton="0" quotePrefix="0" xfId="0">
      <alignment horizontal="center" vertical="center"/>
    </xf>
    <xf numFmtId="0" fontId="32" fillId="48" borderId="7" applyAlignment="1" pivotButton="0" quotePrefix="0" xfId="0">
      <alignment horizontal="center" vertical="center"/>
    </xf>
    <xf numFmtId="165" fontId="12" fillId="48" borderId="7" applyAlignment="1" pivotButton="0" quotePrefix="0" xfId="0">
      <alignment horizontal="center" vertical="center"/>
    </xf>
    <xf numFmtId="0" fontId="14" fillId="48" borderId="7" applyAlignment="1" pivotButton="0" quotePrefix="0" xfId="0">
      <alignment horizontal="center" vertical="center"/>
    </xf>
    <xf numFmtId="0" fontId="12" fillId="41" borderId="6" applyAlignment="1" pivotButton="0" quotePrefix="0" xfId="0">
      <alignment horizontal="left" vertical="center"/>
    </xf>
    <xf numFmtId="0" fontId="38" fillId="41" borderId="7" applyAlignment="1" pivotButton="0" quotePrefix="0" xfId="0">
      <alignment horizontal="center" vertical="center"/>
    </xf>
    <xf numFmtId="0" fontId="23" fillId="41" borderId="7" applyAlignment="1" pivotButton="0" quotePrefix="0" xfId="0">
      <alignment horizontal="center" vertical="center"/>
    </xf>
    <xf numFmtId="0" fontId="75" fillId="41" borderId="7" applyAlignment="1" pivotButton="0" quotePrefix="0" xfId="0">
      <alignment horizontal="left" vertical="center"/>
    </xf>
    <xf numFmtId="0" fontId="23" fillId="41" borderId="7" applyAlignment="1" pivotButton="0" quotePrefix="0" xfId="0">
      <alignment horizontal="left" vertical="center"/>
    </xf>
    <xf numFmtId="0" fontId="38" fillId="41" borderId="7" applyAlignment="1" pivotButton="0" quotePrefix="0" xfId="0">
      <alignment horizontal="left" vertical="center" wrapText="1"/>
    </xf>
    <xf numFmtId="0" fontId="75" fillId="41" borderId="7" applyAlignment="1" pivotButton="0" quotePrefix="0" xfId="0">
      <alignment horizontal="center" vertical="center"/>
    </xf>
    <xf numFmtId="3" fontId="76" fillId="41" borderId="7" applyAlignment="1" pivotButton="0" quotePrefix="0" xfId="0">
      <alignment horizontal="center" vertical="center"/>
    </xf>
    <xf numFmtId="165" fontId="15" fillId="38" borderId="7" applyAlignment="1" pivotButton="0" quotePrefix="0" xfId="0">
      <alignment horizontal="center" vertical="center"/>
    </xf>
    <xf numFmtId="0" fontId="38" fillId="41" borderId="7" applyAlignment="1" pivotButton="0" quotePrefix="0" xfId="0">
      <alignment horizontal="left" vertical="center"/>
    </xf>
    <xf numFmtId="0" fontId="34" fillId="26" borderId="7" applyAlignment="1" pivotButton="0" quotePrefix="0" xfId="0">
      <alignment horizontal="left" vertical="center"/>
    </xf>
    <xf numFmtId="3" fontId="34" fillId="26" borderId="7" applyAlignment="1" pivotButton="0" quotePrefix="0" xfId="0">
      <alignment horizontal="center" vertical="center"/>
    </xf>
    <xf numFmtId="165" fontId="34" fillId="26" borderId="7" applyAlignment="1" pivotButton="0" quotePrefix="0" xfId="0">
      <alignment horizontal="center" vertical="center"/>
    </xf>
    <xf numFmtId="0" fontId="32" fillId="26" borderId="7" applyAlignment="1" pivotButton="0" quotePrefix="0" xfId="0">
      <alignment horizontal="center" vertical="center"/>
    </xf>
    <xf numFmtId="165" fontId="12" fillId="26" borderId="7" applyAlignment="1" pivotButton="0" quotePrefix="0" xfId="0">
      <alignment horizontal="center" vertical="center"/>
    </xf>
    <xf numFmtId="0" fontId="14" fillId="26" borderId="7" applyAlignment="1" pivotButton="0" quotePrefix="0" xfId="0">
      <alignment horizontal="center" vertical="center"/>
    </xf>
    <xf numFmtId="0" fontId="12" fillId="49" borderId="6" applyAlignment="1" pivotButton="0" quotePrefix="0" xfId="0">
      <alignment horizontal="left" vertical="center"/>
    </xf>
    <xf numFmtId="0" fontId="38" fillId="49" borderId="7" applyAlignment="1" pivotButton="0" quotePrefix="0" xfId="0">
      <alignment horizontal="center" vertical="center"/>
    </xf>
    <xf numFmtId="0" fontId="77" fillId="49" borderId="7" applyAlignment="1" pivotButton="0" quotePrefix="0" xfId="0">
      <alignment horizontal="center" vertical="center"/>
    </xf>
    <xf numFmtId="0" fontId="78" fillId="49" borderId="7" applyAlignment="1" pivotButton="0" quotePrefix="0" xfId="0">
      <alignment horizontal="left" vertical="center"/>
    </xf>
    <xf numFmtId="0" fontId="77" fillId="49" borderId="7" applyAlignment="1" pivotButton="0" quotePrefix="0" xfId="0">
      <alignment horizontal="left" vertical="center"/>
    </xf>
    <xf numFmtId="0" fontId="38" fillId="49" borderId="7" applyAlignment="1" pivotButton="0" quotePrefix="0" xfId="0">
      <alignment horizontal="left" vertical="center" wrapText="1"/>
    </xf>
    <xf numFmtId="0" fontId="78" fillId="49" borderId="7" applyAlignment="1" pivotButton="0" quotePrefix="0" xfId="0">
      <alignment horizontal="center" vertical="center"/>
    </xf>
    <xf numFmtId="3" fontId="79" fillId="49" borderId="7" applyAlignment="1" pivotButton="0" quotePrefix="0" xfId="0">
      <alignment horizontal="center" vertical="center"/>
    </xf>
    <xf numFmtId="165" fontId="80" fillId="38" borderId="7" applyAlignment="1" pivotButton="0" quotePrefix="0" xfId="0">
      <alignment horizontal="center" vertical="center"/>
    </xf>
    <xf numFmtId="0" fontId="38" fillId="49" borderId="7" applyAlignment="1" pivotButton="0" quotePrefix="0" xfId="0">
      <alignment horizontal="left" vertical="center"/>
    </xf>
    <xf numFmtId="0" fontId="34" fillId="36" borderId="7" applyAlignment="1" pivotButton="0" quotePrefix="0" xfId="0">
      <alignment horizontal="left" vertical="center"/>
    </xf>
    <xf numFmtId="3" fontId="34" fillId="36" borderId="7" applyAlignment="1" pivotButton="0" quotePrefix="0" xfId="0">
      <alignment horizontal="center" vertical="center"/>
    </xf>
    <xf numFmtId="165" fontId="34" fillId="36" borderId="7" applyAlignment="1" pivotButton="0" quotePrefix="0" xfId="0">
      <alignment horizontal="center" vertical="center"/>
    </xf>
    <xf numFmtId="0" fontId="32" fillId="36" borderId="7" applyAlignment="1" pivotButton="0" quotePrefix="0" xfId="0">
      <alignment horizontal="center" vertical="center"/>
    </xf>
    <xf numFmtId="165" fontId="12" fillId="36" borderId="7" applyAlignment="1" pivotButton="0" quotePrefix="0" xfId="0">
      <alignment horizontal="center" vertical="center"/>
    </xf>
    <xf numFmtId="0" fontId="14" fillId="36" borderId="7" applyAlignment="1" pivotButton="0" quotePrefix="0" xfId="0">
      <alignment horizontal="center" vertical="center"/>
    </xf>
    <xf numFmtId="0" fontId="39" fillId="14" borderId="6" applyAlignment="1" pivotButton="0" quotePrefix="0" xfId="0">
      <alignment horizontal="left" vertical="center"/>
    </xf>
    <xf numFmtId="3" fontId="30" fillId="47" borderId="7" applyAlignment="1" pivotButton="0" quotePrefix="0" xfId="0">
      <alignment horizontal="center" vertical="center"/>
    </xf>
    <xf numFmtId="165" fontId="30" fillId="47" borderId="7" applyAlignment="1" pivotButton="0" quotePrefix="0" xfId="0">
      <alignment horizontal="center" vertical="center"/>
    </xf>
    <xf numFmtId="0" fontId="14" fillId="47" borderId="7" applyAlignment="1" pivotButton="0" quotePrefix="0" xfId="0">
      <alignment horizontal="center" vertical="center"/>
    </xf>
    <xf numFmtId="3" fontId="43" fillId="20" borderId="7" applyAlignment="1" pivotButton="0" quotePrefix="0" xfId="0">
      <alignment horizontal="center" vertical="center"/>
    </xf>
    <xf numFmtId="165" fontId="43" fillId="20" borderId="7" applyAlignment="1" pivotButton="0" quotePrefix="0" xfId="0">
      <alignment horizontal="center" vertical="center"/>
    </xf>
    <xf numFmtId="0" fontId="14" fillId="20" borderId="7" applyAlignment="1" pivotButton="0" quotePrefix="0" xfId="0">
      <alignment horizontal="center" vertical="center"/>
    </xf>
    <xf numFmtId="3" fontId="71" fillId="24" borderId="7" applyAlignment="1" pivotButton="0" quotePrefix="0" xfId="0">
      <alignment horizontal="center" vertical="center"/>
    </xf>
    <xf numFmtId="165" fontId="71" fillId="24" borderId="7" applyAlignment="1" pivotButton="0" quotePrefix="0" xfId="0">
      <alignment horizontal="center" vertical="center"/>
    </xf>
    <xf numFmtId="0" fontId="14" fillId="24" borderId="7" applyAlignment="1" pivotButton="0" quotePrefix="0" xfId="0">
      <alignment horizontal="center" vertical="center"/>
    </xf>
    <xf numFmtId="3" fontId="23" fillId="41" borderId="7" applyAlignment="1" pivotButton="0" quotePrefix="0" xfId="0">
      <alignment horizontal="center" vertical="center"/>
    </xf>
    <xf numFmtId="165" fontId="23" fillId="41" borderId="7" applyAlignment="1" pivotButton="0" quotePrefix="0" xfId="0">
      <alignment horizontal="center" vertical="center"/>
    </xf>
    <xf numFmtId="0" fontId="14" fillId="41" borderId="7" applyAlignment="1" pivotButton="0" quotePrefix="0" xfId="0">
      <alignment horizontal="center" vertical="center"/>
    </xf>
    <xf numFmtId="3" fontId="77" fillId="49" borderId="7" applyAlignment="1" pivotButton="0" quotePrefix="0" xfId="0">
      <alignment horizontal="center" vertical="center"/>
    </xf>
    <xf numFmtId="165" fontId="77" fillId="49" borderId="7" applyAlignment="1" pivotButton="0" quotePrefix="0" xfId="0">
      <alignment horizontal="center" vertical="center"/>
    </xf>
    <xf numFmtId="0" fontId="14" fillId="49" borderId="7" applyAlignment="1" pivotButton="0" quotePrefix="0" xfId="0">
      <alignment horizontal="center" vertical="center"/>
    </xf>
    <xf numFmtId="0" fontId="12" fillId="14" borderId="6" applyAlignment="1" pivotButton="0" quotePrefix="0" xfId="0">
      <alignment horizontal="left" vertical="center"/>
    </xf>
    <xf numFmtId="3" fontId="12" fillId="14" borderId="7" applyAlignment="1" pivotButton="0" quotePrefix="0" xfId="0">
      <alignment horizontal="center" vertical="center"/>
    </xf>
    <xf numFmtId="0" fontId="34" fillId="14" borderId="7" applyAlignment="1" pivotButton="0" quotePrefix="0" xfId="0">
      <alignment horizontal="center" vertical="center"/>
    </xf>
    <xf numFmtId="165" fontId="10" fillId="14" borderId="7" applyAlignment="1" pivotButton="0" quotePrefix="0" xfId="0">
      <alignment horizontal="center" vertical="center"/>
    </xf>
    <xf numFmtId="0" fontId="12" fillId="15" borderId="6" applyAlignment="1" pivotButton="0" quotePrefix="0" xfId="0">
      <alignment horizontal="left" vertical="center"/>
    </xf>
    <xf numFmtId="0" fontId="30" fillId="23" borderId="7" applyAlignment="1" pivotButton="0" quotePrefix="0" xfId="0">
      <alignment horizontal="left" vertical="center"/>
    </xf>
    <xf numFmtId="0" fontId="81" fillId="37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10" customWidth="1" min="4" max="4"/>
    <col width="10" customWidth="1" min="5" max="5"/>
    <col width="22" customWidth="1" min="6" max="6"/>
    <col width="14" customWidth="1" min="7" max="7"/>
    <col width="22" customWidth="1" min="8" max="8"/>
    <col width="48" customWidth="1" min="9" max="9"/>
    <col width="14" customWidth="1" min="10" max="10"/>
    <col width="6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20" customWidth="1" min="17" max="17"/>
    <col width="20" customWidth="1" min="18" max="18"/>
  </cols>
  <sheetData>
    <row r="1" ht="30" customHeight="1">
      <c r="A1" s="11" t="inlineStr">
        <is>
          <t>TAG_CABLE</t>
        </is>
      </c>
      <c r="B1" s="11" t="inlineStr">
        <is>
          <t>DE (From)</t>
        </is>
      </c>
      <c r="C1" s="11" t="inlineStr">
        <is>
          <t>HACIA (To)</t>
        </is>
      </c>
      <c r="D1" s="11" t="inlineStr">
        <is>
          <t>TENSION_V</t>
        </is>
      </c>
      <c r="E1" s="11" t="inlineStr">
        <is>
          <t>LONGITUD_m</t>
        </is>
      </c>
      <c r="F1" s="11" t="inlineStr">
        <is>
          <t>CONST</t>
        </is>
      </c>
      <c r="G1" s="11" t="inlineStr">
        <is>
          <t>FORMACION</t>
        </is>
      </c>
      <c r="H1" s="11" t="inlineStr">
        <is>
          <t>AREA</t>
        </is>
      </c>
      <c r="I1" s="11" t="inlineStr">
        <is>
          <t>DESCRIPCION</t>
        </is>
      </c>
      <c r="J1" s="11" t="inlineStr">
        <is>
          <t>TIPO</t>
        </is>
      </c>
      <c r="K1" s="11" t="inlineStr">
        <is>
          <t>CPF</t>
        </is>
      </c>
      <c r="L1" s="126" t="inlineStr">
        <is>
          <t>COND/
PUNTA</t>
        </is>
      </c>
      <c r="M1" s="127" t="inlineStr">
        <is>
          <t>ARMADO
(SI/NO)</t>
        </is>
      </c>
      <c r="N1" s="126" t="inlineStr">
        <is>
          <t>PTAS
COND</t>
        </is>
      </c>
      <c r="O1" s="128" t="inlineStr">
        <is>
          <t>PTAS
ARM</t>
        </is>
      </c>
      <c r="P1" s="129" t="inlineStr">
        <is>
          <t>TOTAL
PTAS</t>
        </is>
      </c>
      <c r="Q1" s="130" t="inlineStr">
        <is>
          <t>TIPO
CABLE</t>
        </is>
      </c>
      <c r="R1" s="130" t="inlineStr">
        <is>
          <t>TIPO
CARGA</t>
        </is>
      </c>
    </row>
    <row r="2">
      <c r="A2" s="12" t="inlineStr">
        <is>
          <t>P-670-CP-600J</t>
        </is>
      </c>
      <c r="B2" s="12" t="inlineStr">
        <is>
          <t>670-TGBT-001</t>
        </is>
      </c>
      <c r="C2" s="12" t="inlineStr">
        <is>
          <t>TCA10-GE-10</t>
        </is>
      </c>
      <c r="D2" s="12" t="inlineStr">
        <is>
          <t>380</t>
        </is>
      </c>
      <c r="E2" s="12" t="inlineStr">
        <is>
          <t>75</t>
        </is>
      </c>
      <c r="F2" s="12" t="inlineStr">
        <is>
          <t>1kV-XLPE-Arm-CU</t>
        </is>
      </c>
      <c r="G2" s="12" t="inlineStr">
        <is>
          <t>3x25/16</t>
        </is>
      </c>
      <c r="H2" s="12" t="inlineStr">
        <is>
          <t>SALA ELÉCTRICA GENERACIÓN</t>
        </is>
      </c>
      <c r="I2" s="12" t="inlineStr">
        <is>
          <t>Tablero de control KBE-600J (G10\ (28 Kw CPF1\ 0</t>
        </is>
      </c>
      <c r="J2" s="12" t="inlineStr">
        <is>
          <t>POTENCIA_BT</t>
        </is>
      </c>
      <c r="K2" s="12" t="inlineStr">
        <is>
          <t>CPF1</t>
        </is>
      </c>
      <c r="L2" s="131" t="n">
        <v>4</v>
      </c>
      <c r="M2" s="132" t="inlineStr">
        <is>
          <t>SI</t>
        </is>
      </c>
      <c r="N2" s="133" t="n">
        <v>8</v>
      </c>
      <c r="O2" s="134" t="n">
        <v>2</v>
      </c>
      <c r="P2" s="135" t="n">
        <v>10</v>
      </c>
      <c r="Q2" s="136" t="inlineStr">
        <is>
          <t>POTENCIA BT PEQUEÑA (10-25mm²)</t>
        </is>
      </c>
      <c r="R2" s="136" t="inlineStr">
        <is>
          <t>TABLERO/CCM</t>
        </is>
      </c>
    </row>
    <row r="3">
      <c r="A3" s="13" t="inlineStr">
        <is>
          <t>P-670-CP-600K</t>
        </is>
      </c>
      <c r="B3" s="13" t="inlineStr">
        <is>
          <t>670-TGBT-001</t>
        </is>
      </c>
      <c r="C3" s="13" t="inlineStr">
        <is>
          <t>TCA11-GE-11</t>
        </is>
      </c>
      <c r="D3" s="13" t="inlineStr">
        <is>
          <t>380</t>
        </is>
      </c>
      <c r="E3" s="13" t="inlineStr">
        <is>
          <t>75</t>
        </is>
      </c>
      <c r="F3" s="13" t="inlineStr">
        <is>
          <t>1kV-XLPE-Arm-CU</t>
        </is>
      </c>
      <c r="G3" s="13" t="inlineStr">
        <is>
          <t>3x25/16</t>
        </is>
      </c>
      <c r="H3" s="13" t="inlineStr">
        <is>
          <t>SALA ELÉCTRICA GENERACIÓN</t>
        </is>
      </c>
      <c r="I3" s="13" t="inlineStr">
        <is>
          <t>Tablero de control KBE-600K (G11\ (28 kW CPF1\ 0</t>
        </is>
      </c>
      <c r="J3" s="13" t="inlineStr">
        <is>
          <t>POTENCIA_BT</t>
        </is>
      </c>
      <c r="K3" s="13" t="inlineStr">
        <is>
          <t>CPF1</t>
        </is>
      </c>
      <c r="L3" s="131" t="n">
        <v>4</v>
      </c>
      <c r="M3" s="132" t="inlineStr">
        <is>
          <t>SI</t>
        </is>
      </c>
      <c r="N3" s="133" t="n">
        <v>8</v>
      </c>
      <c r="O3" s="134" t="n">
        <v>2</v>
      </c>
      <c r="P3" s="135" t="n">
        <v>10</v>
      </c>
      <c r="Q3" s="136" t="inlineStr">
        <is>
          <t>POTENCIA BT PEQUEÑA (10-25mm²)</t>
        </is>
      </c>
      <c r="R3" s="136" t="inlineStr">
        <is>
          <t>TABLERO/CCM</t>
        </is>
      </c>
    </row>
    <row r="4">
      <c r="A4" s="12" t="inlineStr">
        <is>
          <t>P-SKZZ-67040A</t>
        </is>
      </c>
      <c r="B4" s="12" t="inlineStr">
        <is>
          <t>670-TGBT-001</t>
        </is>
      </c>
      <c r="C4" s="12" t="inlineStr">
        <is>
          <t>SKZZ-67040A</t>
        </is>
      </c>
      <c r="D4" s="12" t="inlineStr">
        <is>
          <t>380</t>
        </is>
      </c>
      <c r="E4" s="12" t="inlineStr">
        <is>
          <t>100</t>
        </is>
      </c>
      <c r="F4" s="12" t="inlineStr">
        <is>
          <t>1kV-XLPE-Arm-CU</t>
        </is>
      </c>
      <c r="G4" s="12" t="inlineStr">
        <is>
          <t>3x35/16</t>
        </is>
      </c>
      <c r="H4" s="12" t="inlineStr">
        <is>
          <t>SALA ELÉCTRICA GENERACIÓN</t>
        </is>
      </c>
      <c r="I4" s="12" t="inlineStr">
        <is>
          <t>CALENTADOR DE GAS COMBUSTIBLE 0</t>
        </is>
      </c>
      <c r="J4" s="12" t="inlineStr">
        <is>
          <t>POTENCIA_BT</t>
        </is>
      </c>
      <c r="K4" s="12" t="inlineStr">
        <is>
          <t>CPF1</t>
        </is>
      </c>
      <c r="L4" s="131" t="n">
        <v>4</v>
      </c>
      <c r="M4" s="132" t="inlineStr">
        <is>
          <t>SI</t>
        </is>
      </c>
      <c r="N4" s="133" t="n">
        <v>8</v>
      </c>
      <c r="O4" s="134" t="n">
        <v>2</v>
      </c>
      <c r="P4" s="135" t="n">
        <v>10</v>
      </c>
      <c r="Q4" s="136" t="inlineStr">
        <is>
          <t>POTENCIA BT MEDIANA (35-70mm²)</t>
        </is>
      </c>
      <c r="R4" s="136" t="inlineStr">
        <is>
          <t>TABLERO/CCM</t>
        </is>
      </c>
    </row>
    <row r="5">
      <c r="A5" s="13" t="inlineStr">
        <is>
          <t>P-SKZZ-67040B</t>
        </is>
      </c>
      <c r="B5" s="13" t="inlineStr">
        <is>
          <t>670-TGBT-001</t>
        </is>
      </c>
      <c r="C5" s="13" t="inlineStr">
        <is>
          <t>SKZZ-67040B</t>
        </is>
      </c>
      <c r="D5" s="13" t="inlineStr">
        <is>
          <t>380</t>
        </is>
      </c>
      <c r="E5" s="13" t="inlineStr">
        <is>
          <t>100</t>
        </is>
      </c>
      <c r="F5" s="13" t="inlineStr">
        <is>
          <t>1kV-XLPE-Arm-CU</t>
        </is>
      </c>
      <c r="G5" s="13" t="inlineStr">
        <is>
          <t>3x35/16</t>
        </is>
      </c>
      <c r="H5" s="13" t="inlineStr">
        <is>
          <t>SALA ELÉCTRICA GENERACIÓN</t>
        </is>
      </c>
      <c r="I5" s="13" t="inlineStr">
        <is>
          <t>CALENTADOR DE GAS COMBUSTIBLE 0</t>
        </is>
      </c>
      <c r="J5" s="13" t="inlineStr">
        <is>
          <t>POTENCIA_BT</t>
        </is>
      </c>
      <c r="K5" s="13" t="inlineStr">
        <is>
          <t>CPF1</t>
        </is>
      </c>
      <c r="L5" s="131" t="n">
        <v>4</v>
      </c>
      <c r="M5" s="132" t="inlineStr">
        <is>
          <t>SI</t>
        </is>
      </c>
      <c r="N5" s="133" t="n">
        <v>8</v>
      </c>
      <c r="O5" s="134" t="n">
        <v>2</v>
      </c>
      <c r="P5" s="135" t="n">
        <v>10</v>
      </c>
      <c r="Q5" s="136" t="inlineStr">
        <is>
          <t>POTENCIA BT MEDIANA (35-70mm²)</t>
        </is>
      </c>
      <c r="R5" s="136" t="inlineStr">
        <is>
          <t>TABLERO/CCM</t>
        </is>
      </c>
    </row>
    <row r="6">
      <c r="A6" s="12" t="inlineStr">
        <is>
          <t>P-SKZZ-90215</t>
        </is>
      </c>
      <c r="B6" s="12" t="inlineStr">
        <is>
          <t>670-TGBT-001</t>
        </is>
      </c>
      <c r="C6" s="12" t="inlineStr">
        <is>
          <t>SKZZ-90215</t>
        </is>
      </c>
      <c r="D6" s="12" t="inlineStr">
        <is>
          <t>380</t>
        </is>
      </c>
      <c r="E6" s="12" t="inlineStr">
        <is>
          <t>130</t>
        </is>
      </c>
      <c r="F6" s="12" t="inlineStr">
        <is>
          <t>1kV-XLPE-Arm-CU</t>
        </is>
      </c>
      <c r="G6" s="12" t="inlineStr">
        <is>
          <t>4x4</t>
        </is>
      </c>
      <c r="H6" s="12" t="inlineStr">
        <is>
          <t>SALA ELÉCTRICA GENERACIÓN</t>
        </is>
      </c>
      <c r="I6" s="12" t="inlineStr">
        <is>
          <t>SKID INHIBIDOR DE HIDRATOS 670-DP-001 (Tab de SSAA\</t>
        </is>
      </c>
      <c r="J6" s="12" t="inlineStr">
        <is>
          <t>POTENCIA_BT</t>
        </is>
      </c>
      <c r="K6" s="12" t="inlineStr">
        <is>
          <t>CPF1</t>
        </is>
      </c>
      <c r="L6" s="131" t="n">
        <v>4</v>
      </c>
      <c r="M6" s="132" t="inlineStr">
        <is>
          <t>SI</t>
        </is>
      </c>
      <c r="N6" s="133" t="n">
        <v>8</v>
      </c>
      <c r="O6" s="134" t="n">
        <v>2</v>
      </c>
      <c r="P6" s="135" t="n">
        <v>10</v>
      </c>
      <c r="Q6" s="136" t="inlineStr">
        <is>
          <t>POTENCIA BT MUY PEQ (&lt;10mm²)</t>
        </is>
      </c>
      <c r="R6" s="136" t="inlineStr">
        <is>
          <t>TABLERO/CCM</t>
        </is>
      </c>
    </row>
    <row r="7">
      <c r="A7" s="13" t="inlineStr">
        <is>
          <t>P-JBT-SKZZ-67040</t>
        </is>
      </c>
      <c r="B7" s="13" t="inlineStr">
        <is>
          <t>670-DP-001</t>
        </is>
      </c>
      <c r="C7" s="13" t="inlineStr">
        <is>
          <t>JBT-SKZZ-67040</t>
        </is>
      </c>
      <c r="D7" s="13" t="inlineStr">
        <is>
          <t>220</t>
        </is>
      </c>
      <c r="E7" s="13" t="inlineStr">
        <is>
          <t>100</t>
        </is>
      </c>
      <c r="F7" s="13" t="inlineStr">
        <is>
          <t>1kV-XLPE-Arm-T-CU</t>
        </is>
      </c>
      <c r="G7" s="13" t="inlineStr">
        <is>
          <t>2x4+T</t>
        </is>
      </c>
      <c r="H7" s="13" t="inlineStr">
        <is>
          <t>SALA ELÉCTRICA GENERACIÓN</t>
        </is>
      </c>
      <c r="I7" s="13" t="inlineStr">
        <is>
          <t>TRACING SKID CALENTADORES DE GAS COMBUSTIBLE 0</t>
        </is>
      </c>
      <c r="J7" s="13" t="inlineStr">
        <is>
          <t>POTENCIA_BT</t>
        </is>
      </c>
      <c r="K7" s="13" t="inlineStr">
        <is>
          <t>CPF1</t>
        </is>
      </c>
      <c r="L7" s="131" t="n">
        <v>3</v>
      </c>
      <c r="M7" s="132" t="inlineStr">
        <is>
          <t>SI</t>
        </is>
      </c>
      <c r="N7" s="133" t="n">
        <v>6</v>
      </c>
      <c r="O7" s="134" t="n">
        <v>2</v>
      </c>
      <c r="P7" s="135" t="n">
        <v>8</v>
      </c>
      <c r="Q7" s="136" t="inlineStr">
        <is>
          <t>POTENCIA BT MUY PEQ (&lt;10mm²)</t>
        </is>
      </c>
      <c r="R7" s="136" t="inlineStr">
        <is>
          <t>CALEFACCION/TRAZADO</t>
        </is>
      </c>
    </row>
    <row r="8">
      <c r="A8" s="12" t="inlineStr">
        <is>
          <t>P-KBE600J-AUX1</t>
        </is>
      </c>
      <c r="B8" s="12" t="inlineStr">
        <is>
          <t>670-DP-001</t>
        </is>
      </c>
      <c r="C8" s="12" t="inlineStr">
        <is>
          <t>KBE600J-AUX1</t>
        </is>
      </c>
      <c r="D8" s="12" t="inlineStr">
        <is>
          <t>220</t>
        </is>
      </c>
      <c r="E8" s="12" t="inlineStr">
        <is>
          <t>75</t>
        </is>
      </c>
      <c r="F8" s="12" t="inlineStr">
        <is>
          <t>1kV-XLPE-Arm-CU</t>
        </is>
      </c>
      <c r="G8" s="12" t="inlineStr">
        <is>
          <t>2x4</t>
        </is>
      </c>
      <c r="H8" s="12" t="inlineStr">
        <is>
          <t>SALA ELÉCTRICA GENERACIÓN</t>
        </is>
      </c>
      <c r="I8" s="12" t="inlineStr">
        <is>
          <t>Servicios Aux. bahia generador KBE-600J (G10\ 0</t>
        </is>
      </c>
      <c r="J8" s="12" t="inlineStr">
        <is>
          <t>POTENCIA_BT</t>
        </is>
      </c>
      <c r="K8" s="12" t="inlineStr">
        <is>
          <t>CPF1</t>
        </is>
      </c>
      <c r="L8" s="131" t="n">
        <v>2</v>
      </c>
      <c r="M8" s="132" t="inlineStr">
        <is>
          <t>SI</t>
        </is>
      </c>
      <c r="N8" s="133" t="n">
        <v>4</v>
      </c>
      <c r="O8" s="134" t="n">
        <v>2</v>
      </c>
      <c r="P8" s="135" t="n">
        <v>6</v>
      </c>
      <c r="Q8" s="136" t="inlineStr">
        <is>
          <t>POTENCIA BT MUY PEQ (&lt;10mm²)</t>
        </is>
      </c>
      <c r="R8" s="136" t="inlineStr">
        <is>
          <t>TABLERO/CCM</t>
        </is>
      </c>
    </row>
    <row r="9">
      <c r="A9" s="13" t="inlineStr">
        <is>
          <t>P-KBE600K-AUX1</t>
        </is>
      </c>
      <c r="B9" s="13" t="inlineStr">
        <is>
          <t>670-DP-001</t>
        </is>
      </c>
      <c r="C9" s="13" t="inlineStr">
        <is>
          <t>KBE600K-AUX1</t>
        </is>
      </c>
      <c r="D9" s="13" t="inlineStr">
        <is>
          <t>220</t>
        </is>
      </c>
      <c r="E9" s="13" t="inlineStr">
        <is>
          <t>75</t>
        </is>
      </c>
      <c r="F9" s="13" t="inlineStr">
        <is>
          <t>1kV-XLPE-Arm-CU</t>
        </is>
      </c>
      <c r="G9" s="13" t="inlineStr">
        <is>
          <t>2x4</t>
        </is>
      </c>
      <c r="H9" s="13" t="inlineStr">
        <is>
          <t>SALA ELÉCTRICA GENERACIÓN</t>
        </is>
      </c>
      <c r="I9" s="13" t="inlineStr">
        <is>
          <t>Servicios Aux. bahia generador KBE-600K (G11\ 670-DP-101VCC</t>
        </is>
      </c>
      <c r="J9" s="13" t="inlineStr">
        <is>
          <t>POTENCIA_BT</t>
        </is>
      </c>
      <c r="K9" s="13" t="inlineStr">
        <is>
          <t>CPF1</t>
        </is>
      </c>
      <c r="L9" s="131" t="n">
        <v>2</v>
      </c>
      <c r="M9" s="132" t="inlineStr">
        <is>
          <t>SI</t>
        </is>
      </c>
      <c r="N9" s="133" t="n">
        <v>4</v>
      </c>
      <c r="O9" s="134" t="n">
        <v>2</v>
      </c>
      <c r="P9" s="135" t="n">
        <v>6</v>
      </c>
      <c r="Q9" s="136" t="inlineStr">
        <is>
          <t>POTENCIA BT MUY PEQ (&lt;10mm²)</t>
        </is>
      </c>
      <c r="R9" s="136" t="inlineStr">
        <is>
          <t>UPS/RECTIF/SSAA</t>
        </is>
      </c>
    </row>
    <row r="10">
      <c r="A10" s="12" t="inlineStr">
        <is>
          <t>P-KBE600J-AUX2</t>
        </is>
      </c>
      <c r="B10" s="12" t="inlineStr">
        <is>
          <t>670-DP-101VCC</t>
        </is>
      </c>
      <c r="C10" s="12" t="inlineStr">
        <is>
          <t>KBE600J-AUX2</t>
        </is>
      </c>
      <c r="D10" s="12" t="inlineStr">
        <is>
          <t>110</t>
        </is>
      </c>
      <c r="E10" s="12" t="inlineStr">
        <is>
          <t>75</t>
        </is>
      </c>
      <c r="F10" s="12" t="inlineStr">
        <is>
          <t>1kV-XLPE-Arm-CU</t>
        </is>
      </c>
      <c r="G10" s="12" t="inlineStr">
        <is>
          <t>2x4</t>
        </is>
      </c>
      <c r="H10" s="12" t="inlineStr">
        <is>
          <t>SALA ELÉCTRICA GENERACIÓN</t>
        </is>
      </c>
      <c r="I10" s="12" t="inlineStr">
        <is>
          <t>Sistema Aux. bahia generador KBE-600J (G10\ 0</t>
        </is>
      </c>
      <c r="J10" s="12" t="inlineStr">
        <is>
          <t>CONTROL</t>
        </is>
      </c>
      <c r="K10" s="12" t="inlineStr">
        <is>
          <t>CPF1</t>
        </is>
      </c>
      <c r="L10" s="131" t="n">
        <v>2</v>
      </c>
      <c r="M10" s="132" t="inlineStr">
        <is>
          <t>SI</t>
        </is>
      </c>
      <c r="N10" s="133" t="n">
        <v>4</v>
      </c>
      <c r="O10" s="134" t="n">
        <v>2</v>
      </c>
      <c r="P10" s="135" t="n">
        <v>6</v>
      </c>
      <c r="Q10" s="136" t="inlineStr">
        <is>
          <t>CONTROL</t>
        </is>
      </c>
      <c r="R10" s="136" t="inlineStr">
        <is>
          <t>TABLERO/CCM</t>
        </is>
      </c>
    </row>
    <row r="11">
      <c r="A11" s="13" t="inlineStr">
        <is>
          <t>P-KBE600K-AUX2</t>
        </is>
      </c>
      <c r="B11" s="13" t="inlineStr">
        <is>
          <t>670-DP-101VCC</t>
        </is>
      </c>
      <c r="C11" s="13" t="inlineStr">
        <is>
          <t>KBE600K-AUX2</t>
        </is>
      </c>
      <c r="D11" s="13" t="inlineStr">
        <is>
          <t>110</t>
        </is>
      </c>
      <c r="E11" s="13" t="inlineStr">
        <is>
          <t>75</t>
        </is>
      </c>
      <c r="F11" s="13" t="inlineStr">
        <is>
          <t>1kV-XLPE-Arm-CU</t>
        </is>
      </c>
      <c r="G11" s="13" t="inlineStr">
        <is>
          <t>2x4</t>
        </is>
      </c>
      <c r="H11" s="13" t="inlineStr">
        <is>
          <t>SALA ELÉCTRICA GENERACIÓN</t>
        </is>
      </c>
      <c r="I11" s="13" t="inlineStr">
        <is>
          <t>Sistema Aux. bahia generador KBE-600K (G11\ 670-DP-001UPS</t>
        </is>
      </c>
      <c r="J11" s="13" t="inlineStr">
        <is>
          <t>CONTROL</t>
        </is>
      </c>
      <c r="K11" s="13" t="inlineStr">
        <is>
          <t>CPF1</t>
        </is>
      </c>
      <c r="L11" s="131" t="n">
        <v>2</v>
      </c>
      <c r="M11" s="132" t="inlineStr">
        <is>
          <t>SI</t>
        </is>
      </c>
      <c r="N11" s="133" t="n">
        <v>4</v>
      </c>
      <c r="O11" s="134" t="n">
        <v>2</v>
      </c>
      <c r="P11" s="135" t="n">
        <v>6</v>
      </c>
      <c r="Q11" s="136" t="inlineStr">
        <is>
          <t>CONTROL</t>
        </is>
      </c>
      <c r="R11" s="136" t="inlineStr">
        <is>
          <t>UPS/RECTIF/SSAA</t>
        </is>
      </c>
    </row>
    <row r="12">
      <c r="A12" s="12" t="inlineStr">
        <is>
          <t>P-PLC-EAP-67040A</t>
        </is>
      </c>
      <c r="B12" s="12" t="inlineStr">
        <is>
          <t>670-DP-001UPS</t>
        </is>
      </c>
      <c r="C12" s="12" t="inlineStr">
        <is>
          <t>PLC-EAP-67040A</t>
        </is>
      </c>
      <c r="D12" s="12" t="inlineStr">
        <is>
          <t>220</t>
        </is>
      </c>
      <c r="E12" s="12" t="inlineStr">
        <is>
          <t>100</t>
        </is>
      </c>
      <c r="F12" s="12" t="inlineStr">
        <is>
          <t>1kV-XLPE-Arm-CU</t>
        </is>
      </c>
      <c r="G12" s="12" t="inlineStr">
        <is>
          <t>2x4</t>
        </is>
      </c>
      <c r="H12" s="12" t="inlineStr">
        <is>
          <t>SALA ELÉCTRICA GENERACIÓN</t>
        </is>
      </c>
      <c r="I12" s="12" t="inlineStr"/>
      <c r="J12" s="12" t="inlineStr">
        <is>
          <t>POTENCIA_BT</t>
        </is>
      </c>
      <c r="K12" s="12" t="inlineStr">
        <is>
          <t>CPF1</t>
        </is>
      </c>
      <c r="L12" s="131" t="n">
        <v>2</v>
      </c>
      <c r="M12" s="132" t="inlineStr">
        <is>
          <t>SI</t>
        </is>
      </c>
      <c r="N12" s="133" t="n">
        <v>4</v>
      </c>
      <c r="O12" s="134" t="n">
        <v>2</v>
      </c>
      <c r="P12" s="135" t="n">
        <v>6</v>
      </c>
      <c r="Q12" s="136" t="inlineStr">
        <is>
          <t>POTENCIA BT MUY PEQ (&lt;10mm²)</t>
        </is>
      </c>
      <c r="R12" s="136" t="inlineStr">
        <is>
          <t>TABLERO/CCM</t>
        </is>
      </c>
    </row>
    <row r="13">
      <c r="A13" s="13" t="inlineStr">
        <is>
          <t>P-PLC-EAP-67040B</t>
        </is>
      </c>
      <c r="B13" s="13" t="inlineStr">
        <is>
          <t>670-DP-001UPS</t>
        </is>
      </c>
      <c r="C13" s="13" t="inlineStr">
        <is>
          <t>PLC-EAP-67040B</t>
        </is>
      </c>
      <c r="D13" s="13" t="inlineStr">
        <is>
          <t>220</t>
        </is>
      </c>
      <c r="E13" s="13" t="inlineStr">
        <is>
          <t>100</t>
        </is>
      </c>
      <c r="F13" s="13" t="inlineStr">
        <is>
          <t>1kV-XLPE-Arm-CU</t>
        </is>
      </c>
      <c r="G13" s="13" t="inlineStr">
        <is>
          <t>2x4</t>
        </is>
      </c>
      <c r="H13" s="13" t="inlineStr">
        <is>
          <t>SALA ELÉCTRICA GENERACIÓN</t>
        </is>
      </c>
      <c r="I13" s="13" t="inlineStr"/>
      <c r="J13" s="13" t="inlineStr">
        <is>
          <t>POTENCIA_BT</t>
        </is>
      </c>
      <c r="K13" s="13" t="inlineStr">
        <is>
          <t>CPF1</t>
        </is>
      </c>
      <c r="L13" s="131" t="n">
        <v>2</v>
      </c>
      <c r="M13" s="132" t="inlineStr">
        <is>
          <t>SI</t>
        </is>
      </c>
      <c r="N13" s="133" t="n">
        <v>4</v>
      </c>
      <c r="O13" s="134" t="n">
        <v>2</v>
      </c>
      <c r="P13" s="135" t="n">
        <v>6</v>
      </c>
      <c r="Q13" s="136" t="inlineStr">
        <is>
          <t>POTENCIA BT MUY PEQ (&lt;10mm²)</t>
        </is>
      </c>
      <c r="R13" s="136" t="inlineStr">
        <is>
          <t>TABLERO/CCM</t>
        </is>
      </c>
    </row>
    <row r="14">
      <c r="A14" s="14" t="inlineStr">
        <is>
          <t>FO-102-PMS-101</t>
        </is>
      </c>
      <c r="B14" s="14" t="inlineStr">
        <is>
          <t>670-PMS-001</t>
        </is>
      </c>
      <c r="C14" s="14" t="inlineStr">
        <is>
          <t>102-PMS-101</t>
        </is>
      </c>
      <c r="D14" s="14" t="inlineStr">
        <is>
          <t>-</t>
        </is>
      </c>
      <c r="E14" s="14" t="inlineStr">
        <is>
          <t>400</t>
        </is>
      </c>
      <c r="F14" s="14" t="inlineStr">
        <is>
          <t>F.O. monomodo</t>
        </is>
      </c>
      <c r="G14" s="14" t="inlineStr">
        <is>
          <t>F.O.</t>
        </is>
      </c>
      <c r="H14" s="14" t="inlineStr">
        <is>
          <t>SALA ELÉCTRICA GENERACIÓN</t>
        </is>
      </c>
      <c r="I14" s="14" t="inlineStr">
        <is>
          <t>Ampliación Red de control hacia SE#4</t>
        </is>
      </c>
      <c r="J14" s="14" t="inlineStr">
        <is>
          <t>FO</t>
        </is>
      </c>
      <c r="K14" s="14" t="inlineStr">
        <is>
          <t>CPF2</t>
        </is>
      </c>
      <c r="L14" s="137" t="n">
        <v>2</v>
      </c>
      <c r="M14" s="138" t="inlineStr">
        <is>
          <t>NO</t>
        </is>
      </c>
      <c r="N14" s="139" t="n">
        <v>4</v>
      </c>
      <c r="O14" s="140" t="n">
        <v>0</v>
      </c>
      <c r="P14" s="141" t="n">
        <v>4</v>
      </c>
      <c r="Q14" s="136" t="inlineStr">
        <is>
          <t>FO / ETHERNET</t>
        </is>
      </c>
      <c r="R14" s="136" t="inlineStr">
        <is>
          <t>CONTROL</t>
        </is>
      </c>
    </row>
    <row r="15">
      <c r="A15" s="13" t="inlineStr">
        <is>
          <t>C-GE10-TMC-01-1</t>
        </is>
      </c>
      <c r="B15" s="13" t="inlineStr">
        <is>
          <t>TCA10-GE-10</t>
        </is>
      </c>
      <c r="C15" s="13" t="inlineStr">
        <is>
          <t>TMC-01</t>
        </is>
      </c>
      <c r="D15" s="13" t="inlineStr">
        <is>
          <t>110</t>
        </is>
      </c>
      <c r="E15" s="13" t="inlineStr">
        <is>
          <t>75</t>
        </is>
      </c>
      <c r="F15" s="13" t="inlineStr">
        <is>
          <t>1kV-XLPE-Arm-CU</t>
        </is>
      </c>
      <c r="G15" s="13" t="inlineStr">
        <is>
          <t>2x2,5+T</t>
        </is>
      </c>
      <c r="H15" s="13" t="inlineStr">
        <is>
          <t>OTROS GABINETES</t>
        </is>
      </c>
      <c r="I15" s="13" t="inlineStr">
        <is>
          <t>Interconexiones tablero de contol - tablero de sincronismo 0</t>
        </is>
      </c>
      <c r="J15" s="13" t="inlineStr">
        <is>
          <t>SEÑAL</t>
        </is>
      </c>
      <c r="K15" s="13" t="inlineStr">
        <is>
          <t>CPF1</t>
        </is>
      </c>
      <c r="L15" s="131" t="n">
        <v>3</v>
      </c>
      <c r="M15" s="132" t="inlineStr">
        <is>
          <t>SI</t>
        </is>
      </c>
      <c r="N15" s="133" t="n">
        <v>6</v>
      </c>
      <c r="O15" s="134" t="n">
        <v>2</v>
      </c>
      <c r="P15" s="135" t="n">
        <v>8</v>
      </c>
      <c r="Q15" s="136" t="inlineStr">
        <is>
          <t>SEÑAL / INSTRUMENTO</t>
        </is>
      </c>
      <c r="R15" s="136" t="inlineStr">
        <is>
          <t>TABLERO/CCM</t>
        </is>
      </c>
    </row>
    <row r="16">
      <c r="A16" s="12" t="inlineStr">
        <is>
          <t>C-GE10-TMC-01-2</t>
        </is>
      </c>
      <c r="B16" s="12" t="inlineStr">
        <is>
          <t>TCA10-GE-10</t>
        </is>
      </c>
      <c r="C16" s="12" t="inlineStr">
        <is>
          <t>TMC-01</t>
        </is>
      </c>
      <c r="D16" s="12" t="inlineStr">
        <is>
          <t>110</t>
        </is>
      </c>
      <c r="E16" s="12" t="inlineStr">
        <is>
          <t>75</t>
        </is>
      </c>
      <c r="F16" s="12" t="inlineStr">
        <is>
          <t>1kV-XLPE-Arm-CU</t>
        </is>
      </c>
      <c r="G16" s="12" t="inlineStr">
        <is>
          <t>12x2,5</t>
        </is>
      </c>
      <c r="H16" s="12" t="inlineStr">
        <is>
          <t>OTROS GABINETES</t>
        </is>
      </c>
      <c r="I16" s="12" t="inlineStr">
        <is>
          <t>Interconexiones tablero de contol - tablero de sincronismo 0</t>
        </is>
      </c>
      <c r="J16" s="12" t="inlineStr">
        <is>
          <t>SEÑAL</t>
        </is>
      </c>
      <c r="K16" s="12" t="inlineStr">
        <is>
          <t>CPF1</t>
        </is>
      </c>
      <c r="L16" s="131" t="n">
        <v>12</v>
      </c>
      <c r="M16" s="132" t="inlineStr">
        <is>
          <t>SI</t>
        </is>
      </c>
      <c r="N16" s="133" t="n">
        <v>24</v>
      </c>
      <c r="O16" s="134" t="n">
        <v>2</v>
      </c>
      <c r="P16" s="135" t="n">
        <v>26</v>
      </c>
      <c r="Q16" s="136" t="inlineStr">
        <is>
          <t>SEÑAL / INSTRUMENTO</t>
        </is>
      </c>
      <c r="R16" s="136" t="inlineStr">
        <is>
          <t>TABLERO/CCM</t>
        </is>
      </c>
    </row>
    <row r="17">
      <c r="A17" s="13" t="inlineStr">
        <is>
          <t>C-GE10-TMC-01-2</t>
        </is>
      </c>
      <c r="B17" s="13" t="inlineStr">
        <is>
          <t>TCA10-GE-10</t>
        </is>
      </c>
      <c r="C17" s="13" t="inlineStr">
        <is>
          <t>TMC-01</t>
        </is>
      </c>
      <c r="D17" s="13" t="inlineStr">
        <is>
          <t>110</t>
        </is>
      </c>
      <c r="E17" s="13" t="inlineStr">
        <is>
          <t>75</t>
        </is>
      </c>
      <c r="F17" s="13" t="inlineStr">
        <is>
          <t>1kV-XLPE-Arm-CU</t>
        </is>
      </c>
      <c r="G17" s="13" t="inlineStr">
        <is>
          <t>12x2,5</t>
        </is>
      </c>
      <c r="H17" s="13" t="inlineStr">
        <is>
          <t>OTROS GABINETES</t>
        </is>
      </c>
      <c r="I17" s="13" t="inlineStr">
        <is>
          <t>Interconexiones tablero de contol - tablero de sincronismo 0</t>
        </is>
      </c>
      <c r="J17" s="13" t="inlineStr">
        <is>
          <t>SEÑAL</t>
        </is>
      </c>
      <c r="K17" s="13" t="inlineStr">
        <is>
          <t>CPF1</t>
        </is>
      </c>
      <c r="L17" s="131" t="n">
        <v>12</v>
      </c>
      <c r="M17" s="132" t="inlineStr">
        <is>
          <t>SI</t>
        </is>
      </c>
      <c r="N17" s="133" t="n">
        <v>24</v>
      </c>
      <c r="O17" s="134" t="n">
        <v>2</v>
      </c>
      <c r="P17" s="135" t="n">
        <v>26</v>
      </c>
      <c r="Q17" s="136" t="inlineStr">
        <is>
          <t>SEÑAL / INSTRUMENTO</t>
        </is>
      </c>
      <c r="R17" s="136" t="inlineStr">
        <is>
          <t>TABLERO/CCM</t>
        </is>
      </c>
    </row>
    <row r="18">
      <c r="A18" s="12" t="inlineStr">
        <is>
          <t>C-GE10-TMC-01-2</t>
        </is>
      </c>
      <c r="B18" s="12" t="inlineStr">
        <is>
          <t>TCA10-GE-10</t>
        </is>
      </c>
      <c r="C18" s="12" t="inlineStr">
        <is>
          <t>TMC-01</t>
        </is>
      </c>
      <c r="D18" s="12" t="inlineStr">
        <is>
          <t>110</t>
        </is>
      </c>
      <c r="E18" s="12" t="inlineStr">
        <is>
          <t>75</t>
        </is>
      </c>
      <c r="F18" s="12" t="inlineStr">
        <is>
          <t>1kV-XLPE-Arm-CU</t>
        </is>
      </c>
      <c r="G18" s="12" t="inlineStr">
        <is>
          <t>12x2,5</t>
        </is>
      </c>
      <c r="H18" s="12" t="inlineStr">
        <is>
          <t>OTROS GABINETES</t>
        </is>
      </c>
      <c r="I18" s="12" t="inlineStr">
        <is>
          <t>Interconexiones tablero de contol - tablero de sincronismo 0</t>
        </is>
      </c>
      <c r="J18" s="12" t="inlineStr">
        <is>
          <t>SEÑAL</t>
        </is>
      </c>
      <c r="K18" s="12" t="inlineStr">
        <is>
          <t>CPF1</t>
        </is>
      </c>
      <c r="L18" s="131" t="n">
        <v>12</v>
      </c>
      <c r="M18" s="132" t="inlineStr">
        <is>
          <t>SI</t>
        </is>
      </c>
      <c r="N18" s="133" t="n">
        <v>24</v>
      </c>
      <c r="O18" s="134" t="n">
        <v>2</v>
      </c>
      <c r="P18" s="135" t="n">
        <v>26</v>
      </c>
      <c r="Q18" s="136" t="inlineStr">
        <is>
          <t>SEÑAL / INSTRUMENTO</t>
        </is>
      </c>
      <c r="R18" s="136" t="inlineStr">
        <is>
          <t>TABLERO/CCM</t>
        </is>
      </c>
    </row>
    <row r="19">
      <c r="A19" s="13" t="inlineStr">
        <is>
          <t>C-GE10-TMC-01-5</t>
        </is>
      </c>
      <c r="B19" s="13" t="inlineStr">
        <is>
          <t>TCA10-GE-10</t>
        </is>
      </c>
      <c r="C19" s="13" t="inlineStr">
        <is>
          <t>TMC-01</t>
        </is>
      </c>
      <c r="D19" s="13" t="inlineStr">
        <is>
          <t>110</t>
        </is>
      </c>
      <c r="E19" s="13" t="inlineStr">
        <is>
          <t>75</t>
        </is>
      </c>
      <c r="F19" s="13" t="inlineStr">
        <is>
          <t>1kV-XLPE-Arm-CU</t>
        </is>
      </c>
      <c r="G19" s="13" t="inlineStr">
        <is>
          <t>12x2,5</t>
        </is>
      </c>
      <c r="H19" s="13" t="inlineStr">
        <is>
          <t>OTROS GABINETES</t>
        </is>
      </c>
      <c r="I19" s="13" t="inlineStr">
        <is>
          <t>Interconexiones tablero de contol - tablero de sincronismo 0</t>
        </is>
      </c>
      <c r="J19" s="13" t="inlineStr">
        <is>
          <t>SEÑAL</t>
        </is>
      </c>
      <c r="K19" s="13" t="inlineStr">
        <is>
          <t>CPF1</t>
        </is>
      </c>
      <c r="L19" s="131" t="n">
        <v>12</v>
      </c>
      <c r="M19" s="132" t="inlineStr">
        <is>
          <t>SI</t>
        </is>
      </c>
      <c r="N19" s="133" t="n">
        <v>24</v>
      </c>
      <c r="O19" s="134" t="n">
        <v>2</v>
      </c>
      <c r="P19" s="135" t="n">
        <v>26</v>
      </c>
      <c r="Q19" s="136" t="inlineStr">
        <is>
          <t>SEÑAL / INSTRUMENTO</t>
        </is>
      </c>
      <c r="R19" s="136" t="inlineStr">
        <is>
          <t>TABLERO/CCM</t>
        </is>
      </c>
    </row>
    <row r="20">
      <c r="A20" s="12" t="inlineStr">
        <is>
          <t>C-GE10-TMC-01-6</t>
        </is>
      </c>
      <c r="B20" s="12" t="inlineStr">
        <is>
          <t>TCA10-GE-10</t>
        </is>
      </c>
      <c r="C20" s="12" t="inlineStr">
        <is>
          <t>TMC-01</t>
        </is>
      </c>
      <c r="D20" s="12" t="inlineStr">
        <is>
          <t>110</t>
        </is>
      </c>
      <c r="E20" s="12" t="inlineStr">
        <is>
          <t>75</t>
        </is>
      </c>
      <c r="F20" s="12" t="inlineStr">
        <is>
          <t>1kV-XLPE-Arm-CU</t>
        </is>
      </c>
      <c r="G20" s="12" t="inlineStr">
        <is>
          <t>2x2,5+T</t>
        </is>
      </c>
      <c r="H20" s="12" t="inlineStr">
        <is>
          <t>OTROS GABINETES</t>
        </is>
      </c>
      <c r="I20" s="12" t="inlineStr"/>
      <c r="J20" s="12" t="inlineStr">
        <is>
          <t>SEÑAL</t>
        </is>
      </c>
      <c r="K20" s="12" t="inlineStr">
        <is>
          <t>CPF1</t>
        </is>
      </c>
      <c r="L20" s="131" t="n">
        <v>3</v>
      </c>
      <c r="M20" s="132" t="inlineStr">
        <is>
          <t>SI</t>
        </is>
      </c>
      <c r="N20" s="133" t="n">
        <v>6</v>
      </c>
      <c r="O20" s="134" t="n">
        <v>2</v>
      </c>
      <c r="P20" s="135" t="n">
        <v>8</v>
      </c>
      <c r="Q20" s="136" t="inlineStr">
        <is>
          <t>SEÑAL / INSTRUMENTO</t>
        </is>
      </c>
      <c r="R20" s="136" t="inlineStr">
        <is>
          <t>OTROS/VERIFICAR</t>
        </is>
      </c>
    </row>
    <row r="21">
      <c r="A21" s="13" t="inlineStr">
        <is>
          <t>C-GE10-TMC-01-7</t>
        </is>
      </c>
      <c r="B21" s="13" t="inlineStr">
        <is>
          <t>TCA10-GE-10</t>
        </is>
      </c>
      <c r="C21" s="13" t="inlineStr">
        <is>
          <t>TMC-01</t>
        </is>
      </c>
      <c r="D21" s="13" t="inlineStr">
        <is>
          <t>110</t>
        </is>
      </c>
      <c r="E21" s="13" t="inlineStr">
        <is>
          <t>75</t>
        </is>
      </c>
      <c r="F21" s="13" t="inlineStr">
        <is>
          <t>1kV-XLPE-Arm-CU</t>
        </is>
      </c>
      <c r="G21" s="13" t="inlineStr">
        <is>
          <t>2x2,5+T</t>
        </is>
      </c>
      <c r="H21" s="13" t="inlineStr">
        <is>
          <t>OTROS GABINETES</t>
        </is>
      </c>
      <c r="I21" s="13" t="inlineStr">
        <is>
          <t>Equilibrio de cargas 0</t>
        </is>
      </c>
      <c r="J21" s="13" t="inlineStr">
        <is>
          <t>SEÑAL</t>
        </is>
      </c>
      <c r="K21" s="13" t="inlineStr">
        <is>
          <t>CPF1</t>
        </is>
      </c>
      <c r="L21" s="131" t="n">
        <v>3</v>
      </c>
      <c r="M21" s="132" t="inlineStr">
        <is>
          <t>SI</t>
        </is>
      </c>
      <c r="N21" s="133" t="n">
        <v>6</v>
      </c>
      <c r="O21" s="134" t="n">
        <v>2</v>
      </c>
      <c r="P21" s="135" t="n">
        <v>8</v>
      </c>
      <c r="Q21" s="136" t="inlineStr">
        <is>
          <t>SEÑAL / INSTRUMENTO</t>
        </is>
      </c>
      <c r="R21" s="136" t="inlineStr">
        <is>
          <t>OTROS/VERIFICAR</t>
        </is>
      </c>
    </row>
    <row r="22">
      <c r="A22" s="12" t="inlineStr">
        <is>
          <t>C-GE10-TMC-01-8</t>
        </is>
      </c>
      <c r="B22" s="12" t="inlineStr">
        <is>
          <t>TCA10-GE-10</t>
        </is>
      </c>
      <c r="C22" s="12" t="inlineStr">
        <is>
          <t>TMC-01</t>
        </is>
      </c>
      <c r="D22" s="12" t="inlineStr">
        <is>
          <t>110</t>
        </is>
      </c>
      <c r="E22" s="12" t="inlineStr">
        <is>
          <t>75</t>
        </is>
      </c>
      <c r="F22" s="12" t="inlineStr">
        <is>
          <t>1kV-XLPE-Arm-CU</t>
        </is>
      </c>
      <c r="G22" s="12" t="inlineStr">
        <is>
          <t>2x2,5+T</t>
        </is>
      </c>
      <c r="H22" s="12" t="inlineStr">
        <is>
          <t>OTROS GABINETES</t>
        </is>
      </c>
      <c r="I22" s="12" t="inlineStr">
        <is>
          <t>Potencia de generador 0</t>
        </is>
      </c>
      <c r="J22" s="12" t="inlineStr">
        <is>
          <t>SEÑAL</t>
        </is>
      </c>
      <c r="K22" s="12" t="inlineStr">
        <is>
          <t>CPF1</t>
        </is>
      </c>
      <c r="L22" s="131" t="n">
        <v>3</v>
      </c>
      <c r="M22" s="132" t="inlineStr">
        <is>
          <t>SI</t>
        </is>
      </c>
      <c r="N22" s="133" t="n">
        <v>6</v>
      </c>
      <c r="O22" s="134" t="n">
        <v>2</v>
      </c>
      <c r="P22" s="135" t="n">
        <v>8</v>
      </c>
      <c r="Q22" s="136" t="inlineStr">
        <is>
          <t>SEÑAL / INSTRUMENTO</t>
        </is>
      </c>
      <c r="R22" s="136" t="inlineStr">
        <is>
          <t>OTROS/VERIFICAR</t>
        </is>
      </c>
    </row>
    <row r="23">
      <c r="A23" s="13" t="inlineStr">
        <is>
          <t>C-GE10-TMC-01-9</t>
        </is>
      </c>
      <c r="B23" s="13" t="inlineStr">
        <is>
          <t>TCA10-GE-10</t>
        </is>
      </c>
      <c r="C23" s="13" t="inlineStr">
        <is>
          <t>TMC-01</t>
        </is>
      </c>
      <c r="D23" s="13" t="inlineStr">
        <is>
          <t>110</t>
        </is>
      </c>
      <c r="E23" s="13" t="inlineStr">
        <is>
          <t>75</t>
        </is>
      </c>
      <c r="F23" s="13" t="inlineStr">
        <is>
          <t>1kV-XLPE-Arm-CU</t>
        </is>
      </c>
      <c r="G23" s="13" t="inlineStr">
        <is>
          <t>2x2,5+T</t>
        </is>
      </c>
      <c r="H23" s="13" t="inlineStr">
        <is>
          <t>OTROS GABINETES</t>
        </is>
      </c>
      <c r="I23" s="13" t="inlineStr">
        <is>
          <t>Consigna de potencia del generador 0</t>
        </is>
      </c>
      <c r="J23" s="13" t="inlineStr">
        <is>
          <t>SEÑAL</t>
        </is>
      </c>
      <c r="K23" s="13" t="inlineStr">
        <is>
          <t>CPF1</t>
        </is>
      </c>
      <c r="L23" s="131" t="n">
        <v>3</v>
      </c>
      <c r="M23" s="132" t="inlineStr">
        <is>
          <t>SI</t>
        </is>
      </c>
      <c r="N23" s="133" t="n">
        <v>6</v>
      </c>
      <c r="O23" s="134" t="n">
        <v>2</v>
      </c>
      <c r="P23" s="135" t="n">
        <v>8</v>
      </c>
      <c r="Q23" s="136" t="inlineStr">
        <is>
          <t>SEÑAL / INSTRUMENTO</t>
        </is>
      </c>
      <c r="R23" s="136" t="inlineStr">
        <is>
          <t>OTROS/VERIFICAR</t>
        </is>
      </c>
    </row>
    <row r="24">
      <c r="A24" s="12" t="inlineStr">
        <is>
          <t>C-GE10-TMC-01-10</t>
        </is>
      </c>
      <c r="B24" s="12" t="inlineStr">
        <is>
          <t>TCA10-GE-10</t>
        </is>
      </c>
      <c r="C24" s="12" t="inlineStr">
        <is>
          <t>TMC-01</t>
        </is>
      </c>
      <c r="D24" s="12" t="inlineStr">
        <is>
          <t>110</t>
        </is>
      </c>
      <c r="E24" s="12" t="inlineStr">
        <is>
          <t>75</t>
        </is>
      </c>
      <c r="F24" s="12" t="inlineStr">
        <is>
          <t>1kV-XLPE-Arm-CU</t>
        </is>
      </c>
      <c r="G24" s="12" t="inlineStr">
        <is>
          <t>2x2,5+T</t>
        </is>
      </c>
      <c r="H24" s="12" t="inlineStr">
        <is>
          <t>OTROS GABINETES</t>
        </is>
      </c>
      <c r="I24" s="12" t="inlineStr">
        <is>
          <t>Consigna de coseno fi del generador 0</t>
        </is>
      </c>
      <c r="J24" s="12" t="inlineStr">
        <is>
          <t>SEÑAL</t>
        </is>
      </c>
      <c r="K24" s="12" t="inlineStr">
        <is>
          <t>CPF1</t>
        </is>
      </c>
      <c r="L24" s="131" t="n">
        <v>3</v>
      </c>
      <c r="M24" s="132" t="inlineStr">
        <is>
          <t>SI</t>
        </is>
      </c>
      <c r="N24" s="133" t="n">
        <v>6</v>
      </c>
      <c r="O24" s="134" t="n">
        <v>2</v>
      </c>
      <c r="P24" s="135" t="n">
        <v>8</v>
      </c>
      <c r="Q24" s="136" t="inlineStr">
        <is>
          <t>SEÑAL / INSTRUMENTO</t>
        </is>
      </c>
      <c r="R24" s="136" t="inlineStr">
        <is>
          <t>OTROS/VERIFICAR</t>
        </is>
      </c>
    </row>
    <row r="25">
      <c r="A25" s="13" t="inlineStr">
        <is>
          <t>C-GE10-TMC-01-11</t>
        </is>
      </c>
      <c r="B25" s="13" t="inlineStr">
        <is>
          <t>TCA10-GE-10</t>
        </is>
      </c>
      <c r="C25" s="13" t="inlineStr">
        <is>
          <t>TMC-01</t>
        </is>
      </c>
      <c r="D25" s="13" t="inlineStr">
        <is>
          <t>110</t>
        </is>
      </c>
      <c r="E25" s="13" t="inlineStr">
        <is>
          <t>75</t>
        </is>
      </c>
      <c r="F25" s="13" t="inlineStr">
        <is>
          <t>1kV-XLPE-Arm-CU</t>
        </is>
      </c>
      <c r="G25" s="13" t="inlineStr">
        <is>
          <t>2x2,5+T</t>
        </is>
      </c>
      <c r="H25" s="13" t="inlineStr">
        <is>
          <t>OTROS GABINETES</t>
        </is>
      </c>
      <c r="I25" s="13" t="inlineStr">
        <is>
          <t>DCG10 0</t>
        </is>
      </c>
      <c r="J25" s="13" t="inlineStr">
        <is>
          <t>SEÑAL</t>
        </is>
      </c>
      <c r="K25" s="13" t="inlineStr">
        <is>
          <t>CPF1</t>
        </is>
      </c>
      <c r="L25" s="131" t="n">
        <v>3</v>
      </c>
      <c r="M25" s="132" t="inlineStr">
        <is>
          <t>SI</t>
        </is>
      </c>
      <c r="N25" s="133" t="n">
        <v>6</v>
      </c>
      <c r="O25" s="134" t="n">
        <v>2</v>
      </c>
      <c r="P25" s="135" t="n">
        <v>8</v>
      </c>
      <c r="Q25" s="136" t="inlineStr">
        <is>
          <t>SEÑAL / INSTRUMENTO</t>
        </is>
      </c>
      <c r="R25" s="136" t="inlineStr">
        <is>
          <t>OTROS/VERIFICAR</t>
        </is>
      </c>
    </row>
    <row r="26">
      <c r="A26" s="12" t="inlineStr">
        <is>
          <t>C-GE11-TMC-01-1</t>
        </is>
      </c>
      <c r="B26" s="12" t="inlineStr">
        <is>
          <t>TCA11-GE-11</t>
        </is>
      </c>
      <c r="C26" s="12" t="inlineStr">
        <is>
          <t>TMC-01</t>
        </is>
      </c>
      <c r="D26" s="12" t="inlineStr">
        <is>
          <t>110</t>
        </is>
      </c>
      <c r="E26" s="12" t="inlineStr">
        <is>
          <t>75</t>
        </is>
      </c>
      <c r="F26" s="12" t="inlineStr">
        <is>
          <t>1kV-XLPE-Arm-CU</t>
        </is>
      </c>
      <c r="G26" s="12" t="inlineStr">
        <is>
          <t>2x2,5+T</t>
        </is>
      </c>
      <c r="H26" s="12" t="inlineStr">
        <is>
          <t>OTROS GABINETES</t>
        </is>
      </c>
      <c r="I26" s="12" t="inlineStr">
        <is>
          <t>Interconexiones tablero de contol - tablero de sincronismo 0</t>
        </is>
      </c>
      <c r="J26" s="12" t="inlineStr">
        <is>
          <t>SEÑAL</t>
        </is>
      </c>
      <c r="K26" s="12" t="inlineStr">
        <is>
          <t>CPF1</t>
        </is>
      </c>
      <c r="L26" s="131" t="n">
        <v>3</v>
      </c>
      <c r="M26" s="132" t="inlineStr">
        <is>
          <t>SI</t>
        </is>
      </c>
      <c r="N26" s="133" t="n">
        <v>6</v>
      </c>
      <c r="O26" s="134" t="n">
        <v>2</v>
      </c>
      <c r="P26" s="135" t="n">
        <v>8</v>
      </c>
      <c r="Q26" s="136" t="inlineStr">
        <is>
          <t>SEÑAL / INSTRUMENTO</t>
        </is>
      </c>
      <c r="R26" s="136" t="inlineStr">
        <is>
          <t>TABLERO/CCM</t>
        </is>
      </c>
    </row>
    <row r="27">
      <c r="A27" s="13" t="inlineStr">
        <is>
          <t>C-GE11-TMC-01-2</t>
        </is>
      </c>
      <c r="B27" s="13" t="inlineStr">
        <is>
          <t>TCA11-GE-11</t>
        </is>
      </c>
      <c r="C27" s="13" t="inlineStr">
        <is>
          <t>TMC-01</t>
        </is>
      </c>
      <c r="D27" s="13" t="inlineStr">
        <is>
          <t>110</t>
        </is>
      </c>
      <c r="E27" s="13" t="inlineStr">
        <is>
          <t>75</t>
        </is>
      </c>
      <c r="F27" s="13" t="inlineStr">
        <is>
          <t>1kV-XLPE-Arm-CU</t>
        </is>
      </c>
      <c r="G27" s="13" t="inlineStr">
        <is>
          <t>12x2,5</t>
        </is>
      </c>
      <c r="H27" s="13" t="inlineStr">
        <is>
          <t>OTROS GABINETES</t>
        </is>
      </c>
      <c r="I27" s="13" t="inlineStr">
        <is>
          <t>Interconexiones tablero de contol - tablero de sincronismo 0</t>
        </is>
      </c>
      <c r="J27" s="13" t="inlineStr">
        <is>
          <t>SEÑAL</t>
        </is>
      </c>
      <c r="K27" s="13" t="inlineStr">
        <is>
          <t>CPF1</t>
        </is>
      </c>
      <c r="L27" s="131" t="n">
        <v>12</v>
      </c>
      <c r="M27" s="132" t="inlineStr">
        <is>
          <t>SI</t>
        </is>
      </c>
      <c r="N27" s="133" t="n">
        <v>24</v>
      </c>
      <c r="O27" s="134" t="n">
        <v>2</v>
      </c>
      <c r="P27" s="135" t="n">
        <v>26</v>
      </c>
      <c r="Q27" s="136" t="inlineStr">
        <is>
          <t>SEÑAL / INSTRUMENTO</t>
        </is>
      </c>
      <c r="R27" s="136" t="inlineStr">
        <is>
          <t>TABLERO/CCM</t>
        </is>
      </c>
    </row>
    <row r="28">
      <c r="A28" s="12" t="inlineStr">
        <is>
          <t>C-GE11-TMC-01-3</t>
        </is>
      </c>
      <c r="B28" s="12" t="inlineStr">
        <is>
          <t>TCA11-GE-11</t>
        </is>
      </c>
      <c r="C28" s="12" t="inlineStr">
        <is>
          <t>TMC-01</t>
        </is>
      </c>
      <c r="D28" s="12" t="inlineStr">
        <is>
          <t>110</t>
        </is>
      </c>
      <c r="E28" s="12" t="inlineStr">
        <is>
          <t>75</t>
        </is>
      </c>
      <c r="F28" s="12" t="inlineStr">
        <is>
          <t>1kV-XLPE-Arm-CU</t>
        </is>
      </c>
      <c r="G28" s="12" t="inlineStr">
        <is>
          <t>12x2,5</t>
        </is>
      </c>
      <c r="H28" s="12" t="inlineStr">
        <is>
          <t>OTROS GABINETES</t>
        </is>
      </c>
      <c r="I28" s="12" t="inlineStr">
        <is>
          <t>Interconexiones tablero de contol - tablero de sincronismo 0</t>
        </is>
      </c>
      <c r="J28" s="12" t="inlineStr">
        <is>
          <t>SEÑAL</t>
        </is>
      </c>
      <c r="K28" s="12" t="inlineStr">
        <is>
          <t>CPF1</t>
        </is>
      </c>
      <c r="L28" s="131" t="n">
        <v>12</v>
      </c>
      <c r="M28" s="132" t="inlineStr">
        <is>
          <t>SI</t>
        </is>
      </c>
      <c r="N28" s="133" t="n">
        <v>24</v>
      </c>
      <c r="O28" s="134" t="n">
        <v>2</v>
      </c>
      <c r="P28" s="135" t="n">
        <v>26</v>
      </c>
      <c r="Q28" s="136" t="inlineStr">
        <is>
          <t>SEÑAL / INSTRUMENTO</t>
        </is>
      </c>
      <c r="R28" s="136" t="inlineStr">
        <is>
          <t>TABLERO/CCM</t>
        </is>
      </c>
    </row>
    <row r="29">
      <c r="A29" s="13" t="inlineStr">
        <is>
          <t>C-GE11-TMC-01-4</t>
        </is>
      </c>
      <c r="B29" s="13" t="inlineStr">
        <is>
          <t>TCA11-GE-11</t>
        </is>
      </c>
      <c r="C29" s="13" t="inlineStr">
        <is>
          <t>TMC-01</t>
        </is>
      </c>
      <c r="D29" s="13" t="inlineStr">
        <is>
          <t>110</t>
        </is>
      </c>
      <c r="E29" s="13" t="inlineStr">
        <is>
          <t>75</t>
        </is>
      </c>
      <c r="F29" s="13" t="inlineStr">
        <is>
          <t>1kV-XLPE-Arm-CU</t>
        </is>
      </c>
      <c r="G29" s="13" t="inlineStr">
        <is>
          <t>12x2,5</t>
        </is>
      </c>
      <c r="H29" s="13" t="inlineStr">
        <is>
          <t>OTROS GABINETES</t>
        </is>
      </c>
      <c r="I29" s="13" t="inlineStr">
        <is>
          <t>Interconexiones tablero de contol - tablero de sincronismo 0</t>
        </is>
      </c>
      <c r="J29" s="13" t="inlineStr">
        <is>
          <t>SEÑAL</t>
        </is>
      </c>
      <c r="K29" s="13" t="inlineStr">
        <is>
          <t>CPF1</t>
        </is>
      </c>
      <c r="L29" s="131" t="n">
        <v>12</v>
      </c>
      <c r="M29" s="132" t="inlineStr">
        <is>
          <t>SI</t>
        </is>
      </c>
      <c r="N29" s="133" t="n">
        <v>24</v>
      </c>
      <c r="O29" s="134" t="n">
        <v>2</v>
      </c>
      <c r="P29" s="135" t="n">
        <v>26</v>
      </c>
      <c r="Q29" s="136" t="inlineStr">
        <is>
          <t>SEÑAL / INSTRUMENTO</t>
        </is>
      </c>
      <c r="R29" s="136" t="inlineStr">
        <is>
          <t>TABLERO/CCM</t>
        </is>
      </c>
    </row>
    <row r="30">
      <c r="A30" s="12" t="inlineStr">
        <is>
          <t>C-GE11-TMC-01-5</t>
        </is>
      </c>
      <c r="B30" s="12" t="inlineStr">
        <is>
          <t>TCA11-GE-11</t>
        </is>
      </c>
      <c r="C30" s="12" t="inlineStr">
        <is>
          <t>TMC-01</t>
        </is>
      </c>
      <c r="D30" s="12" t="inlineStr">
        <is>
          <t>110</t>
        </is>
      </c>
      <c r="E30" s="12" t="inlineStr">
        <is>
          <t>75</t>
        </is>
      </c>
      <c r="F30" s="12" t="inlineStr">
        <is>
          <t>1kV-XLPE-Arm-CU</t>
        </is>
      </c>
      <c r="G30" s="12" t="inlineStr">
        <is>
          <t>12x2,5</t>
        </is>
      </c>
      <c r="H30" s="12" t="inlineStr">
        <is>
          <t>OTROS GABINETES</t>
        </is>
      </c>
      <c r="I30" s="12" t="inlineStr">
        <is>
          <t>Interconexiones tablero de contol - tablero de sincronismo 0</t>
        </is>
      </c>
      <c r="J30" s="12" t="inlineStr">
        <is>
          <t>SEÑAL</t>
        </is>
      </c>
      <c r="K30" s="12" t="inlineStr">
        <is>
          <t>CPF1</t>
        </is>
      </c>
      <c r="L30" s="131" t="n">
        <v>12</v>
      </c>
      <c r="M30" s="132" t="inlineStr">
        <is>
          <t>SI</t>
        </is>
      </c>
      <c r="N30" s="133" t="n">
        <v>24</v>
      </c>
      <c r="O30" s="134" t="n">
        <v>2</v>
      </c>
      <c r="P30" s="135" t="n">
        <v>26</v>
      </c>
      <c r="Q30" s="136" t="inlineStr">
        <is>
          <t>SEÑAL / INSTRUMENTO</t>
        </is>
      </c>
      <c r="R30" s="136" t="inlineStr">
        <is>
          <t>TABLERO/CCM</t>
        </is>
      </c>
    </row>
    <row r="31">
      <c r="A31" s="13" t="inlineStr">
        <is>
          <t>C-GE11-TMC-01-6</t>
        </is>
      </c>
      <c r="B31" s="13" t="inlineStr">
        <is>
          <t>TCA11-GE-11</t>
        </is>
      </c>
      <c r="C31" s="13" t="inlineStr">
        <is>
          <t>TMC-01</t>
        </is>
      </c>
      <c r="D31" s="13" t="inlineStr">
        <is>
          <t>110</t>
        </is>
      </c>
      <c r="E31" s="13" t="inlineStr">
        <is>
          <t>75</t>
        </is>
      </c>
      <c r="F31" s="13" t="inlineStr">
        <is>
          <t>1kV-XLPE-Arm-CU</t>
        </is>
      </c>
      <c r="G31" s="13" t="inlineStr">
        <is>
          <t>2x2,5+T</t>
        </is>
      </c>
      <c r="H31" s="13" t="inlineStr">
        <is>
          <t>OTROS GABINETES</t>
        </is>
      </c>
      <c r="I31" s="13" t="inlineStr"/>
      <c r="J31" s="13" t="inlineStr">
        <is>
          <t>SEÑAL</t>
        </is>
      </c>
      <c r="K31" s="13" t="inlineStr">
        <is>
          <t>CPF1</t>
        </is>
      </c>
      <c r="L31" s="131" t="n">
        <v>3</v>
      </c>
      <c r="M31" s="132" t="inlineStr">
        <is>
          <t>SI</t>
        </is>
      </c>
      <c r="N31" s="133" t="n">
        <v>6</v>
      </c>
      <c r="O31" s="134" t="n">
        <v>2</v>
      </c>
      <c r="P31" s="135" t="n">
        <v>8</v>
      </c>
      <c r="Q31" s="136" t="inlineStr">
        <is>
          <t>SEÑAL / INSTRUMENTO</t>
        </is>
      </c>
      <c r="R31" s="136" t="inlineStr">
        <is>
          <t>OTROS/VERIFICAR</t>
        </is>
      </c>
    </row>
    <row r="32">
      <c r="A32" s="12" t="inlineStr">
        <is>
          <t>C-GE11-TMC-01-7</t>
        </is>
      </c>
      <c r="B32" s="12" t="inlineStr">
        <is>
          <t>TCA11-GE-11</t>
        </is>
      </c>
      <c r="C32" s="12" t="inlineStr">
        <is>
          <t>TMC-01</t>
        </is>
      </c>
      <c r="D32" s="12" t="inlineStr">
        <is>
          <t>110</t>
        </is>
      </c>
      <c r="E32" s="12" t="inlineStr">
        <is>
          <t>75</t>
        </is>
      </c>
      <c r="F32" s="12" t="inlineStr">
        <is>
          <t>1kV-XLPE-Arm-CU</t>
        </is>
      </c>
      <c r="G32" s="12" t="inlineStr">
        <is>
          <t>2x2,5+T</t>
        </is>
      </c>
      <c r="H32" s="12" t="inlineStr">
        <is>
          <t>OTROS GABINETES</t>
        </is>
      </c>
      <c r="I32" s="12" t="inlineStr">
        <is>
          <t>Equilibrio de cargas 0</t>
        </is>
      </c>
      <c r="J32" s="12" t="inlineStr">
        <is>
          <t>SEÑAL</t>
        </is>
      </c>
      <c r="K32" s="12" t="inlineStr">
        <is>
          <t>CPF1</t>
        </is>
      </c>
      <c r="L32" s="131" t="n">
        <v>3</v>
      </c>
      <c r="M32" s="132" t="inlineStr">
        <is>
          <t>SI</t>
        </is>
      </c>
      <c r="N32" s="133" t="n">
        <v>6</v>
      </c>
      <c r="O32" s="134" t="n">
        <v>2</v>
      </c>
      <c r="P32" s="135" t="n">
        <v>8</v>
      </c>
      <c r="Q32" s="136" t="inlineStr">
        <is>
          <t>SEÑAL / INSTRUMENTO</t>
        </is>
      </c>
      <c r="R32" s="136" t="inlineStr">
        <is>
          <t>OTROS/VERIFICAR</t>
        </is>
      </c>
    </row>
    <row r="33">
      <c r="A33" s="13" t="inlineStr">
        <is>
          <t>C-GE11-TMC-01-8</t>
        </is>
      </c>
      <c r="B33" s="13" t="inlineStr">
        <is>
          <t>TCA11-GE-11</t>
        </is>
      </c>
      <c r="C33" s="13" t="inlineStr">
        <is>
          <t>TMC-01</t>
        </is>
      </c>
      <c r="D33" s="13" t="inlineStr">
        <is>
          <t>110</t>
        </is>
      </c>
      <c r="E33" s="13" t="inlineStr">
        <is>
          <t>75</t>
        </is>
      </c>
      <c r="F33" s="13" t="inlineStr">
        <is>
          <t>1kV-XLPE-Arm-CU</t>
        </is>
      </c>
      <c r="G33" s="13" t="inlineStr">
        <is>
          <t>2x2,5+T</t>
        </is>
      </c>
      <c r="H33" s="13" t="inlineStr">
        <is>
          <t>OTROS GABINETES</t>
        </is>
      </c>
      <c r="I33" s="13" t="inlineStr">
        <is>
          <t>Potencia de generador 0</t>
        </is>
      </c>
      <c r="J33" s="13" t="inlineStr">
        <is>
          <t>SEÑAL</t>
        </is>
      </c>
      <c r="K33" s="13" t="inlineStr">
        <is>
          <t>CPF1</t>
        </is>
      </c>
      <c r="L33" s="131" t="n">
        <v>3</v>
      </c>
      <c r="M33" s="132" t="inlineStr">
        <is>
          <t>SI</t>
        </is>
      </c>
      <c r="N33" s="133" t="n">
        <v>6</v>
      </c>
      <c r="O33" s="134" t="n">
        <v>2</v>
      </c>
      <c r="P33" s="135" t="n">
        <v>8</v>
      </c>
      <c r="Q33" s="136" t="inlineStr">
        <is>
          <t>SEÑAL / INSTRUMENTO</t>
        </is>
      </c>
      <c r="R33" s="136" t="inlineStr">
        <is>
          <t>OTROS/VERIFICAR</t>
        </is>
      </c>
    </row>
    <row r="34">
      <c r="A34" s="12" t="inlineStr">
        <is>
          <t>C-GE11-TMC-01-9</t>
        </is>
      </c>
      <c r="B34" s="12" t="inlineStr">
        <is>
          <t>TCA11-GE-11</t>
        </is>
      </c>
      <c r="C34" s="12" t="inlineStr">
        <is>
          <t>TMC-01</t>
        </is>
      </c>
      <c r="D34" s="12" t="inlineStr">
        <is>
          <t>110</t>
        </is>
      </c>
      <c r="E34" s="12" t="inlineStr">
        <is>
          <t>75</t>
        </is>
      </c>
      <c r="F34" s="12" t="inlineStr">
        <is>
          <t>1kV-XLPE-Arm-CU</t>
        </is>
      </c>
      <c r="G34" s="12" t="inlineStr">
        <is>
          <t>2x2,5+T</t>
        </is>
      </c>
      <c r="H34" s="12" t="inlineStr">
        <is>
          <t>OTROS GABINETES</t>
        </is>
      </c>
      <c r="I34" s="12" t="inlineStr">
        <is>
          <t>Consigna de potencia del generador 0</t>
        </is>
      </c>
      <c r="J34" s="12" t="inlineStr">
        <is>
          <t>SEÑAL</t>
        </is>
      </c>
      <c r="K34" s="12" t="inlineStr">
        <is>
          <t>CPF1</t>
        </is>
      </c>
      <c r="L34" s="131" t="n">
        <v>3</v>
      </c>
      <c r="M34" s="132" t="inlineStr">
        <is>
          <t>SI</t>
        </is>
      </c>
      <c r="N34" s="133" t="n">
        <v>6</v>
      </c>
      <c r="O34" s="134" t="n">
        <v>2</v>
      </c>
      <c r="P34" s="135" t="n">
        <v>8</v>
      </c>
      <c r="Q34" s="136" t="inlineStr">
        <is>
          <t>SEÑAL / INSTRUMENTO</t>
        </is>
      </c>
      <c r="R34" s="136" t="inlineStr">
        <is>
          <t>OTROS/VERIFICAR</t>
        </is>
      </c>
    </row>
    <row r="35">
      <c r="A35" s="13" t="inlineStr">
        <is>
          <t>C-GE11-TMC-01-10</t>
        </is>
      </c>
      <c r="B35" s="13" t="inlineStr">
        <is>
          <t>TCA11-GE-11</t>
        </is>
      </c>
      <c r="C35" s="13" t="inlineStr">
        <is>
          <t>TMC-01</t>
        </is>
      </c>
      <c r="D35" s="13" t="inlineStr">
        <is>
          <t>110</t>
        </is>
      </c>
      <c r="E35" s="13" t="inlineStr">
        <is>
          <t>75</t>
        </is>
      </c>
      <c r="F35" s="13" t="inlineStr">
        <is>
          <t>1kV-XLPE-Arm-CU</t>
        </is>
      </c>
      <c r="G35" s="13" t="inlineStr">
        <is>
          <t>2x2,5+T</t>
        </is>
      </c>
      <c r="H35" s="13" t="inlineStr">
        <is>
          <t>OTROS GABINETES</t>
        </is>
      </c>
      <c r="I35" s="13" t="inlineStr">
        <is>
          <t>Consigna de coseno fi del generador</t>
        </is>
      </c>
      <c r="J35" s="13" t="inlineStr">
        <is>
          <t>SEÑAL</t>
        </is>
      </c>
      <c r="K35" s="13" t="inlineStr">
        <is>
          <t>CPF1</t>
        </is>
      </c>
      <c r="L35" s="131" t="n">
        <v>3</v>
      </c>
      <c r="M35" s="132" t="inlineStr">
        <is>
          <t>SI</t>
        </is>
      </c>
      <c r="N35" s="133" t="n">
        <v>6</v>
      </c>
      <c r="O35" s="134" t="n">
        <v>2</v>
      </c>
      <c r="P35" s="135" t="n">
        <v>8</v>
      </c>
      <c r="Q35" s="136" t="inlineStr">
        <is>
          <t>SEÑAL / INSTRUMENTO</t>
        </is>
      </c>
      <c r="R35" s="136" t="inlineStr">
        <is>
          <t>OTROS/VERIFICAR</t>
        </is>
      </c>
    </row>
    <row r="36">
      <c r="A36" s="12" t="inlineStr">
        <is>
          <t>C-GE11-TMC-01-11</t>
        </is>
      </c>
      <c r="B36" s="12" t="inlineStr">
        <is>
          <t>TCA11-GE-11</t>
        </is>
      </c>
      <c r="C36" s="12" t="inlineStr">
        <is>
          <t>TMC-01</t>
        </is>
      </c>
      <c r="D36" s="12" t="inlineStr">
        <is>
          <t>110</t>
        </is>
      </c>
      <c r="E36" s="12" t="inlineStr">
        <is>
          <t>75</t>
        </is>
      </c>
      <c r="F36" s="12" t="inlineStr">
        <is>
          <t>1kV-XLPE-Arm-CU</t>
        </is>
      </c>
      <c r="G36" s="12" t="inlineStr">
        <is>
          <t>2x2,5+T</t>
        </is>
      </c>
      <c r="H36" s="12" t="inlineStr">
        <is>
          <t>OTROS GABINETES</t>
        </is>
      </c>
      <c r="I36" s="12" t="inlineStr">
        <is>
          <t>DCG11 0</t>
        </is>
      </c>
      <c r="J36" s="12" t="inlineStr">
        <is>
          <t>SEÑAL</t>
        </is>
      </c>
      <c r="K36" s="12" t="inlineStr">
        <is>
          <t>CPF1</t>
        </is>
      </c>
      <c r="L36" s="131" t="n">
        <v>3</v>
      </c>
      <c r="M36" s="132" t="inlineStr">
        <is>
          <t>SI</t>
        </is>
      </c>
      <c r="N36" s="133" t="n">
        <v>6</v>
      </c>
      <c r="O36" s="134" t="n">
        <v>2</v>
      </c>
      <c r="P36" s="135" t="n">
        <v>8</v>
      </c>
      <c r="Q36" s="136" t="inlineStr">
        <is>
          <t>SEÑAL / INSTRUMENTO</t>
        </is>
      </c>
      <c r="R36" s="136" t="inlineStr">
        <is>
          <t>OTROS/VERIFICAR</t>
        </is>
      </c>
    </row>
    <row r="37">
      <c r="A37" s="13" t="inlineStr">
        <is>
          <t>C-GE10-TTLM-01</t>
        </is>
      </c>
      <c r="B37" s="13" t="inlineStr">
        <is>
          <t>JB-G10-1</t>
        </is>
      </c>
      <c r="C37" s="13" t="inlineStr">
        <is>
          <t>TTLM-01</t>
        </is>
      </c>
      <c r="D37" s="13" t="inlineStr">
        <is>
          <t>110</t>
        </is>
      </c>
      <c r="E37" s="13" t="inlineStr">
        <is>
          <t>75</t>
        </is>
      </c>
      <c r="F37" s="13" t="inlineStr">
        <is>
          <t>1kV-XLPE-Arm-CU</t>
        </is>
      </c>
      <c r="G37" s="13" t="inlineStr">
        <is>
          <t>7x2,5</t>
        </is>
      </c>
      <c r="H37" s="13" t="inlineStr">
        <is>
          <t>OTROS GABINETES</t>
        </is>
      </c>
      <c r="I37" s="13" t="inlineStr">
        <is>
          <t>TABLERO DE TELEMETRIA 0</t>
        </is>
      </c>
      <c r="J37" s="13" t="inlineStr">
        <is>
          <t>CONTROL</t>
        </is>
      </c>
      <c r="K37" s="13" t="inlineStr">
        <is>
          <t>CPF1</t>
        </is>
      </c>
      <c r="L37" s="131" t="n">
        <v>7</v>
      </c>
      <c r="M37" s="132" t="inlineStr">
        <is>
          <t>SI</t>
        </is>
      </c>
      <c r="N37" s="133" t="n">
        <v>14</v>
      </c>
      <c r="O37" s="134" t="n">
        <v>2</v>
      </c>
      <c r="P37" s="135" t="n">
        <v>16</v>
      </c>
      <c r="Q37" s="136" t="inlineStr">
        <is>
          <t>CONTROL</t>
        </is>
      </c>
      <c r="R37" s="136" t="inlineStr">
        <is>
          <t>TABLERO/CCM</t>
        </is>
      </c>
    </row>
    <row r="38">
      <c r="A38" s="12" t="inlineStr">
        <is>
          <t>C-GE11-TTLM-01</t>
        </is>
      </c>
      <c r="B38" s="12" t="inlineStr">
        <is>
          <t>JB-G11-1</t>
        </is>
      </c>
      <c r="C38" s="12" t="inlineStr">
        <is>
          <t>TTLM-01</t>
        </is>
      </c>
      <c r="D38" s="12" t="inlineStr">
        <is>
          <t>110</t>
        </is>
      </c>
      <c r="E38" s="12" t="inlineStr">
        <is>
          <t>75</t>
        </is>
      </c>
      <c r="F38" s="12" t="inlineStr">
        <is>
          <t>1kV-XLPE-Arm-CU</t>
        </is>
      </c>
      <c r="G38" s="12" t="inlineStr">
        <is>
          <t>7x2,5</t>
        </is>
      </c>
      <c r="H38" s="12" t="inlineStr">
        <is>
          <t>OTROS GABINETES</t>
        </is>
      </c>
      <c r="I38" s="12" t="inlineStr">
        <is>
          <t>TABLERO DE TELEMETRIA 0</t>
        </is>
      </c>
      <c r="J38" s="12" t="inlineStr">
        <is>
          <t>CONTROL</t>
        </is>
      </c>
      <c r="K38" s="12" t="inlineStr">
        <is>
          <t>CPF1</t>
        </is>
      </c>
      <c r="L38" s="131" t="n">
        <v>7</v>
      </c>
      <c r="M38" s="132" t="inlineStr">
        <is>
          <t>SI</t>
        </is>
      </c>
      <c r="N38" s="133" t="n">
        <v>14</v>
      </c>
      <c r="O38" s="134" t="n">
        <v>2</v>
      </c>
      <c r="P38" s="135" t="n">
        <v>16</v>
      </c>
      <c r="Q38" s="136" t="inlineStr">
        <is>
          <t>CONTROL</t>
        </is>
      </c>
      <c r="R38" s="136" t="inlineStr">
        <is>
          <t>TABLERO/CCM</t>
        </is>
      </c>
    </row>
    <row r="39">
      <c r="A39" s="13" t="inlineStr">
        <is>
          <t>P-670-TRE-010-R1</t>
        </is>
      </c>
      <c r="B39" s="13" t="inlineStr">
        <is>
          <t>KBE-600J (G10\</t>
        </is>
      </c>
      <c r="C39" s="13" t="inlineStr">
        <is>
          <t>670-TRE-010</t>
        </is>
      </c>
      <c r="D39" s="13" t="inlineStr">
        <is>
          <t>380</t>
        </is>
      </c>
      <c r="E39" s="13" t="inlineStr">
        <is>
          <t>20</t>
        </is>
      </c>
      <c r="F39" s="13" t="inlineStr">
        <is>
          <t>1kV-XLPE-Arm-CU</t>
        </is>
      </c>
      <c r="G39" s="13" t="inlineStr">
        <is>
          <t>1x240</t>
        </is>
      </c>
      <c r="H39" s="13" t="inlineStr">
        <is>
          <t>ÁREA GENERADORES</t>
        </is>
      </c>
      <c r="I39" s="13" t="inlineStr">
        <is>
          <t>0</t>
        </is>
      </c>
      <c r="J39" s="13" t="inlineStr">
        <is>
          <t>POTENCIA_BT</t>
        </is>
      </c>
      <c r="K39" s="13" t="inlineStr">
        <is>
          <t>CPF1</t>
        </is>
      </c>
      <c r="L39" s="131" t="n">
        <v>1</v>
      </c>
      <c r="M39" s="132" t="inlineStr">
        <is>
          <t>SI</t>
        </is>
      </c>
      <c r="N39" s="133" t="n">
        <v>2</v>
      </c>
      <c r="O39" s="134" t="n">
        <v>2</v>
      </c>
      <c r="P39" s="135" t="n">
        <v>4</v>
      </c>
      <c r="Q39" s="136" t="inlineStr">
        <is>
          <t>POTENCIA BT GRANDE (≥95mm²)</t>
        </is>
      </c>
      <c r="R39" s="136" t="inlineStr">
        <is>
          <t>TABLERO/CCM</t>
        </is>
      </c>
    </row>
    <row r="40">
      <c r="A40" s="12" t="inlineStr">
        <is>
          <t>P-670-TRE-010-R2</t>
        </is>
      </c>
      <c r="B40" s="12" t="inlineStr">
        <is>
          <t>KBE-600J (G10\</t>
        </is>
      </c>
      <c r="C40" s="12" t="inlineStr">
        <is>
          <t>670-TRE-010</t>
        </is>
      </c>
      <c r="D40" s="12" t="inlineStr">
        <is>
          <t>380</t>
        </is>
      </c>
      <c r="E40" s="12" t="inlineStr">
        <is>
          <t>20</t>
        </is>
      </c>
      <c r="F40" s="12" t="inlineStr">
        <is>
          <t>1kV-XLPE-Arm-CU</t>
        </is>
      </c>
      <c r="G40" s="12" t="inlineStr">
        <is>
          <t>1x240</t>
        </is>
      </c>
      <c r="H40" s="12" t="inlineStr">
        <is>
          <t>ÁREA GENERADORES</t>
        </is>
      </c>
      <c r="I40" s="12" t="inlineStr">
        <is>
          <t>0</t>
        </is>
      </c>
      <c r="J40" s="12" t="inlineStr">
        <is>
          <t>POTENCIA_BT</t>
        </is>
      </c>
      <c r="K40" s="12" t="inlineStr">
        <is>
          <t>CPF1</t>
        </is>
      </c>
      <c r="L40" s="131" t="n">
        <v>1</v>
      </c>
      <c r="M40" s="132" t="inlineStr">
        <is>
          <t>SI</t>
        </is>
      </c>
      <c r="N40" s="133" t="n">
        <v>2</v>
      </c>
      <c r="O40" s="134" t="n">
        <v>2</v>
      </c>
      <c r="P40" s="135" t="n">
        <v>4</v>
      </c>
      <c r="Q40" s="136" t="inlineStr">
        <is>
          <t>POTENCIA BT GRANDE (≥95mm²)</t>
        </is>
      </c>
      <c r="R40" s="136" t="inlineStr">
        <is>
          <t>TABLERO/CCM</t>
        </is>
      </c>
    </row>
    <row r="41">
      <c r="A41" s="13" t="inlineStr">
        <is>
          <t>P-670-TRE-010-R3</t>
        </is>
      </c>
      <c r="B41" s="13" t="inlineStr">
        <is>
          <t>KBE-600J (G10\</t>
        </is>
      </c>
      <c r="C41" s="13" t="inlineStr">
        <is>
          <t>670-TRE-010</t>
        </is>
      </c>
      <c r="D41" s="13" t="inlineStr">
        <is>
          <t>380</t>
        </is>
      </c>
      <c r="E41" s="13" t="inlineStr">
        <is>
          <t>20</t>
        </is>
      </c>
      <c r="F41" s="13" t="inlineStr">
        <is>
          <t>1kV-XLPE-Arm-CU</t>
        </is>
      </c>
      <c r="G41" s="13" t="inlineStr">
        <is>
          <t>1x240</t>
        </is>
      </c>
      <c r="H41" s="13" t="inlineStr">
        <is>
          <t>ÁREA GENERADORES</t>
        </is>
      </c>
      <c r="I41" s="13" t="inlineStr">
        <is>
          <t>0</t>
        </is>
      </c>
      <c r="J41" s="13" t="inlineStr">
        <is>
          <t>POTENCIA_BT</t>
        </is>
      </c>
      <c r="K41" s="13" t="inlineStr">
        <is>
          <t>CPF1</t>
        </is>
      </c>
      <c r="L41" s="131" t="n">
        <v>1</v>
      </c>
      <c r="M41" s="132" t="inlineStr">
        <is>
          <t>SI</t>
        </is>
      </c>
      <c r="N41" s="133" t="n">
        <v>2</v>
      </c>
      <c r="O41" s="134" t="n">
        <v>2</v>
      </c>
      <c r="P41" s="135" t="n">
        <v>4</v>
      </c>
      <c r="Q41" s="136" t="inlineStr">
        <is>
          <t>POTENCIA BT GRANDE (≥95mm²)</t>
        </is>
      </c>
      <c r="R41" s="136" t="inlineStr">
        <is>
          <t>TABLERO/CCM</t>
        </is>
      </c>
    </row>
    <row r="42">
      <c r="A42" s="12" t="inlineStr">
        <is>
          <t>P-670-TRE-010-R4</t>
        </is>
      </c>
      <c r="B42" s="12" t="inlineStr">
        <is>
          <t>KBE-600J (G10\</t>
        </is>
      </c>
      <c r="C42" s="12" t="inlineStr">
        <is>
          <t>670-TRE-010</t>
        </is>
      </c>
      <c r="D42" s="12" t="inlineStr">
        <is>
          <t>380</t>
        </is>
      </c>
      <c r="E42" s="12" t="inlineStr">
        <is>
          <t>20</t>
        </is>
      </c>
      <c r="F42" s="12" t="inlineStr">
        <is>
          <t>1kV-XLPE-Arm-CU</t>
        </is>
      </c>
      <c r="G42" s="12" t="inlineStr">
        <is>
          <t>1x240</t>
        </is>
      </c>
      <c r="H42" s="12" t="inlineStr">
        <is>
          <t>ÁREA GENERADORES</t>
        </is>
      </c>
      <c r="I42" s="12" t="inlineStr">
        <is>
          <t>0</t>
        </is>
      </c>
      <c r="J42" s="12" t="inlineStr">
        <is>
          <t>POTENCIA_BT</t>
        </is>
      </c>
      <c r="K42" s="12" t="inlineStr">
        <is>
          <t>CPF1</t>
        </is>
      </c>
      <c r="L42" s="131" t="n">
        <v>1</v>
      </c>
      <c r="M42" s="132" t="inlineStr">
        <is>
          <t>SI</t>
        </is>
      </c>
      <c r="N42" s="133" t="n">
        <v>2</v>
      </c>
      <c r="O42" s="134" t="n">
        <v>2</v>
      </c>
      <c r="P42" s="135" t="n">
        <v>4</v>
      </c>
      <c r="Q42" s="136" t="inlineStr">
        <is>
          <t>POTENCIA BT GRANDE (≥95mm²)</t>
        </is>
      </c>
      <c r="R42" s="136" t="inlineStr">
        <is>
          <t>TABLERO/CCM</t>
        </is>
      </c>
    </row>
    <row r="43">
      <c r="A43" s="13" t="inlineStr">
        <is>
          <t>P-670-TRE-010-R5</t>
        </is>
      </c>
      <c r="B43" s="13" t="inlineStr">
        <is>
          <t>KBE-600J (G10\</t>
        </is>
      </c>
      <c r="C43" s="13" t="inlineStr">
        <is>
          <t>670-TRE-010</t>
        </is>
      </c>
      <c r="D43" s="13" t="inlineStr">
        <is>
          <t>380</t>
        </is>
      </c>
      <c r="E43" s="13" t="inlineStr">
        <is>
          <t>20</t>
        </is>
      </c>
      <c r="F43" s="13" t="inlineStr">
        <is>
          <t>1kV-XLPE-Arm-CU</t>
        </is>
      </c>
      <c r="G43" s="13" t="inlineStr">
        <is>
          <t>1x240</t>
        </is>
      </c>
      <c r="H43" s="13" t="inlineStr">
        <is>
          <t>ÁREA GENERADORES</t>
        </is>
      </c>
      <c r="I43" s="13" t="inlineStr">
        <is>
          <t>0</t>
        </is>
      </c>
      <c r="J43" s="13" t="inlineStr">
        <is>
          <t>POTENCIA_BT</t>
        </is>
      </c>
      <c r="K43" s="13" t="inlineStr">
        <is>
          <t>CPF1</t>
        </is>
      </c>
      <c r="L43" s="131" t="n">
        <v>1</v>
      </c>
      <c r="M43" s="132" t="inlineStr">
        <is>
          <t>SI</t>
        </is>
      </c>
      <c r="N43" s="133" t="n">
        <v>2</v>
      </c>
      <c r="O43" s="134" t="n">
        <v>2</v>
      </c>
      <c r="P43" s="135" t="n">
        <v>4</v>
      </c>
      <c r="Q43" s="136" t="inlineStr">
        <is>
          <t>POTENCIA BT GRANDE (≥95mm²)</t>
        </is>
      </c>
      <c r="R43" s="136" t="inlineStr">
        <is>
          <t>TABLERO/CCM</t>
        </is>
      </c>
    </row>
    <row r="44">
      <c r="A44" s="12" t="inlineStr">
        <is>
          <t>P-670-TRE-010-R6</t>
        </is>
      </c>
      <c r="B44" s="12" t="inlineStr">
        <is>
          <t>KBE-600J (G10\</t>
        </is>
      </c>
      <c r="C44" s="12" t="inlineStr">
        <is>
          <t>670-TRE-010</t>
        </is>
      </c>
      <c r="D44" s="12" t="inlineStr">
        <is>
          <t>380</t>
        </is>
      </c>
      <c r="E44" s="12" t="inlineStr">
        <is>
          <t>20</t>
        </is>
      </c>
      <c r="F44" s="12" t="inlineStr">
        <is>
          <t>1kV-XLPE-Arm-CU</t>
        </is>
      </c>
      <c r="G44" s="12" t="inlineStr">
        <is>
          <t>1x240</t>
        </is>
      </c>
      <c r="H44" s="12" t="inlineStr">
        <is>
          <t>ÁREA GENERADORES</t>
        </is>
      </c>
      <c r="I44" s="12" t="inlineStr">
        <is>
          <t>0</t>
        </is>
      </c>
      <c r="J44" s="12" t="inlineStr">
        <is>
          <t>POTENCIA_BT</t>
        </is>
      </c>
      <c r="K44" s="12" t="inlineStr">
        <is>
          <t>CPF1</t>
        </is>
      </c>
      <c r="L44" s="131" t="n">
        <v>1</v>
      </c>
      <c r="M44" s="132" t="inlineStr">
        <is>
          <t>SI</t>
        </is>
      </c>
      <c r="N44" s="133" t="n">
        <v>2</v>
      </c>
      <c r="O44" s="134" t="n">
        <v>2</v>
      </c>
      <c r="P44" s="135" t="n">
        <v>4</v>
      </c>
      <c r="Q44" s="136" t="inlineStr">
        <is>
          <t>POTENCIA BT GRANDE (≥95mm²)</t>
        </is>
      </c>
      <c r="R44" s="136" t="inlineStr">
        <is>
          <t>TABLERO/CCM</t>
        </is>
      </c>
    </row>
    <row r="45">
      <c r="A45" s="13" t="inlineStr">
        <is>
          <t>P-670-TRE-010-R7</t>
        </is>
      </c>
      <c r="B45" s="13" t="inlineStr">
        <is>
          <t>KBE-600J (G10\</t>
        </is>
      </c>
      <c r="C45" s="13" t="inlineStr">
        <is>
          <t>670-TRE-010</t>
        </is>
      </c>
      <c r="D45" s="13" t="inlineStr">
        <is>
          <t>380</t>
        </is>
      </c>
      <c r="E45" s="13" t="inlineStr">
        <is>
          <t>20</t>
        </is>
      </c>
      <c r="F45" s="13" t="inlineStr">
        <is>
          <t>1kV-XLPE-Arm-CU</t>
        </is>
      </c>
      <c r="G45" s="13" t="inlineStr">
        <is>
          <t>1x240</t>
        </is>
      </c>
      <c r="H45" s="13" t="inlineStr">
        <is>
          <t>ÁREA GENERADORES</t>
        </is>
      </c>
      <c r="I45" s="13" t="inlineStr">
        <is>
          <t>0</t>
        </is>
      </c>
      <c r="J45" s="13" t="inlineStr">
        <is>
          <t>POTENCIA_BT</t>
        </is>
      </c>
      <c r="K45" s="13" t="inlineStr">
        <is>
          <t>CPF1</t>
        </is>
      </c>
      <c r="L45" s="131" t="n">
        <v>1</v>
      </c>
      <c r="M45" s="132" t="inlineStr">
        <is>
          <t>SI</t>
        </is>
      </c>
      <c r="N45" s="133" t="n">
        <v>2</v>
      </c>
      <c r="O45" s="134" t="n">
        <v>2</v>
      </c>
      <c r="P45" s="135" t="n">
        <v>4</v>
      </c>
      <c r="Q45" s="136" t="inlineStr">
        <is>
          <t>POTENCIA BT GRANDE (≥95mm²)</t>
        </is>
      </c>
      <c r="R45" s="136" t="inlineStr">
        <is>
          <t>TABLERO/CCM</t>
        </is>
      </c>
    </row>
    <row r="46">
      <c r="A46" s="12" t="inlineStr">
        <is>
          <t>P-670-TRE-010-R8</t>
        </is>
      </c>
      <c r="B46" s="12" t="inlineStr">
        <is>
          <t>KBE-600J (G10\</t>
        </is>
      </c>
      <c r="C46" s="12" t="inlineStr">
        <is>
          <t>670-TRE-010</t>
        </is>
      </c>
      <c r="D46" s="12" t="inlineStr">
        <is>
          <t>380</t>
        </is>
      </c>
      <c r="E46" s="12" t="inlineStr">
        <is>
          <t>20</t>
        </is>
      </c>
      <c r="F46" s="12" t="inlineStr">
        <is>
          <t>1kV-XLPE-Arm-CU</t>
        </is>
      </c>
      <c r="G46" s="12" t="inlineStr">
        <is>
          <t>1x240</t>
        </is>
      </c>
      <c r="H46" s="12" t="inlineStr">
        <is>
          <t>ÁREA GENERADORES</t>
        </is>
      </c>
      <c r="I46" s="12" t="inlineStr">
        <is>
          <t>0</t>
        </is>
      </c>
      <c r="J46" s="12" t="inlineStr">
        <is>
          <t>POTENCIA_BT</t>
        </is>
      </c>
      <c r="K46" s="12" t="inlineStr">
        <is>
          <t>CPF1</t>
        </is>
      </c>
      <c r="L46" s="131" t="n">
        <v>1</v>
      </c>
      <c r="M46" s="132" t="inlineStr">
        <is>
          <t>SI</t>
        </is>
      </c>
      <c r="N46" s="133" t="n">
        <v>2</v>
      </c>
      <c r="O46" s="134" t="n">
        <v>2</v>
      </c>
      <c r="P46" s="135" t="n">
        <v>4</v>
      </c>
      <c r="Q46" s="136" t="inlineStr">
        <is>
          <t>POTENCIA BT GRANDE (≥95mm²)</t>
        </is>
      </c>
      <c r="R46" s="136" t="inlineStr">
        <is>
          <t>TABLERO/CCM</t>
        </is>
      </c>
    </row>
    <row r="47">
      <c r="A47" s="13" t="inlineStr">
        <is>
          <t>P-670-TRE-010-S1</t>
        </is>
      </c>
      <c r="B47" s="13" t="inlineStr">
        <is>
          <t>KBE-600J (G10\</t>
        </is>
      </c>
      <c r="C47" s="13" t="inlineStr">
        <is>
          <t>670-TRE-010</t>
        </is>
      </c>
      <c r="D47" s="13" t="inlineStr">
        <is>
          <t>380</t>
        </is>
      </c>
      <c r="E47" s="13" t="inlineStr">
        <is>
          <t>20</t>
        </is>
      </c>
      <c r="F47" s="13" t="inlineStr">
        <is>
          <t>1kV-XLPE-Arm-CU</t>
        </is>
      </c>
      <c r="G47" s="13" t="inlineStr">
        <is>
          <t>1x240</t>
        </is>
      </c>
      <c r="H47" s="13" t="inlineStr">
        <is>
          <t>ÁREA GENERADORES</t>
        </is>
      </c>
      <c r="I47" s="13" t="inlineStr">
        <is>
          <t>0</t>
        </is>
      </c>
      <c r="J47" s="13" t="inlineStr">
        <is>
          <t>POTENCIA_BT</t>
        </is>
      </c>
      <c r="K47" s="13" t="inlineStr">
        <is>
          <t>CPF1</t>
        </is>
      </c>
      <c r="L47" s="131" t="n">
        <v>1</v>
      </c>
      <c r="M47" s="132" t="inlineStr">
        <is>
          <t>SI</t>
        </is>
      </c>
      <c r="N47" s="133" t="n">
        <v>2</v>
      </c>
      <c r="O47" s="134" t="n">
        <v>2</v>
      </c>
      <c r="P47" s="135" t="n">
        <v>4</v>
      </c>
      <c r="Q47" s="136" t="inlineStr">
        <is>
          <t>POTENCIA BT GRANDE (≥95mm²)</t>
        </is>
      </c>
      <c r="R47" s="136" t="inlineStr">
        <is>
          <t>TABLERO/CCM</t>
        </is>
      </c>
    </row>
    <row r="48">
      <c r="A48" s="12" t="inlineStr">
        <is>
          <t>P-670-TRE-010-S2</t>
        </is>
      </c>
      <c r="B48" s="12" t="inlineStr">
        <is>
          <t>KBE-600J (G10\</t>
        </is>
      </c>
      <c r="C48" s="12" t="inlineStr">
        <is>
          <t>670-TRE-010</t>
        </is>
      </c>
      <c r="D48" s="12" t="inlineStr">
        <is>
          <t>380</t>
        </is>
      </c>
      <c r="E48" s="12" t="inlineStr">
        <is>
          <t>20</t>
        </is>
      </c>
      <c r="F48" s="12" t="inlineStr">
        <is>
          <t>1kV-XLPE-Arm-CU</t>
        </is>
      </c>
      <c r="G48" s="12" t="inlineStr">
        <is>
          <t>1x240</t>
        </is>
      </c>
      <c r="H48" s="12" t="inlineStr">
        <is>
          <t>ÁREA GENERADORES</t>
        </is>
      </c>
      <c r="I48" s="12" t="inlineStr">
        <is>
          <t>0</t>
        </is>
      </c>
      <c r="J48" s="12" t="inlineStr">
        <is>
          <t>POTENCIA_BT</t>
        </is>
      </c>
      <c r="K48" s="12" t="inlineStr">
        <is>
          <t>CPF1</t>
        </is>
      </c>
      <c r="L48" s="131" t="n">
        <v>1</v>
      </c>
      <c r="M48" s="132" t="inlineStr">
        <is>
          <t>SI</t>
        </is>
      </c>
      <c r="N48" s="133" t="n">
        <v>2</v>
      </c>
      <c r="O48" s="134" t="n">
        <v>2</v>
      </c>
      <c r="P48" s="135" t="n">
        <v>4</v>
      </c>
      <c r="Q48" s="136" t="inlineStr">
        <is>
          <t>POTENCIA BT GRANDE (≥95mm²)</t>
        </is>
      </c>
      <c r="R48" s="136" t="inlineStr">
        <is>
          <t>TABLERO/CCM</t>
        </is>
      </c>
    </row>
    <row r="49">
      <c r="A49" s="13" t="inlineStr">
        <is>
          <t>P-670-TRE-010-S3</t>
        </is>
      </c>
      <c r="B49" s="13" t="inlineStr">
        <is>
          <t>KBE-600J (G10\</t>
        </is>
      </c>
      <c r="C49" s="13" t="inlineStr">
        <is>
          <t>670-TRE-010</t>
        </is>
      </c>
      <c r="D49" s="13" t="inlineStr">
        <is>
          <t>380</t>
        </is>
      </c>
      <c r="E49" s="13" t="inlineStr">
        <is>
          <t>20</t>
        </is>
      </c>
      <c r="F49" s="13" t="inlineStr">
        <is>
          <t>1kV-XLPE-Arm-CU</t>
        </is>
      </c>
      <c r="G49" s="13" t="inlineStr">
        <is>
          <t>1x240</t>
        </is>
      </c>
      <c r="H49" s="13" t="inlineStr">
        <is>
          <t>ÁREA GENERADORES</t>
        </is>
      </c>
      <c r="I49" s="13" t="inlineStr">
        <is>
          <t>0</t>
        </is>
      </c>
      <c r="J49" s="13" t="inlineStr">
        <is>
          <t>POTENCIA_BT</t>
        </is>
      </c>
      <c r="K49" s="13" t="inlineStr">
        <is>
          <t>CPF1</t>
        </is>
      </c>
      <c r="L49" s="131" t="n">
        <v>1</v>
      </c>
      <c r="M49" s="132" t="inlineStr">
        <is>
          <t>SI</t>
        </is>
      </c>
      <c r="N49" s="133" t="n">
        <v>2</v>
      </c>
      <c r="O49" s="134" t="n">
        <v>2</v>
      </c>
      <c r="P49" s="135" t="n">
        <v>4</v>
      </c>
      <c r="Q49" s="136" t="inlineStr">
        <is>
          <t>POTENCIA BT GRANDE (≥95mm²)</t>
        </is>
      </c>
      <c r="R49" s="136" t="inlineStr">
        <is>
          <t>TABLERO/CCM</t>
        </is>
      </c>
    </row>
    <row r="50">
      <c r="A50" s="12" t="inlineStr">
        <is>
          <t>P-670-TRE-010-S4</t>
        </is>
      </c>
      <c r="B50" s="12" t="inlineStr">
        <is>
          <t>KBE-600J (G10\</t>
        </is>
      </c>
      <c r="C50" s="12" t="inlineStr">
        <is>
          <t>670-TRE-010</t>
        </is>
      </c>
      <c r="D50" s="12" t="inlineStr">
        <is>
          <t>380</t>
        </is>
      </c>
      <c r="E50" s="12" t="inlineStr">
        <is>
          <t>20</t>
        </is>
      </c>
      <c r="F50" s="12" t="inlineStr">
        <is>
          <t>1kV-XLPE-Arm-CU</t>
        </is>
      </c>
      <c r="G50" s="12" t="inlineStr">
        <is>
          <t>1x240</t>
        </is>
      </c>
      <c r="H50" s="12" t="inlineStr">
        <is>
          <t>ÁREA GENERADORES</t>
        </is>
      </c>
      <c r="I50" s="12" t="inlineStr">
        <is>
          <t>0</t>
        </is>
      </c>
      <c r="J50" s="12" t="inlineStr">
        <is>
          <t>POTENCIA_BT</t>
        </is>
      </c>
      <c r="K50" s="12" t="inlineStr">
        <is>
          <t>CPF1</t>
        </is>
      </c>
      <c r="L50" s="131" t="n">
        <v>1</v>
      </c>
      <c r="M50" s="132" t="inlineStr">
        <is>
          <t>SI</t>
        </is>
      </c>
      <c r="N50" s="133" t="n">
        <v>2</v>
      </c>
      <c r="O50" s="134" t="n">
        <v>2</v>
      </c>
      <c r="P50" s="135" t="n">
        <v>4</v>
      </c>
      <c r="Q50" s="136" t="inlineStr">
        <is>
          <t>POTENCIA BT GRANDE (≥95mm²)</t>
        </is>
      </c>
      <c r="R50" s="136" t="inlineStr">
        <is>
          <t>TABLERO/CCM</t>
        </is>
      </c>
    </row>
    <row r="51">
      <c r="A51" s="13" t="inlineStr">
        <is>
          <t>P-670-TRE-010-S5</t>
        </is>
      </c>
      <c r="B51" s="13" t="inlineStr">
        <is>
          <t>KBE-600J (G10\</t>
        </is>
      </c>
      <c r="C51" s="13" t="inlineStr">
        <is>
          <t>670-TRE-010</t>
        </is>
      </c>
      <c r="D51" s="13" t="inlineStr">
        <is>
          <t>380</t>
        </is>
      </c>
      <c r="E51" s="13" t="inlineStr">
        <is>
          <t>20</t>
        </is>
      </c>
      <c r="F51" s="13" t="inlineStr">
        <is>
          <t>1kV-XLPE-Arm-CU</t>
        </is>
      </c>
      <c r="G51" s="13" t="inlineStr">
        <is>
          <t>1x240</t>
        </is>
      </c>
      <c r="H51" s="13" t="inlineStr">
        <is>
          <t>ÁREA GENERADORES</t>
        </is>
      </c>
      <c r="I51" s="13" t="inlineStr">
        <is>
          <t>0</t>
        </is>
      </c>
      <c r="J51" s="13" t="inlineStr">
        <is>
          <t>POTENCIA_BT</t>
        </is>
      </c>
      <c r="K51" s="13" t="inlineStr">
        <is>
          <t>CPF1</t>
        </is>
      </c>
      <c r="L51" s="131" t="n">
        <v>1</v>
      </c>
      <c r="M51" s="132" t="inlineStr">
        <is>
          <t>SI</t>
        </is>
      </c>
      <c r="N51" s="133" t="n">
        <v>2</v>
      </c>
      <c r="O51" s="134" t="n">
        <v>2</v>
      </c>
      <c r="P51" s="135" t="n">
        <v>4</v>
      </c>
      <c r="Q51" s="136" t="inlineStr">
        <is>
          <t>POTENCIA BT GRANDE (≥95mm²)</t>
        </is>
      </c>
      <c r="R51" s="136" t="inlineStr">
        <is>
          <t>TABLERO/CCM</t>
        </is>
      </c>
    </row>
    <row r="52">
      <c r="A52" s="12" t="inlineStr">
        <is>
          <t>P-670-TRE-010-S6</t>
        </is>
      </c>
      <c r="B52" s="12" t="inlineStr">
        <is>
          <t>KBE-600J (G10\</t>
        </is>
      </c>
      <c r="C52" s="12" t="inlineStr">
        <is>
          <t>670-TRE-010</t>
        </is>
      </c>
      <c r="D52" s="12" t="inlineStr">
        <is>
          <t>380</t>
        </is>
      </c>
      <c r="E52" s="12" t="inlineStr">
        <is>
          <t>20</t>
        </is>
      </c>
      <c r="F52" s="12" t="inlineStr">
        <is>
          <t>1kV-XLPE-Arm-CU</t>
        </is>
      </c>
      <c r="G52" s="12" t="inlineStr">
        <is>
          <t>1x240</t>
        </is>
      </c>
      <c r="H52" s="12" t="inlineStr">
        <is>
          <t>ÁREA GENERADORES</t>
        </is>
      </c>
      <c r="I52" s="12" t="inlineStr">
        <is>
          <t>0</t>
        </is>
      </c>
      <c r="J52" s="12" t="inlineStr">
        <is>
          <t>POTENCIA_BT</t>
        </is>
      </c>
      <c r="K52" s="12" t="inlineStr">
        <is>
          <t>CPF1</t>
        </is>
      </c>
      <c r="L52" s="131" t="n">
        <v>1</v>
      </c>
      <c r="M52" s="132" t="inlineStr">
        <is>
          <t>SI</t>
        </is>
      </c>
      <c r="N52" s="133" t="n">
        <v>2</v>
      </c>
      <c r="O52" s="134" t="n">
        <v>2</v>
      </c>
      <c r="P52" s="135" t="n">
        <v>4</v>
      </c>
      <c r="Q52" s="136" t="inlineStr">
        <is>
          <t>POTENCIA BT GRANDE (≥95mm²)</t>
        </is>
      </c>
      <c r="R52" s="136" t="inlineStr">
        <is>
          <t>TABLERO/CCM</t>
        </is>
      </c>
    </row>
    <row r="53">
      <c r="A53" s="13" t="inlineStr">
        <is>
          <t>P-670-TRE-010-S7</t>
        </is>
      </c>
      <c r="B53" s="13" t="inlineStr">
        <is>
          <t>KBE-600J (G10\</t>
        </is>
      </c>
      <c r="C53" s="13" t="inlineStr">
        <is>
          <t>670-TRE-010</t>
        </is>
      </c>
      <c r="D53" s="13" t="inlineStr">
        <is>
          <t>380</t>
        </is>
      </c>
      <c r="E53" s="13" t="inlineStr">
        <is>
          <t>20</t>
        </is>
      </c>
      <c r="F53" s="13" t="inlineStr">
        <is>
          <t>1kV-XLPE-Arm-CU</t>
        </is>
      </c>
      <c r="G53" s="13" t="inlineStr">
        <is>
          <t>1x240</t>
        </is>
      </c>
      <c r="H53" s="13" t="inlineStr">
        <is>
          <t>ÁREA GENERADORES</t>
        </is>
      </c>
      <c r="I53" s="13" t="inlineStr">
        <is>
          <t>0</t>
        </is>
      </c>
      <c r="J53" s="13" t="inlineStr">
        <is>
          <t>POTENCIA_BT</t>
        </is>
      </c>
      <c r="K53" s="13" t="inlineStr">
        <is>
          <t>CPF1</t>
        </is>
      </c>
      <c r="L53" s="131" t="n">
        <v>1</v>
      </c>
      <c r="M53" s="132" t="inlineStr">
        <is>
          <t>SI</t>
        </is>
      </c>
      <c r="N53" s="133" t="n">
        <v>2</v>
      </c>
      <c r="O53" s="134" t="n">
        <v>2</v>
      </c>
      <c r="P53" s="135" t="n">
        <v>4</v>
      </c>
      <c r="Q53" s="136" t="inlineStr">
        <is>
          <t>POTENCIA BT GRANDE (≥95mm²)</t>
        </is>
      </c>
      <c r="R53" s="136" t="inlineStr">
        <is>
          <t>TABLERO/CCM</t>
        </is>
      </c>
    </row>
    <row r="54">
      <c r="A54" s="12" t="inlineStr">
        <is>
          <t>P-670-TRE-010-S8</t>
        </is>
      </c>
      <c r="B54" s="12" t="inlineStr">
        <is>
          <t>KBE-600J (G10\</t>
        </is>
      </c>
      <c r="C54" s="12" t="inlineStr">
        <is>
          <t>670-TRE-010</t>
        </is>
      </c>
      <c r="D54" s="12" t="inlineStr">
        <is>
          <t>380</t>
        </is>
      </c>
      <c r="E54" s="12" t="inlineStr">
        <is>
          <t>20</t>
        </is>
      </c>
      <c r="F54" s="12" t="inlineStr">
        <is>
          <t>1kV-XLPE-Arm-CU</t>
        </is>
      </c>
      <c r="G54" s="12" t="inlineStr">
        <is>
          <t>1x240</t>
        </is>
      </c>
      <c r="H54" s="12" t="inlineStr">
        <is>
          <t>ÁREA GENERADORES</t>
        </is>
      </c>
      <c r="I54" s="12" t="inlineStr">
        <is>
          <t>0</t>
        </is>
      </c>
      <c r="J54" s="12" t="inlineStr">
        <is>
          <t>POTENCIA_BT</t>
        </is>
      </c>
      <c r="K54" s="12" t="inlineStr">
        <is>
          <t>CPF1</t>
        </is>
      </c>
      <c r="L54" s="131" t="n">
        <v>1</v>
      </c>
      <c r="M54" s="132" t="inlineStr">
        <is>
          <t>SI</t>
        </is>
      </c>
      <c r="N54" s="133" t="n">
        <v>2</v>
      </c>
      <c r="O54" s="134" t="n">
        <v>2</v>
      </c>
      <c r="P54" s="135" t="n">
        <v>4</v>
      </c>
      <c r="Q54" s="136" t="inlineStr">
        <is>
          <t>POTENCIA BT GRANDE (≥95mm²)</t>
        </is>
      </c>
      <c r="R54" s="136" t="inlineStr">
        <is>
          <t>TABLERO/CCM</t>
        </is>
      </c>
    </row>
    <row r="55">
      <c r="A55" s="13" t="inlineStr">
        <is>
          <t>P-670-TRE-010-T1</t>
        </is>
      </c>
      <c r="B55" s="13" t="inlineStr">
        <is>
          <t>KBE-600J (G10\</t>
        </is>
      </c>
      <c r="C55" s="13" t="inlineStr">
        <is>
          <t>670-TRE-010</t>
        </is>
      </c>
      <c r="D55" s="13" t="inlineStr">
        <is>
          <t>380</t>
        </is>
      </c>
      <c r="E55" s="13" t="inlineStr">
        <is>
          <t>20</t>
        </is>
      </c>
      <c r="F55" s="13" t="inlineStr">
        <is>
          <t>1kV-XLPE-Arm-CU</t>
        </is>
      </c>
      <c r="G55" s="13" t="inlineStr">
        <is>
          <t>1x240</t>
        </is>
      </c>
      <c r="H55" s="13" t="inlineStr">
        <is>
          <t>ÁREA GENERADORES</t>
        </is>
      </c>
      <c r="I55" s="13" t="inlineStr">
        <is>
          <t>0</t>
        </is>
      </c>
      <c r="J55" s="13" t="inlineStr">
        <is>
          <t>POTENCIA_BT</t>
        </is>
      </c>
      <c r="K55" s="13" t="inlineStr">
        <is>
          <t>CPF1</t>
        </is>
      </c>
      <c r="L55" s="131" t="n">
        <v>1</v>
      </c>
      <c r="M55" s="132" t="inlineStr">
        <is>
          <t>SI</t>
        </is>
      </c>
      <c r="N55" s="133" t="n">
        <v>2</v>
      </c>
      <c r="O55" s="134" t="n">
        <v>2</v>
      </c>
      <c r="P55" s="135" t="n">
        <v>4</v>
      </c>
      <c r="Q55" s="136" t="inlineStr">
        <is>
          <t>POTENCIA BT GRANDE (≥95mm²)</t>
        </is>
      </c>
      <c r="R55" s="136" t="inlineStr">
        <is>
          <t>TABLERO/CCM</t>
        </is>
      </c>
    </row>
    <row r="56">
      <c r="A56" s="12" t="inlineStr">
        <is>
          <t>P-670-TRE-010-T2</t>
        </is>
      </c>
      <c r="B56" s="12" t="inlineStr">
        <is>
          <t>KBE-600J (G10\</t>
        </is>
      </c>
      <c r="C56" s="12" t="inlineStr">
        <is>
          <t>670-TRE-010</t>
        </is>
      </c>
      <c r="D56" s="12" t="inlineStr">
        <is>
          <t>380</t>
        </is>
      </c>
      <c r="E56" s="12" t="inlineStr">
        <is>
          <t>20</t>
        </is>
      </c>
      <c r="F56" s="12" t="inlineStr">
        <is>
          <t>1kV-XLPE-Arm-CU</t>
        </is>
      </c>
      <c r="G56" s="12" t="inlineStr">
        <is>
          <t>1x240</t>
        </is>
      </c>
      <c r="H56" s="12" t="inlineStr">
        <is>
          <t>ÁREA GENERADORES</t>
        </is>
      </c>
      <c r="I56" s="12" t="inlineStr">
        <is>
          <t>0</t>
        </is>
      </c>
      <c r="J56" s="12" t="inlineStr">
        <is>
          <t>POTENCIA_BT</t>
        </is>
      </c>
      <c r="K56" s="12" t="inlineStr">
        <is>
          <t>CPF1</t>
        </is>
      </c>
      <c r="L56" s="131" t="n">
        <v>1</v>
      </c>
      <c r="M56" s="132" t="inlineStr">
        <is>
          <t>SI</t>
        </is>
      </c>
      <c r="N56" s="133" t="n">
        <v>2</v>
      </c>
      <c r="O56" s="134" t="n">
        <v>2</v>
      </c>
      <c r="P56" s="135" t="n">
        <v>4</v>
      </c>
      <c r="Q56" s="136" t="inlineStr">
        <is>
          <t>POTENCIA BT GRANDE (≥95mm²)</t>
        </is>
      </c>
      <c r="R56" s="136" t="inlineStr">
        <is>
          <t>TABLERO/CCM</t>
        </is>
      </c>
    </row>
    <row r="57">
      <c r="A57" s="13" t="inlineStr">
        <is>
          <t>P-670-TRE-010-T3</t>
        </is>
      </c>
      <c r="B57" s="13" t="inlineStr">
        <is>
          <t>KBE-600J (G10\</t>
        </is>
      </c>
      <c r="C57" s="13" t="inlineStr">
        <is>
          <t>670-TRE-010</t>
        </is>
      </c>
      <c r="D57" s="13" t="inlineStr">
        <is>
          <t>380</t>
        </is>
      </c>
      <c r="E57" s="13" t="inlineStr">
        <is>
          <t>20</t>
        </is>
      </c>
      <c r="F57" s="13" t="inlineStr">
        <is>
          <t>1kV-XLPE-Arm-CU</t>
        </is>
      </c>
      <c r="G57" s="13" t="inlineStr">
        <is>
          <t>1x240</t>
        </is>
      </c>
      <c r="H57" s="13" t="inlineStr">
        <is>
          <t>ÁREA GENERADORES</t>
        </is>
      </c>
      <c r="I57" s="13" t="inlineStr">
        <is>
          <t>0</t>
        </is>
      </c>
      <c r="J57" s="13" t="inlineStr">
        <is>
          <t>POTENCIA_BT</t>
        </is>
      </c>
      <c r="K57" s="13" t="inlineStr">
        <is>
          <t>CPF1</t>
        </is>
      </c>
      <c r="L57" s="131" t="n">
        <v>1</v>
      </c>
      <c r="M57" s="132" t="inlineStr">
        <is>
          <t>SI</t>
        </is>
      </c>
      <c r="N57" s="133" t="n">
        <v>2</v>
      </c>
      <c r="O57" s="134" t="n">
        <v>2</v>
      </c>
      <c r="P57" s="135" t="n">
        <v>4</v>
      </c>
      <c r="Q57" s="136" t="inlineStr">
        <is>
          <t>POTENCIA BT GRANDE (≥95mm²)</t>
        </is>
      </c>
      <c r="R57" s="136" t="inlineStr">
        <is>
          <t>TABLERO/CCM</t>
        </is>
      </c>
    </row>
    <row r="58">
      <c r="A58" s="12" t="inlineStr">
        <is>
          <t>P-670-TRE-010-T4</t>
        </is>
      </c>
      <c r="B58" s="12" t="inlineStr">
        <is>
          <t>KBE-600J (G10\</t>
        </is>
      </c>
      <c r="C58" s="12" t="inlineStr">
        <is>
          <t>670-TRE-010</t>
        </is>
      </c>
      <c r="D58" s="12" t="inlineStr">
        <is>
          <t>380</t>
        </is>
      </c>
      <c r="E58" s="12" t="inlineStr">
        <is>
          <t>20</t>
        </is>
      </c>
      <c r="F58" s="12" t="inlineStr">
        <is>
          <t>1kV-XLPE-Arm-CU</t>
        </is>
      </c>
      <c r="G58" s="12" t="inlineStr">
        <is>
          <t>1x240</t>
        </is>
      </c>
      <c r="H58" s="12" t="inlineStr">
        <is>
          <t>ÁREA GENERADORES</t>
        </is>
      </c>
      <c r="I58" s="12" t="inlineStr">
        <is>
          <t>0</t>
        </is>
      </c>
      <c r="J58" s="12" t="inlineStr">
        <is>
          <t>POTENCIA_BT</t>
        </is>
      </c>
      <c r="K58" s="12" t="inlineStr">
        <is>
          <t>CPF1</t>
        </is>
      </c>
      <c r="L58" s="131" t="n">
        <v>1</v>
      </c>
      <c r="M58" s="132" t="inlineStr">
        <is>
          <t>SI</t>
        </is>
      </c>
      <c r="N58" s="133" t="n">
        <v>2</v>
      </c>
      <c r="O58" s="134" t="n">
        <v>2</v>
      </c>
      <c r="P58" s="135" t="n">
        <v>4</v>
      </c>
      <c r="Q58" s="136" t="inlineStr">
        <is>
          <t>POTENCIA BT GRANDE (≥95mm²)</t>
        </is>
      </c>
      <c r="R58" s="136" t="inlineStr">
        <is>
          <t>TABLERO/CCM</t>
        </is>
      </c>
    </row>
    <row r="59">
      <c r="A59" s="13" t="inlineStr">
        <is>
          <t>P-670-TRE-010-T5</t>
        </is>
      </c>
      <c r="B59" s="13" t="inlineStr">
        <is>
          <t>KBE-600J (G10\</t>
        </is>
      </c>
      <c r="C59" s="13" t="inlineStr">
        <is>
          <t>670-TRE-010</t>
        </is>
      </c>
      <c r="D59" s="13" t="inlineStr">
        <is>
          <t>380</t>
        </is>
      </c>
      <c r="E59" s="13" t="inlineStr">
        <is>
          <t>20</t>
        </is>
      </c>
      <c r="F59" s="13" t="inlineStr">
        <is>
          <t>1kV-XLPE-Arm-CU</t>
        </is>
      </c>
      <c r="G59" s="13" t="inlineStr">
        <is>
          <t>1x240</t>
        </is>
      </c>
      <c r="H59" s="13" t="inlineStr">
        <is>
          <t>ÁREA GENERADORES</t>
        </is>
      </c>
      <c r="I59" s="13" t="inlineStr">
        <is>
          <t>0</t>
        </is>
      </c>
      <c r="J59" s="13" t="inlineStr">
        <is>
          <t>POTENCIA_BT</t>
        </is>
      </c>
      <c r="K59" s="13" t="inlineStr">
        <is>
          <t>CPF1</t>
        </is>
      </c>
      <c r="L59" s="131" t="n">
        <v>1</v>
      </c>
      <c r="M59" s="132" t="inlineStr">
        <is>
          <t>SI</t>
        </is>
      </c>
      <c r="N59" s="133" t="n">
        <v>2</v>
      </c>
      <c r="O59" s="134" t="n">
        <v>2</v>
      </c>
      <c r="P59" s="135" t="n">
        <v>4</v>
      </c>
      <c r="Q59" s="136" t="inlineStr">
        <is>
          <t>POTENCIA BT GRANDE (≥95mm²)</t>
        </is>
      </c>
      <c r="R59" s="136" t="inlineStr">
        <is>
          <t>TABLERO/CCM</t>
        </is>
      </c>
    </row>
    <row r="60">
      <c r="A60" s="12" t="inlineStr">
        <is>
          <t>P-670-TRE-010-T6</t>
        </is>
      </c>
      <c r="B60" s="12" t="inlineStr">
        <is>
          <t>KBE-600J (G10\</t>
        </is>
      </c>
      <c r="C60" s="12" t="inlineStr">
        <is>
          <t>670-TRE-010</t>
        </is>
      </c>
      <c r="D60" s="12" t="inlineStr">
        <is>
          <t>380</t>
        </is>
      </c>
      <c r="E60" s="12" t="inlineStr">
        <is>
          <t>20</t>
        </is>
      </c>
      <c r="F60" s="12" t="inlineStr">
        <is>
          <t>1kV-XLPE-Arm-CU</t>
        </is>
      </c>
      <c r="G60" s="12" t="inlineStr">
        <is>
          <t>1x240</t>
        </is>
      </c>
      <c r="H60" s="12" t="inlineStr">
        <is>
          <t>ÁREA GENERADORES</t>
        </is>
      </c>
      <c r="I60" s="12" t="inlineStr">
        <is>
          <t>0</t>
        </is>
      </c>
      <c r="J60" s="12" t="inlineStr">
        <is>
          <t>POTENCIA_BT</t>
        </is>
      </c>
      <c r="K60" s="12" t="inlineStr">
        <is>
          <t>CPF1</t>
        </is>
      </c>
      <c r="L60" s="131" t="n">
        <v>1</v>
      </c>
      <c r="M60" s="132" t="inlineStr">
        <is>
          <t>SI</t>
        </is>
      </c>
      <c r="N60" s="133" t="n">
        <v>2</v>
      </c>
      <c r="O60" s="134" t="n">
        <v>2</v>
      </c>
      <c r="P60" s="135" t="n">
        <v>4</v>
      </c>
      <c r="Q60" s="136" t="inlineStr">
        <is>
          <t>POTENCIA BT GRANDE (≥95mm²)</t>
        </is>
      </c>
      <c r="R60" s="136" t="inlineStr">
        <is>
          <t>TABLERO/CCM</t>
        </is>
      </c>
    </row>
    <row r="61">
      <c r="A61" s="13" t="inlineStr">
        <is>
          <t>P-670-TRE-010-T7</t>
        </is>
      </c>
      <c r="B61" s="13" t="inlineStr">
        <is>
          <t>KBE-600J (G10\</t>
        </is>
      </c>
      <c r="C61" s="13" t="inlineStr">
        <is>
          <t>670-TRE-010</t>
        </is>
      </c>
      <c r="D61" s="13" t="inlineStr">
        <is>
          <t>380</t>
        </is>
      </c>
      <c r="E61" s="13" t="inlineStr">
        <is>
          <t>20</t>
        </is>
      </c>
      <c r="F61" s="13" t="inlineStr">
        <is>
          <t>1kV-XLPE-Arm-CU</t>
        </is>
      </c>
      <c r="G61" s="13" t="inlineStr">
        <is>
          <t>1x240</t>
        </is>
      </c>
      <c r="H61" s="13" t="inlineStr">
        <is>
          <t>ÁREA GENERADORES</t>
        </is>
      </c>
      <c r="I61" s="13" t="inlineStr">
        <is>
          <t>0</t>
        </is>
      </c>
      <c r="J61" s="13" t="inlineStr">
        <is>
          <t>POTENCIA_BT</t>
        </is>
      </c>
      <c r="K61" s="13" t="inlineStr">
        <is>
          <t>CPF1</t>
        </is>
      </c>
      <c r="L61" s="131" t="n">
        <v>1</v>
      </c>
      <c r="M61" s="132" t="inlineStr">
        <is>
          <t>SI</t>
        </is>
      </c>
      <c r="N61" s="133" t="n">
        <v>2</v>
      </c>
      <c r="O61" s="134" t="n">
        <v>2</v>
      </c>
      <c r="P61" s="135" t="n">
        <v>4</v>
      </c>
      <c r="Q61" s="136" t="inlineStr">
        <is>
          <t>POTENCIA BT GRANDE (≥95mm²)</t>
        </is>
      </c>
      <c r="R61" s="136" t="inlineStr">
        <is>
          <t>TABLERO/CCM</t>
        </is>
      </c>
    </row>
    <row r="62">
      <c r="A62" s="12" t="inlineStr">
        <is>
          <t>P-670-TRE-010-T8</t>
        </is>
      </c>
      <c r="B62" s="12" t="inlineStr">
        <is>
          <t>KBE-600J (G10\</t>
        </is>
      </c>
      <c r="C62" s="12" t="inlineStr">
        <is>
          <t>670-TRE-010</t>
        </is>
      </c>
      <c r="D62" s="12" t="inlineStr">
        <is>
          <t>380</t>
        </is>
      </c>
      <c r="E62" s="12" t="inlineStr">
        <is>
          <t>20</t>
        </is>
      </c>
      <c r="F62" s="12" t="inlineStr">
        <is>
          <t>1kV-XLPE-Arm-CU</t>
        </is>
      </c>
      <c r="G62" s="12" t="inlineStr">
        <is>
          <t>1x240</t>
        </is>
      </c>
      <c r="H62" s="12" t="inlineStr">
        <is>
          <t>ÁREA GENERADORES</t>
        </is>
      </c>
      <c r="I62" s="12" t="inlineStr">
        <is>
          <t>0</t>
        </is>
      </c>
      <c r="J62" s="12" t="inlineStr">
        <is>
          <t>POTENCIA_BT</t>
        </is>
      </c>
      <c r="K62" s="12" t="inlineStr">
        <is>
          <t>CPF1</t>
        </is>
      </c>
      <c r="L62" s="131" t="n">
        <v>1</v>
      </c>
      <c r="M62" s="132" t="inlineStr">
        <is>
          <t>SI</t>
        </is>
      </c>
      <c r="N62" s="133" t="n">
        <v>2</v>
      </c>
      <c r="O62" s="134" t="n">
        <v>2</v>
      </c>
      <c r="P62" s="135" t="n">
        <v>4</v>
      </c>
      <c r="Q62" s="136" t="inlineStr">
        <is>
          <t>POTENCIA BT GRANDE (≥95mm²)</t>
        </is>
      </c>
      <c r="R62" s="136" t="inlineStr">
        <is>
          <t>TABLERO/CCM</t>
        </is>
      </c>
    </row>
    <row r="63">
      <c r="A63" s="13" t="inlineStr">
        <is>
          <t>P-670-TRE-011-R1</t>
        </is>
      </c>
      <c r="B63" s="13" t="inlineStr">
        <is>
          <t>KBE-600K (G11\</t>
        </is>
      </c>
      <c r="C63" s="13" t="inlineStr">
        <is>
          <t>670-TRE-011</t>
        </is>
      </c>
      <c r="D63" s="13" t="inlineStr">
        <is>
          <t>380</t>
        </is>
      </c>
      <c r="E63" s="13" t="inlineStr">
        <is>
          <t>20</t>
        </is>
      </c>
      <c r="F63" s="13" t="inlineStr">
        <is>
          <t>1kV-XLPE-Arm-CU</t>
        </is>
      </c>
      <c r="G63" s="13" t="inlineStr">
        <is>
          <t>1x240</t>
        </is>
      </c>
      <c r="H63" s="13" t="inlineStr">
        <is>
          <t>ÁREA GENERADORES</t>
        </is>
      </c>
      <c r="I63" s="13" t="inlineStr">
        <is>
          <t>0</t>
        </is>
      </c>
      <c r="J63" s="13" t="inlineStr">
        <is>
          <t>POTENCIA_BT</t>
        </is>
      </c>
      <c r="K63" s="13" t="inlineStr">
        <is>
          <t>CPF1</t>
        </is>
      </c>
      <c r="L63" s="131" t="n">
        <v>1</v>
      </c>
      <c r="M63" s="132" t="inlineStr">
        <is>
          <t>SI</t>
        </is>
      </c>
      <c r="N63" s="133" t="n">
        <v>2</v>
      </c>
      <c r="O63" s="134" t="n">
        <v>2</v>
      </c>
      <c r="P63" s="135" t="n">
        <v>4</v>
      </c>
      <c r="Q63" s="136" t="inlineStr">
        <is>
          <t>POTENCIA BT GRANDE (≥95mm²)</t>
        </is>
      </c>
      <c r="R63" s="136" t="inlineStr">
        <is>
          <t>TABLERO/CCM</t>
        </is>
      </c>
    </row>
    <row r="64">
      <c r="A64" s="12" t="inlineStr">
        <is>
          <t>P-670-TRE-011-R2</t>
        </is>
      </c>
      <c r="B64" s="12" t="inlineStr">
        <is>
          <t>KBE-600K (G11\</t>
        </is>
      </c>
      <c r="C64" s="12" t="inlineStr">
        <is>
          <t>670-TRE-011</t>
        </is>
      </c>
      <c r="D64" s="12" t="inlineStr">
        <is>
          <t>380</t>
        </is>
      </c>
      <c r="E64" s="12" t="inlineStr">
        <is>
          <t>20</t>
        </is>
      </c>
      <c r="F64" s="12" t="inlineStr">
        <is>
          <t>1kV-XLPE-Arm-CU</t>
        </is>
      </c>
      <c r="G64" s="12" t="inlineStr">
        <is>
          <t>1x240</t>
        </is>
      </c>
      <c r="H64" s="12" t="inlineStr">
        <is>
          <t>ÁREA GENERADORES</t>
        </is>
      </c>
      <c r="I64" s="12" t="inlineStr">
        <is>
          <t>0</t>
        </is>
      </c>
      <c r="J64" s="12" t="inlineStr">
        <is>
          <t>POTENCIA_BT</t>
        </is>
      </c>
      <c r="K64" s="12" t="inlineStr">
        <is>
          <t>CPF1</t>
        </is>
      </c>
      <c r="L64" s="131" t="n">
        <v>1</v>
      </c>
      <c r="M64" s="132" t="inlineStr">
        <is>
          <t>SI</t>
        </is>
      </c>
      <c r="N64" s="133" t="n">
        <v>2</v>
      </c>
      <c r="O64" s="134" t="n">
        <v>2</v>
      </c>
      <c r="P64" s="135" t="n">
        <v>4</v>
      </c>
      <c r="Q64" s="136" t="inlineStr">
        <is>
          <t>POTENCIA BT GRANDE (≥95mm²)</t>
        </is>
      </c>
      <c r="R64" s="136" t="inlineStr">
        <is>
          <t>TABLERO/CCM</t>
        </is>
      </c>
    </row>
    <row r="65">
      <c r="A65" s="13" t="inlineStr">
        <is>
          <t>P-670-TRE-011-R3</t>
        </is>
      </c>
      <c r="B65" s="13" t="inlineStr">
        <is>
          <t>KBE-600K (G11\</t>
        </is>
      </c>
      <c r="C65" s="13" t="inlineStr">
        <is>
          <t>670-TRE-011</t>
        </is>
      </c>
      <c r="D65" s="13" t="inlineStr">
        <is>
          <t>380</t>
        </is>
      </c>
      <c r="E65" s="13" t="inlineStr">
        <is>
          <t>20</t>
        </is>
      </c>
      <c r="F65" s="13" t="inlineStr">
        <is>
          <t>1kV-XLPE-Arm-CU</t>
        </is>
      </c>
      <c r="G65" s="13" t="inlineStr">
        <is>
          <t>1x240</t>
        </is>
      </c>
      <c r="H65" s="13" t="inlineStr">
        <is>
          <t>ÁREA GENERADORES</t>
        </is>
      </c>
      <c r="I65" s="13" t="inlineStr">
        <is>
          <t>0</t>
        </is>
      </c>
      <c r="J65" s="13" t="inlineStr">
        <is>
          <t>POTENCIA_BT</t>
        </is>
      </c>
      <c r="K65" s="13" t="inlineStr">
        <is>
          <t>CPF1</t>
        </is>
      </c>
      <c r="L65" s="131" t="n">
        <v>1</v>
      </c>
      <c r="M65" s="132" t="inlineStr">
        <is>
          <t>SI</t>
        </is>
      </c>
      <c r="N65" s="133" t="n">
        <v>2</v>
      </c>
      <c r="O65" s="134" t="n">
        <v>2</v>
      </c>
      <c r="P65" s="135" t="n">
        <v>4</v>
      </c>
      <c r="Q65" s="136" t="inlineStr">
        <is>
          <t>POTENCIA BT GRANDE (≥95mm²)</t>
        </is>
      </c>
      <c r="R65" s="136" t="inlineStr">
        <is>
          <t>TABLERO/CCM</t>
        </is>
      </c>
    </row>
    <row r="66">
      <c r="A66" s="12" t="inlineStr">
        <is>
          <t>P-670-TRE-011-R4</t>
        </is>
      </c>
      <c r="B66" s="12" t="inlineStr">
        <is>
          <t>KBE-600K (G11\</t>
        </is>
      </c>
      <c r="C66" s="12" t="inlineStr">
        <is>
          <t>670-TRE-011</t>
        </is>
      </c>
      <c r="D66" s="12" t="inlineStr">
        <is>
          <t>380</t>
        </is>
      </c>
      <c r="E66" s="12" t="inlineStr">
        <is>
          <t>20</t>
        </is>
      </c>
      <c r="F66" s="12" t="inlineStr">
        <is>
          <t>1kV-XLPE-Arm-CU</t>
        </is>
      </c>
      <c r="G66" s="12" t="inlineStr">
        <is>
          <t>1x240</t>
        </is>
      </c>
      <c r="H66" s="12" t="inlineStr">
        <is>
          <t>ÁREA GENERADORES</t>
        </is>
      </c>
      <c r="I66" s="12" t="inlineStr">
        <is>
          <t>0</t>
        </is>
      </c>
      <c r="J66" s="12" t="inlineStr">
        <is>
          <t>POTENCIA_BT</t>
        </is>
      </c>
      <c r="K66" s="12" t="inlineStr">
        <is>
          <t>CPF1</t>
        </is>
      </c>
      <c r="L66" s="131" t="n">
        <v>1</v>
      </c>
      <c r="M66" s="132" t="inlineStr">
        <is>
          <t>SI</t>
        </is>
      </c>
      <c r="N66" s="133" t="n">
        <v>2</v>
      </c>
      <c r="O66" s="134" t="n">
        <v>2</v>
      </c>
      <c r="P66" s="135" t="n">
        <v>4</v>
      </c>
      <c r="Q66" s="136" t="inlineStr">
        <is>
          <t>POTENCIA BT GRANDE (≥95mm²)</t>
        </is>
      </c>
      <c r="R66" s="136" t="inlineStr">
        <is>
          <t>TABLERO/CCM</t>
        </is>
      </c>
    </row>
    <row r="67">
      <c r="A67" s="13" t="inlineStr">
        <is>
          <t>P-670-TRE-011-R5</t>
        </is>
      </c>
      <c r="B67" s="13" t="inlineStr">
        <is>
          <t>KBE-600K (G11\</t>
        </is>
      </c>
      <c r="C67" s="13" t="inlineStr">
        <is>
          <t>670-TRE-011</t>
        </is>
      </c>
      <c r="D67" s="13" t="inlineStr">
        <is>
          <t>380</t>
        </is>
      </c>
      <c r="E67" s="13" t="inlineStr">
        <is>
          <t>20</t>
        </is>
      </c>
      <c r="F67" s="13" t="inlineStr">
        <is>
          <t>1kV-XLPE-Arm-CU</t>
        </is>
      </c>
      <c r="G67" s="13" t="inlineStr">
        <is>
          <t>1x240</t>
        </is>
      </c>
      <c r="H67" s="13" t="inlineStr">
        <is>
          <t>ÁREA GENERADORES</t>
        </is>
      </c>
      <c r="I67" s="13" t="inlineStr">
        <is>
          <t>0</t>
        </is>
      </c>
      <c r="J67" s="13" t="inlineStr">
        <is>
          <t>POTENCIA_BT</t>
        </is>
      </c>
      <c r="K67" s="13" t="inlineStr">
        <is>
          <t>CPF1</t>
        </is>
      </c>
      <c r="L67" s="131" t="n">
        <v>1</v>
      </c>
      <c r="M67" s="132" t="inlineStr">
        <is>
          <t>SI</t>
        </is>
      </c>
      <c r="N67" s="133" t="n">
        <v>2</v>
      </c>
      <c r="O67" s="134" t="n">
        <v>2</v>
      </c>
      <c r="P67" s="135" t="n">
        <v>4</v>
      </c>
      <c r="Q67" s="136" t="inlineStr">
        <is>
          <t>POTENCIA BT GRANDE (≥95mm²)</t>
        </is>
      </c>
      <c r="R67" s="136" t="inlineStr">
        <is>
          <t>TABLERO/CCM</t>
        </is>
      </c>
    </row>
    <row r="68">
      <c r="A68" s="12" t="inlineStr">
        <is>
          <t>P-670-TRE-011-R6</t>
        </is>
      </c>
      <c r="B68" s="12" t="inlineStr">
        <is>
          <t>KBE-600K (G11\</t>
        </is>
      </c>
      <c r="C68" s="12" t="inlineStr">
        <is>
          <t>670-TRE-011</t>
        </is>
      </c>
      <c r="D68" s="12" t="inlineStr">
        <is>
          <t>380</t>
        </is>
      </c>
      <c r="E68" s="12" t="inlineStr">
        <is>
          <t>20</t>
        </is>
      </c>
      <c r="F68" s="12" t="inlineStr">
        <is>
          <t>1kV-XLPE-Arm-CU</t>
        </is>
      </c>
      <c r="G68" s="12" t="inlineStr">
        <is>
          <t>1x240</t>
        </is>
      </c>
      <c r="H68" s="12" t="inlineStr">
        <is>
          <t>ÁREA GENERADORES</t>
        </is>
      </c>
      <c r="I68" s="12" t="inlineStr">
        <is>
          <t>0</t>
        </is>
      </c>
      <c r="J68" s="12" t="inlineStr">
        <is>
          <t>POTENCIA_BT</t>
        </is>
      </c>
      <c r="K68" s="12" t="inlineStr">
        <is>
          <t>CPF1</t>
        </is>
      </c>
      <c r="L68" s="131" t="n">
        <v>1</v>
      </c>
      <c r="M68" s="132" t="inlineStr">
        <is>
          <t>SI</t>
        </is>
      </c>
      <c r="N68" s="133" t="n">
        <v>2</v>
      </c>
      <c r="O68" s="134" t="n">
        <v>2</v>
      </c>
      <c r="P68" s="135" t="n">
        <v>4</v>
      </c>
      <c r="Q68" s="136" t="inlineStr">
        <is>
          <t>POTENCIA BT GRANDE (≥95mm²)</t>
        </is>
      </c>
      <c r="R68" s="136" t="inlineStr">
        <is>
          <t>TABLERO/CCM</t>
        </is>
      </c>
    </row>
    <row r="69">
      <c r="A69" s="13" t="inlineStr">
        <is>
          <t>P-670-TRE-011-R7</t>
        </is>
      </c>
      <c r="B69" s="13" t="inlineStr">
        <is>
          <t>KBE-600K (G11\</t>
        </is>
      </c>
      <c r="C69" s="13" t="inlineStr">
        <is>
          <t>670-TRE-011</t>
        </is>
      </c>
      <c r="D69" s="13" t="inlineStr">
        <is>
          <t>380</t>
        </is>
      </c>
      <c r="E69" s="13" t="inlineStr">
        <is>
          <t>20</t>
        </is>
      </c>
      <c r="F69" s="13" t="inlineStr">
        <is>
          <t>1kV-XLPE-Arm-CU</t>
        </is>
      </c>
      <c r="G69" s="13" t="inlineStr">
        <is>
          <t>1x240</t>
        </is>
      </c>
      <c r="H69" s="13" t="inlineStr">
        <is>
          <t>ÁREA GENERADORES</t>
        </is>
      </c>
      <c r="I69" s="13" t="inlineStr">
        <is>
          <t>0</t>
        </is>
      </c>
      <c r="J69" s="13" t="inlineStr">
        <is>
          <t>POTENCIA_BT</t>
        </is>
      </c>
      <c r="K69" s="13" t="inlineStr">
        <is>
          <t>CPF1</t>
        </is>
      </c>
      <c r="L69" s="131" t="n">
        <v>1</v>
      </c>
      <c r="M69" s="132" t="inlineStr">
        <is>
          <t>SI</t>
        </is>
      </c>
      <c r="N69" s="133" t="n">
        <v>2</v>
      </c>
      <c r="O69" s="134" t="n">
        <v>2</v>
      </c>
      <c r="P69" s="135" t="n">
        <v>4</v>
      </c>
      <c r="Q69" s="136" t="inlineStr">
        <is>
          <t>POTENCIA BT GRANDE (≥95mm²)</t>
        </is>
      </c>
      <c r="R69" s="136" t="inlineStr">
        <is>
          <t>TABLERO/CCM</t>
        </is>
      </c>
    </row>
    <row r="70">
      <c r="A70" s="12" t="inlineStr">
        <is>
          <t>P-670-TRE-011-R8</t>
        </is>
      </c>
      <c r="B70" s="12" t="inlineStr">
        <is>
          <t>KBE-600K (G11\</t>
        </is>
      </c>
      <c r="C70" s="12" t="inlineStr">
        <is>
          <t>670-TRE-011</t>
        </is>
      </c>
      <c r="D70" s="12" t="inlineStr">
        <is>
          <t>380</t>
        </is>
      </c>
      <c r="E70" s="12" t="inlineStr">
        <is>
          <t>20</t>
        </is>
      </c>
      <c r="F70" s="12" t="inlineStr">
        <is>
          <t>1kV-XLPE-Arm-CU</t>
        </is>
      </c>
      <c r="G70" s="12" t="inlineStr">
        <is>
          <t>1x240</t>
        </is>
      </c>
      <c r="H70" s="12" t="inlineStr">
        <is>
          <t>ÁREA GENERADORES</t>
        </is>
      </c>
      <c r="I70" s="12" t="inlineStr">
        <is>
          <t>0</t>
        </is>
      </c>
      <c r="J70" s="12" t="inlineStr">
        <is>
          <t>POTENCIA_BT</t>
        </is>
      </c>
      <c r="K70" s="12" t="inlineStr">
        <is>
          <t>CPF1</t>
        </is>
      </c>
      <c r="L70" s="131" t="n">
        <v>1</v>
      </c>
      <c r="M70" s="132" t="inlineStr">
        <is>
          <t>SI</t>
        </is>
      </c>
      <c r="N70" s="133" t="n">
        <v>2</v>
      </c>
      <c r="O70" s="134" t="n">
        <v>2</v>
      </c>
      <c r="P70" s="135" t="n">
        <v>4</v>
      </c>
      <c r="Q70" s="136" t="inlineStr">
        <is>
          <t>POTENCIA BT GRANDE (≥95mm²)</t>
        </is>
      </c>
      <c r="R70" s="136" t="inlineStr">
        <is>
          <t>TABLERO/CCM</t>
        </is>
      </c>
    </row>
    <row r="71">
      <c r="A71" s="13" t="inlineStr">
        <is>
          <t>P-670-TRE-011-S1</t>
        </is>
      </c>
      <c r="B71" s="13" t="inlineStr">
        <is>
          <t>KBE-600K (G11\</t>
        </is>
      </c>
      <c r="C71" s="13" t="inlineStr">
        <is>
          <t>670-TRE-011</t>
        </is>
      </c>
      <c r="D71" s="13" t="inlineStr">
        <is>
          <t>380</t>
        </is>
      </c>
      <c r="E71" s="13" t="inlineStr">
        <is>
          <t>20</t>
        </is>
      </c>
      <c r="F71" s="13" t="inlineStr">
        <is>
          <t>1kV-XLPE-Arm-CU</t>
        </is>
      </c>
      <c r="G71" s="13" t="inlineStr">
        <is>
          <t>1x240</t>
        </is>
      </c>
      <c r="H71" s="13" t="inlineStr">
        <is>
          <t>ÁREA GENERADORES</t>
        </is>
      </c>
      <c r="I71" s="13" t="inlineStr">
        <is>
          <t>0</t>
        </is>
      </c>
      <c r="J71" s="13" t="inlineStr">
        <is>
          <t>POTENCIA_BT</t>
        </is>
      </c>
      <c r="K71" s="13" t="inlineStr">
        <is>
          <t>CPF1</t>
        </is>
      </c>
      <c r="L71" s="131" t="n">
        <v>1</v>
      </c>
      <c r="M71" s="132" t="inlineStr">
        <is>
          <t>SI</t>
        </is>
      </c>
      <c r="N71" s="133" t="n">
        <v>2</v>
      </c>
      <c r="O71" s="134" t="n">
        <v>2</v>
      </c>
      <c r="P71" s="135" t="n">
        <v>4</v>
      </c>
      <c r="Q71" s="136" t="inlineStr">
        <is>
          <t>POTENCIA BT GRANDE (≥95mm²)</t>
        </is>
      </c>
      <c r="R71" s="136" t="inlineStr">
        <is>
          <t>TABLERO/CCM</t>
        </is>
      </c>
    </row>
    <row r="72">
      <c r="A72" s="12" t="inlineStr">
        <is>
          <t>P-670-TRE-011-S2</t>
        </is>
      </c>
      <c r="B72" s="12" t="inlineStr">
        <is>
          <t>KBE-600K (G11\</t>
        </is>
      </c>
      <c r="C72" s="12" t="inlineStr">
        <is>
          <t>670-TRE-011</t>
        </is>
      </c>
      <c r="D72" s="12" t="inlineStr">
        <is>
          <t>380</t>
        </is>
      </c>
      <c r="E72" s="12" t="inlineStr">
        <is>
          <t>20</t>
        </is>
      </c>
      <c r="F72" s="12" t="inlineStr">
        <is>
          <t>1kV-XLPE-Arm-CU</t>
        </is>
      </c>
      <c r="G72" s="12" t="inlineStr">
        <is>
          <t>1x240</t>
        </is>
      </c>
      <c r="H72" s="12" t="inlineStr">
        <is>
          <t>ÁREA GENERADORES</t>
        </is>
      </c>
      <c r="I72" s="12" t="inlineStr">
        <is>
          <t>0</t>
        </is>
      </c>
      <c r="J72" s="12" t="inlineStr">
        <is>
          <t>POTENCIA_BT</t>
        </is>
      </c>
      <c r="K72" s="12" t="inlineStr">
        <is>
          <t>CPF1</t>
        </is>
      </c>
      <c r="L72" s="131" t="n">
        <v>1</v>
      </c>
      <c r="M72" s="132" t="inlineStr">
        <is>
          <t>SI</t>
        </is>
      </c>
      <c r="N72" s="133" t="n">
        <v>2</v>
      </c>
      <c r="O72" s="134" t="n">
        <v>2</v>
      </c>
      <c r="P72" s="135" t="n">
        <v>4</v>
      </c>
      <c r="Q72" s="136" t="inlineStr">
        <is>
          <t>POTENCIA BT GRANDE (≥95mm²)</t>
        </is>
      </c>
      <c r="R72" s="136" t="inlineStr">
        <is>
          <t>TABLERO/CCM</t>
        </is>
      </c>
    </row>
    <row r="73">
      <c r="A73" s="13" t="inlineStr">
        <is>
          <t>P-670-TRE-011-S3</t>
        </is>
      </c>
      <c r="B73" s="13" t="inlineStr">
        <is>
          <t>KBE-600K (G11\</t>
        </is>
      </c>
      <c r="C73" s="13" t="inlineStr">
        <is>
          <t>670-TRE-011</t>
        </is>
      </c>
      <c r="D73" s="13" t="inlineStr">
        <is>
          <t>380</t>
        </is>
      </c>
      <c r="E73" s="13" t="inlineStr">
        <is>
          <t>20</t>
        </is>
      </c>
      <c r="F73" s="13" t="inlineStr">
        <is>
          <t>1kV-XLPE-Arm-CU</t>
        </is>
      </c>
      <c r="G73" s="13" t="inlineStr">
        <is>
          <t>1x240</t>
        </is>
      </c>
      <c r="H73" s="13" t="inlineStr">
        <is>
          <t>ÁREA GENERADORES</t>
        </is>
      </c>
      <c r="I73" s="13" t="inlineStr">
        <is>
          <t>0</t>
        </is>
      </c>
      <c r="J73" s="13" t="inlineStr">
        <is>
          <t>POTENCIA_BT</t>
        </is>
      </c>
      <c r="K73" s="13" t="inlineStr">
        <is>
          <t>CPF1</t>
        </is>
      </c>
      <c r="L73" s="131" t="n">
        <v>1</v>
      </c>
      <c r="M73" s="132" t="inlineStr">
        <is>
          <t>SI</t>
        </is>
      </c>
      <c r="N73" s="133" t="n">
        <v>2</v>
      </c>
      <c r="O73" s="134" t="n">
        <v>2</v>
      </c>
      <c r="P73" s="135" t="n">
        <v>4</v>
      </c>
      <c r="Q73" s="136" t="inlineStr">
        <is>
          <t>POTENCIA BT GRANDE (≥95mm²)</t>
        </is>
      </c>
      <c r="R73" s="136" t="inlineStr">
        <is>
          <t>TABLERO/CCM</t>
        </is>
      </c>
    </row>
    <row r="74">
      <c r="A74" s="12" t="inlineStr">
        <is>
          <t>P-670-TRE-011-S4</t>
        </is>
      </c>
      <c r="B74" s="12" t="inlineStr">
        <is>
          <t>KBE-600K (G11\</t>
        </is>
      </c>
      <c r="C74" s="12" t="inlineStr">
        <is>
          <t>670-TRE-011</t>
        </is>
      </c>
      <c r="D74" s="12" t="inlineStr">
        <is>
          <t>380</t>
        </is>
      </c>
      <c r="E74" s="12" t="inlineStr">
        <is>
          <t>20</t>
        </is>
      </c>
      <c r="F74" s="12" t="inlineStr">
        <is>
          <t>1kV-XLPE-Arm-CU</t>
        </is>
      </c>
      <c r="G74" s="12" t="inlineStr">
        <is>
          <t>1x240</t>
        </is>
      </c>
      <c r="H74" s="12" t="inlineStr">
        <is>
          <t>ÁREA GENERADORES</t>
        </is>
      </c>
      <c r="I74" s="12" t="inlineStr"/>
      <c r="J74" s="12" t="inlineStr">
        <is>
          <t>POTENCIA_BT</t>
        </is>
      </c>
      <c r="K74" s="12" t="inlineStr">
        <is>
          <t>CPF1</t>
        </is>
      </c>
      <c r="L74" s="131" t="n">
        <v>1</v>
      </c>
      <c r="M74" s="132" t="inlineStr">
        <is>
          <t>SI</t>
        </is>
      </c>
      <c r="N74" s="133" t="n">
        <v>2</v>
      </c>
      <c r="O74" s="134" t="n">
        <v>2</v>
      </c>
      <c r="P74" s="135" t="n">
        <v>4</v>
      </c>
      <c r="Q74" s="136" t="inlineStr">
        <is>
          <t>POTENCIA BT GRANDE (≥95mm²)</t>
        </is>
      </c>
      <c r="R74" s="136" t="inlineStr">
        <is>
          <t>TABLERO/CCM</t>
        </is>
      </c>
    </row>
    <row r="75">
      <c r="A75" s="13" t="inlineStr">
        <is>
          <t>P-670-TRE-011-S5</t>
        </is>
      </c>
      <c r="B75" s="13" t="inlineStr">
        <is>
          <t>KBE-600K (G11\</t>
        </is>
      </c>
      <c r="C75" s="13" t="inlineStr">
        <is>
          <t>670-TRE-011</t>
        </is>
      </c>
      <c r="D75" s="13" t="inlineStr">
        <is>
          <t>380</t>
        </is>
      </c>
      <c r="E75" s="13" t="inlineStr">
        <is>
          <t>20</t>
        </is>
      </c>
      <c r="F75" s="13" t="inlineStr">
        <is>
          <t>1kV-XLPE-Arm-CU</t>
        </is>
      </c>
      <c r="G75" s="13" t="inlineStr">
        <is>
          <t>1x240</t>
        </is>
      </c>
      <c r="H75" s="13" t="inlineStr">
        <is>
          <t>ÁREA GENERADORES</t>
        </is>
      </c>
      <c r="I75" s="13" t="inlineStr">
        <is>
          <t>0</t>
        </is>
      </c>
      <c r="J75" s="13" t="inlineStr">
        <is>
          <t>POTENCIA_BT</t>
        </is>
      </c>
      <c r="K75" s="13" t="inlineStr">
        <is>
          <t>CPF1</t>
        </is>
      </c>
      <c r="L75" s="131" t="n">
        <v>1</v>
      </c>
      <c r="M75" s="132" t="inlineStr">
        <is>
          <t>SI</t>
        </is>
      </c>
      <c r="N75" s="133" t="n">
        <v>2</v>
      </c>
      <c r="O75" s="134" t="n">
        <v>2</v>
      </c>
      <c r="P75" s="135" t="n">
        <v>4</v>
      </c>
      <c r="Q75" s="136" t="inlineStr">
        <is>
          <t>POTENCIA BT GRANDE (≥95mm²)</t>
        </is>
      </c>
      <c r="R75" s="136" t="inlineStr">
        <is>
          <t>TABLERO/CCM</t>
        </is>
      </c>
    </row>
    <row r="76">
      <c r="A76" s="12" t="inlineStr">
        <is>
          <t>P-670-TRE-011-S6</t>
        </is>
      </c>
      <c r="B76" s="12" t="inlineStr">
        <is>
          <t>KBE-600K (G11\</t>
        </is>
      </c>
      <c r="C76" s="12" t="inlineStr">
        <is>
          <t>670-TRE-011</t>
        </is>
      </c>
      <c r="D76" s="12" t="inlineStr">
        <is>
          <t>380</t>
        </is>
      </c>
      <c r="E76" s="12" t="inlineStr">
        <is>
          <t>20</t>
        </is>
      </c>
      <c r="F76" s="12" t="inlineStr">
        <is>
          <t>1kV-XLPE-Arm-CU</t>
        </is>
      </c>
      <c r="G76" s="12" t="inlineStr">
        <is>
          <t>1x240</t>
        </is>
      </c>
      <c r="H76" s="12" t="inlineStr">
        <is>
          <t>ÁREA GENERADORES</t>
        </is>
      </c>
      <c r="I76" s="12" t="inlineStr">
        <is>
          <t>0</t>
        </is>
      </c>
      <c r="J76" s="12" t="inlineStr">
        <is>
          <t>POTENCIA_BT</t>
        </is>
      </c>
      <c r="K76" s="12" t="inlineStr">
        <is>
          <t>CPF1</t>
        </is>
      </c>
      <c r="L76" s="131" t="n">
        <v>1</v>
      </c>
      <c r="M76" s="132" t="inlineStr">
        <is>
          <t>SI</t>
        </is>
      </c>
      <c r="N76" s="133" t="n">
        <v>2</v>
      </c>
      <c r="O76" s="134" t="n">
        <v>2</v>
      </c>
      <c r="P76" s="135" t="n">
        <v>4</v>
      </c>
      <c r="Q76" s="136" t="inlineStr">
        <is>
          <t>POTENCIA BT GRANDE (≥95mm²)</t>
        </is>
      </c>
      <c r="R76" s="136" t="inlineStr">
        <is>
          <t>TABLERO/CCM</t>
        </is>
      </c>
    </row>
    <row r="77">
      <c r="A77" s="13" t="inlineStr">
        <is>
          <t>P-670-TRE-011-S7</t>
        </is>
      </c>
      <c r="B77" s="13" t="inlineStr">
        <is>
          <t>KBE-600K (G11\</t>
        </is>
      </c>
      <c r="C77" s="13" t="inlineStr">
        <is>
          <t>670-TRE-011</t>
        </is>
      </c>
      <c r="D77" s="13" t="inlineStr">
        <is>
          <t>380</t>
        </is>
      </c>
      <c r="E77" s="13" t="inlineStr">
        <is>
          <t>20</t>
        </is>
      </c>
      <c r="F77" s="13" t="inlineStr">
        <is>
          <t>1kV-XLPE-Arm-CU</t>
        </is>
      </c>
      <c r="G77" s="13" t="inlineStr">
        <is>
          <t>1x240</t>
        </is>
      </c>
      <c r="H77" s="13" t="inlineStr">
        <is>
          <t>ÁREA GENERADORES</t>
        </is>
      </c>
      <c r="I77" s="13" t="inlineStr">
        <is>
          <t>0</t>
        </is>
      </c>
      <c r="J77" s="13" t="inlineStr">
        <is>
          <t>POTENCIA_BT</t>
        </is>
      </c>
      <c r="K77" s="13" t="inlineStr">
        <is>
          <t>CPF1</t>
        </is>
      </c>
      <c r="L77" s="131" t="n">
        <v>1</v>
      </c>
      <c r="M77" s="132" t="inlineStr">
        <is>
          <t>SI</t>
        </is>
      </c>
      <c r="N77" s="133" t="n">
        <v>2</v>
      </c>
      <c r="O77" s="134" t="n">
        <v>2</v>
      </c>
      <c r="P77" s="135" t="n">
        <v>4</v>
      </c>
      <c r="Q77" s="136" t="inlineStr">
        <is>
          <t>POTENCIA BT GRANDE (≥95mm²)</t>
        </is>
      </c>
      <c r="R77" s="136" t="inlineStr">
        <is>
          <t>TABLERO/CCM</t>
        </is>
      </c>
    </row>
    <row r="78">
      <c r="A78" s="12" t="inlineStr">
        <is>
          <t>P-670-TRE-011-S8</t>
        </is>
      </c>
      <c r="B78" s="12" t="inlineStr">
        <is>
          <t>KBE-600K (G11\</t>
        </is>
      </c>
      <c r="C78" s="12" t="inlineStr">
        <is>
          <t>670-TRE-011</t>
        </is>
      </c>
      <c r="D78" s="12" t="inlineStr">
        <is>
          <t>380</t>
        </is>
      </c>
      <c r="E78" s="12" t="inlineStr">
        <is>
          <t>20</t>
        </is>
      </c>
      <c r="F78" s="12" t="inlineStr">
        <is>
          <t>1kV-XLPE-Arm-CU</t>
        </is>
      </c>
      <c r="G78" s="12" t="inlineStr">
        <is>
          <t>1x240</t>
        </is>
      </c>
      <c r="H78" s="12" t="inlineStr">
        <is>
          <t>ÁREA GENERADORES</t>
        </is>
      </c>
      <c r="I78" s="12" t="inlineStr">
        <is>
          <t>0</t>
        </is>
      </c>
      <c r="J78" s="12" t="inlineStr">
        <is>
          <t>POTENCIA_BT</t>
        </is>
      </c>
      <c r="K78" s="12" t="inlineStr">
        <is>
          <t>CPF1</t>
        </is>
      </c>
      <c r="L78" s="131" t="n">
        <v>1</v>
      </c>
      <c r="M78" s="132" t="inlineStr">
        <is>
          <t>SI</t>
        </is>
      </c>
      <c r="N78" s="133" t="n">
        <v>2</v>
      </c>
      <c r="O78" s="134" t="n">
        <v>2</v>
      </c>
      <c r="P78" s="135" t="n">
        <v>4</v>
      </c>
      <c r="Q78" s="136" t="inlineStr">
        <is>
          <t>POTENCIA BT GRANDE (≥95mm²)</t>
        </is>
      </c>
      <c r="R78" s="136" t="inlineStr">
        <is>
          <t>TABLERO/CCM</t>
        </is>
      </c>
    </row>
    <row r="79">
      <c r="A79" s="13" t="inlineStr">
        <is>
          <t>P-670-TRE-011-T1</t>
        </is>
      </c>
      <c r="B79" s="13" t="inlineStr">
        <is>
          <t>KBE-600K (G11\</t>
        </is>
      </c>
      <c r="C79" s="13" t="inlineStr">
        <is>
          <t>670-TRE-011</t>
        </is>
      </c>
      <c r="D79" s="13" t="inlineStr">
        <is>
          <t>380</t>
        </is>
      </c>
      <c r="E79" s="13" t="inlineStr">
        <is>
          <t>20</t>
        </is>
      </c>
      <c r="F79" s="13" t="inlineStr">
        <is>
          <t>1kV-XLPE-Arm-CU</t>
        </is>
      </c>
      <c r="G79" s="13" t="inlineStr">
        <is>
          <t>1x240</t>
        </is>
      </c>
      <c r="H79" s="13" t="inlineStr">
        <is>
          <t>ÁREA GENERADORES</t>
        </is>
      </c>
      <c r="I79" s="13" t="inlineStr">
        <is>
          <t>0</t>
        </is>
      </c>
      <c r="J79" s="13" t="inlineStr">
        <is>
          <t>POTENCIA_BT</t>
        </is>
      </c>
      <c r="K79" s="13" t="inlineStr">
        <is>
          <t>CPF1</t>
        </is>
      </c>
      <c r="L79" s="131" t="n">
        <v>1</v>
      </c>
      <c r="M79" s="132" t="inlineStr">
        <is>
          <t>SI</t>
        </is>
      </c>
      <c r="N79" s="133" t="n">
        <v>2</v>
      </c>
      <c r="O79" s="134" t="n">
        <v>2</v>
      </c>
      <c r="P79" s="135" t="n">
        <v>4</v>
      </c>
      <c r="Q79" s="136" t="inlineStr">
        <is>
          <t>POTENCIA BT GRANDE (≥95mm²)</t>
        </is>
      </c>
      <c r="R79" s="136" t="inlineStr">
        <is>
          <t>TABLERO/CCM</t>
        </is>
      </c>
    </row>
    <row r="80">
      <c r="A80" s="12" t="inlineStr">
        <is>
          <t>P-670-TRE-011-T2</t>
        </is>
      </c>
      <c r="B80" s="12" t="inlineStr">
        <is>
          <t>KBE-600K (G11\</t>
        </is>
      </c>
      <c r="C80" s="12" t="inlineStr">
        <is>
          <t>670-TRE-011</t>
        </is>
      </c>
      <c r="D80" s="12" t="inlineStr">
        <is>
          <t>380</t>
        </is>
      </c>
      <c r="E80" s="12" t="inlineStr">
        <is>
          <t>20</t>
        </is>
      </c>
      <c r="F80" s="12" t="inlineStr">
        <is>
          <t>1kV-XLPE-Arm-CU</t>
        </is>
      </c>
      <c r="G80" s="12" t="inlineStr">
        <is>
          <t>1x240</t>
        </is>
      </c>
      <c r="H80" s="12" t="inlineStr">
        <is>
          <t>ÁREA GENERADORES</t>
        </is>
      </c>
      <c r="I80" s="12" t="inlineStr">
        <is>
          <t>0</t>
        </is>
      </c>
      <c r="J80" s="12" t="inlineStr">
        <is>
          <t>POTENCIA_BT</t>
        </is>
      </c>
      <c r="K80" s="12" t="inlineStr">
        <is>
          <t>CPF1</t>
        </is>
      </c>
      <c r="L80" s="131" t="n">
        <v>1</v>
      </c>
      <c r="M80" s="132" t="inlineStr">
        <is>
          <t>SI</t>
        </is>
      </c>
      <c r="N80" s="133" t="n">
        <v>2</v>
      </c>
      <c r="O80" s="134" t="n">
        <v>2</v>
      </c>
      <c r="P80" s="135" t="n">
        <v>4</v>
      </c>
      <c r="Q80" s="136" t="inlineStr">
        <is>
          <t>POTENCIA BT GRANDE (≥95mm²)</t>
        </is>
      </c>
      <c r="R80" s="136" t="inlineStr">
        <is>
          <t>TABLERO/CCM</t>
        </is>
      </c>
    </row>
    <row r="81">
      <c r="A81" s="13" t="inlineStr">
        <is>
          <t>P-670-TRE-011-T3</t>
        </is>
      </c>
      <c r="B81" s="13" t="inlineStr">
        <is>
          <t>KBE-600K (G11\</t>
        </is>
      </c>
      <c r="C81" s="13" t="inlineStr">
        <is>
          <t>670-TRE-011</t>
        </is>
      </c>
      <c r="D81" s="13" t="inlineStr">
        <is>
          <t>380</t>
        </is>
      </c>
      <c r="E81" s="13" t="inlineStr">
        <is>
          <t>20</t>
        </is>
      </c>
      <c r="F81" s="13" t="inlineStr">
        <is>
          <t>1kV-XLPE-Arm-CU</t>
        </is>
      </c>
      <c r="G81" s="13" t="inlineStr">
        <is>
          <t>1x240</t>
        </is>
      </c>
      <c r="H81" s="13" t="inlineStr">
        <is>
          <t>ÁREA GENERADORES</t>
        </is>
      </c>
      <c r="I81" s="13" t="inlineStr">
        <is>
          <t>0</t>
        </is>
      </c>
      <c r="J81" s="13" t="inlineStr">
        <is>
          <t>POTENCIA_BT</t>
        </is>
      </c>
      <c r="K81" s="13" t="inlineStr">
        <is>
          <t>CPF1</t>
        </is>
      </c>
      <c r="L81" s="131" t="n">
        <v>1</v>
      </c>
      <c r="M81" s="132" t="inlineStr">
        <is>
          <t>SI</t>
        </is>
      </c>
      <c r="N81" s="133" t="n">
        <v>2</v>
      </c>
      <c r="O81" s="134" t="n">
        <v>2</v>
      </c>
      <c r="P81" s="135" t="n">
        <v>4</v>
      </c>
      <c r="Q81" s="136" t="inlineStr">
        <is>
          <t>POTENCIA BT GRANDE (≥95mm²)</t>
        </is>
      </c>
      <c r="R81" s="136" t="inlineStr">
        <is>
          <t>TABLERO/CCM</t>
        </is>
      </c>
    </row>
    <row r="82">
      <c r="A82" s="12" t="inlineStr">
        <is>
          <t>P-670-TRE-011-T4</t>
        </is>
      </c>
      <c r="B82" s="12" t="inlineStr">
        <is>
          <t>KBE-600K (G11\</t>
        </is>
      </c>
      <c r="C82" s="12" t="inlineStr">
        <is>
          <t>670-TRE-011</t>
        </is>
      </c>
      <c r="D82" s="12" t="inlineStr">
        <is>
          <t>380</t>
        </is>
      </c>
      <c r="E82" s="12" t="inlineStr">
        <is>
          <t>20</t>
        </is>
      </c>
      <c r="F82" s="12" t="inlineStr">
        <is>
          <t>1kV-XLPE-Arm-CU</t>
        </is>
      </c>
      <c r="G82" s="12" t="inlineStr">
        <is>
          <t>1x240</t>
        </is>
      </c>
      <c r="H82" s="12" t="inlineStr">
        <is>
          <t>ÁREA GENERADORES</t>
        </is>
      </c>
      <c r="I82" s="12" t="inlineStr">
        <is>
          <t>0</t>
        </is>
      </c>
      <c r="J82" s="12" t="inlineStr">
        <is>
          <t>POTENCIA_BT</t>
        </is>
      </c>
      <c r="K82" s="12" t="inlineStr">
        <is>
          <t>CPF1</t>
        </is>
      </c>
      <c r="L82" s="131" t="n">
        <v>1</v>
      </c>
      <c r="M82" s="132" t="inlineStr">
        <is>
          <t>SI</t>
        </is>
      </c>
      <c r="N82" s="133" t="n">
        <v>2</v>
      </c>
      <c r="O82" s="134" t="n">
        <v>2</v>
      </c>
      <c r="P82" s="135" t="n">
        <v>4</v>
      </c>
      <c r="Q82" s="136" t="inlineStr">
        <is>
          <t>POTENCIA BT GRANDE (≥95mm²)</t>
        </is>
      </c>
      <c r="R82" s="136" t="inlineStr">
        <is>
          <t>TABLERO/CCM</t>
        </is>
      </c>
    </row>
    <row r="83">
      <c r="A83" s="13" t="inlineStr">
        <is>
          <t>P-670-TRE-011-T5</t>
        </is>
      </c>
      <c r="B83" s="13" t="inlineStr">
        <is>
          <t>KBE-600K (G11\</t>
        </is>
      </c>
      <c r="C83" s="13" t="inlineStr">
        <is>
          <t>670-TRE-011</t>
        </is>
      </c>
      <c r="D83" s="13" t="inlineStr">
        <is>
          <t>380</t>
        </is>
      </c>
      <c r="E83" s="13" t="inlineStr">
        <is>
          <t>20</t>
        </is>
      </c>
      <c r="F83" s="13" t="inlineStr">
        <is>
          <t>1kV-XLPE-Arm-CU</t>
        </is>
      </c>
      <c r="G83" s="13" t="inlineStr">
        <is>
          <t>1x240</t>
        </is>
      </c>
      <c r="H83" s="13" t="inlineStr">
        <is>
          <t>ÁREA GENERADORES</t>
        </is>
      </c>
      <c r="I83" s="13" t="inlineStr">
        <is>
          <t>0</t>
        </is>
      </c>
      <c r="J83" s="13" t="inlineStr">
        <is>
          <t>POTENCIA_BT</t>
        </is>
      </c>
      <c r="K83" s="13" t="inlineStr">
        <is>
          <t>CPF1</t>
        </is>
      </c>
      <c r="L83" s="131" t="n">
        <v>1</v>
      </c>
      <c r="M83" s="132" t="inlineStr">
        <is>
          <t>SI</t>
        </is>
      </c>
      <c r="N83" s="133" t="n">
        <v>2</v>
      </c>
      <c r="O83" s="134" t="n">
        <v>2</v>
      </c>
      <c r="P83" s="135" t="n">
        <v>4</v>
      </c>
      <c r="Q83" s="136" t="inlineStr">
        <is>
          <t>POTENCIA BT GRANDE (≥95mm²)</t>
        </is>
      </c>
      <c r="R83" s="136" t="inlineStr">
        <is>
          <t>TABLERO/CCM</t>
        </is>
      </c>
    </row>
    <row r="84">
      <c r="A84" s="12" t="inlineStr">
        <is>
          <t>P-670-TRE-011-T6</t>
        </is>
      </c>
      <c r="B84" s="12" t="inlineStr">
        <is>
          <t>KBE-600K (G11\</t>
        </is>
      </c>
      <c r="C84" s="12" t="inlineStr">
        <is>
          <t>670-TRE-011</t>
        </is>
      </c>
      <c r="D84" s="12" t="inlineStr">
        <is>
          <t>380</t>
        </is>
      </c>
      <c r="E84" s="12" t="inlineStr">
        <is>
          <t>20</t>
        </is>
      </c>
      <c r="F84" s="12" t="inlineStr">
        <is>
          <t>1kV-XLPE-Arm-CU</t>
        </is>
      </c>
      <c r="G84" s="12" t="inlineStr">
        <is>
          <t>1x240</t>
        </is>
      </c>
      <c r="H84" s="12" t="inlineStr">
        <is>
          <t>ÁREA GENERADORES</t>
        </is>
      </c>
      <c r="I84" s="12" t="inlineStr">
        <is>
          <t>0</t>
        </is>
      </c>
      <c r="J84" s="12" t="inlineStr">
        <is>
          <t>POTENCIA_BT</t>
        </is>
      </c>
      <c r="K84" s="12" t="inlineStr">
        <is>
          <t>CPF1</t>
        </is>
      </c>
      <c r="L84" s="131" t="n">
        <v>1</v>
      </c>
      <c r="M84" s="132" t="inlineStr">
        <is>
          <t>SI</t>
        </is>
      </c>
      <c r="N84" s="133" t="n">
        <v>2</v>
      </c>
      <c r="O84" s="134" t="n">
        <v>2</v>
      </c>
      <c r="P84" s="135" t="n">
        <v>4</v>
      </c>
      <c r="Q84" s="136" t="inlineStr">
        <is>
          <t>POTENCIA BT GRANDE (≥95mm²)</t>
        </is>
      </c>
      <c r="R84" s="136" t="inlineStr">
        <is>
          <t>TABLERO/CCM</t>
        </is>
      </c>
    </row>
    <row r="85">
      <c r="A85" s="13" t="inlineStr">
        <is>
          <t>P-670-TRE-011-T7</t>
        </is>
      </c>
      <c r="B85" s="13" t="inlineStr">
        <is>
          <t>KBE-600K (G11\</t>
        </is>
      </c>
      <c r="C85" s="13" t="inlineStr">
        <is>
          <t>670-TRE-011</t>
        </is>
      </c>
      <c r="D85" s="13" t="inlineStr">
        <is>
          <t>380</t>
        </is>
      </c>
      <c r="E85" s="13" t="inlineStr">
        <is>
          <t>20</t>
        </is>
      </c>
      <c r="F85" s="13" t="inlineStr">
        <is>
          <t>1kV-XLPE-Arm-CU</t>
        </is>
      </c>
      <c r="G85" s="13" t="inlineStr">
        <is>
          <t>1x240</t>
        </is>
      </c>
      <c r="H85" s="13" t="inlineStr">
        <is>
          <t>ÁREA GENERADORES</t>
        </is>
      </c>
      <c r="I85" s="13" t="inlineStr">
        <is>
          <t>0</t>
        </is>
      </c>
      <c r="J85" s="13" t="inlineStr">
        <is>
          <t>POTENCIA_BT</t>
        </is>
      </c>
      <c r="K85" s="13" t="inlineStr">
        <is>
          <t>CPF1</t>
        </is>
      </c>
      <c r="L85" s="131" t="n">
        <v>1</v>
      </c>
      <c r="M85" s="132" t="inlineStr">
        <is>
          <t>SI</t>
        </is>
      </c>
      <c r="N85" s="133" t="n">
        <v>2</v>
      </c>
      <c r="O85" s="134" t="n">
        <v>2</v>
      </c>
      <c r="P85" s="135" t="n">
        <v>4</v>
      </c>
      <c r="Q85" s="136" t="inlineStr">
        <is>
          <t>POTENCIA BT GRANDE (≥95mm²)</t>
        </is>
      </c>
      <c r="R85" s="136" t="inlineStr">
        <is>
          <t>TABLERO/CCM</t>
        </is>
      </c>
    </row>
    <row r="86">
      <c r="A86" s="12" t="inlineStr">
        <is>
          <t>P-670-TRE-011-T8</t>
        </is>
      </c>
      <c r="B86" s="12" t="inlineStr">
        <is>
          <t>KBE-600K (G11\</t>
        </is>
      </c>
      <c r="C86" s="12" t="inlineStr">
        <is>
          <t>670-TRE-011</t>
        </is>
      </c>
      <c r="D86" s="12" t="inlineStr">
        <is>
          <t>380</t>
        </is>
      </c>
      <c r="E86" s="12" t="inlineStr">
        <is>
          <t>20</t>
        </is>
      </c>
      <c r="F86" s="12" t="inlineStr">
        <is>
          <t>1kV-XLPE-Arm-CU</t>
        </is>
      </c>
      <c r="G86" s="12" t="inlineStr">
        <is>
          <t>1x240</t>
        </is>
      </c>
      <c r="H86" s="12" t="inlineStr">
        <is>
          <t>ÁREA GENERADORES</t>
        </is>
      </c>
      <c r="I86" s="12" t="inlineStr">
        <is>
          <t>A</t>
        </is>
      </c>
      <c r="J86" s="12" t="inlineStr">
        <is>
          <t>POTENCIA_BT</t>
        </is>
      </c>
      <c r="K86" s="12" t="inlineStr">
        <is>
          <t>CPF1</t>
        </is>
      </c>
      <c r="L86" s="131" t="n">
        <v>1</v>
      </c>
      <c r="M86" s="132" t="inlineStr">
        <is>
          <t>SI</t>
        </is>
      </c>
      <c r="N86" s="133" t="n">
        <v>2</v>
      </c>
      <c r="O86" s="134" t="n">
        <v>2</v>
      </c>
      <c r="P86" s="135" t="n">
        <v>4</v>
      </c>
      <c r="Q86" s="136" t="inlineStr">
        <is>
          <t>POTENCIA BT GRANDE (≥95mm²)</t>
        </is>
      </c>
      <c r="R86" s="136" t="inlineStr">
        <is>
          <t>TABLERO/CCM</t>
        </is>
      </c>
    </row>
    <row r="87">
      <c r="A87" s="13" t="inlineStr">
        <is>
          <t>C-JB-G10-1</t>
        </is>
      </c>
      <c r="B87" s="13" t="inlineStr">
        <is>
          <t>TCA10-GE-10</t>
        </is>
      </c>
      <c r="C87" s="13" t="inlineStr">
        <is>
          <t>JB-G10-1</t>
        </is>
      </c>
      <c r="D87" s="13" t="inlineStr">
        <is>
          <t>110</t>
        </is>
      </c>
      <c r="E87" s="13" t="inlineStr">
        <is>
          <t>20</t>
        </is>
      </c>
      <c r="F87" s="13" t="inlineStr">
        <is>
          <t>1kV-XLPE-Arm-CU</t>
        </is>
      </c>
      <c r="G87" s="13" t="inlineStr">
        <is>
          <t>7x2,5</t>
        </is>
      </c>
      <c r="H87" s="13" t="inlineStr">
        <is>
          <t>ÁREA GENERADORES</t>
        </is>
      </c>
      <c r="I87" s="13" t="inlineStr">
        <is>
          <t>GUIRNALDA DE PULSADORES DE ACEITE Y REFRIGERANTE A</t>
        </is>
      </c>
      <c r="J87" s="13" t="inlineStr">
        <is>
          <t>CONTROL</t>
        </is>
      </c>
      <c r="K87" s="13" t="inlineStr">
        <is>
          <t>CPF1</t>
        </is>
      </c>
      <c r="L87" s="131" t="n">
        <v>7</v>
      </c>
      <c r="M87" s="132" t="inlineStr">
        <is>
          <t>SI</t>
        </is>
      </c>
      <c r="N87" s="133" t="n">
        <v>14</v>
      </c>
      <c r="O87" s="134" t="n">
        <v>2</v>
      </c>
      <c r="P87" s="135" t="n">
        <v>16</v>
      </c>
      <c r="Q87" s="136" t="inlineStr">
        <is>
          <t>CONTROL</t>
        </is>
      </c>
      <c r="R87" s="136" t="inlineStr">
        <is>
          <t>TABLERO/CCM</t>
        </is>
      </c>
    </row>
    <row r="88">
      <c r="A88" s="12" t="inlineStr">
        <is>
          <t>C-JB-G9-1</t>
        </is>
      </c>
      <c r="B88" s="12" t="inlineStr">
        <is>
          <t>JB-G10-1</t>
        </is>
      </c>
      <c r="C88" s="12" t="inlineStr">
        <is>
          <t>JB-G9-1</t>
        </is>
      </c>
      <c r="D88" s="12" t="inlineStr">
        <is>
          <t>110</t>
        </is>
      </c>
      <c r="E88" s="12" t="inlineStr">
        <is>
          <t>20</t>
        </is>
      </c>
      <c r="F88" s="12" t="inlineStr">
        <is>
          <t>1kV-XLPE-Arm-CU</t>
        </is>
      </c>
      <c r="G88" s="12" t="inlineStr">
        <is>
          <t>7x2,5</t>
        </is>
      </c>
      <c r="H88" s="12" t="inlineStr">
        <is>
          <t>ÁREA GENERADORES</t>
        </is>
      </c>
      <c r="I88" s="12" t="inlineStr">
        <is>
          <t>GUIRNALDA DE PULSADORES DE ACEITE Y REFRIGERANTE A</t>
        </is>
      </c>
      <c r="J88" s="12" t="inlineStr">
        <is>
          <t>CONTROL</t>
        </is>
      </c>
      <c r="K88" s="12" t="inlineStr">
        <is>
          <t>CPF1</t>
        </is>
      </c>
      <c r="L88" s="131" t="n">
        <v>7</v>
      </c>
      <c r="M88" s="132" t="inlineStr">
        <is>
          <t>SI</t>
        </is>
      </c>
      <c r="N88" s="133" t="n">
        <v>14</v>
      </c>
      <c r="O88" s="134" t="n">
        <v>2</v>
      </c>
      <c r="P88" s="135" t="n">
        <v>16</v>
      </c>
      <c r="Q88" s="136" t="inlineStr">
        <is>
          <t>CONTROL</t>
        </is>
      </c>
      <c r="R88" s="136" t="inlineStr">
        <is>
          <t>TABLERO/CCM</t>
        </is>
      </c>
    </row>
    <row r="89">
      <c r="A89" s="13" t="inlineStr">
        <is>
          <t>C-JB-G11-1</t>
        </is>
      </c>
      <c r="B89" s="13" t="inlineStr">
        <is>
          <t>TCA11-GE-11</t>
        </is>
      </c>
      <c r="C89" s="13" t="inlineStr">
        <is>
          <t>JB-G11-1</t>
        </is>
      </c>
      <c r="D89" s="13" t="inlineStr">
        <is>
          <t>110</t>
        </is>
      </c>
      <c r="E89" s="13" t="inlineStr">
        <is>
          <t>20</t>
        </is>
      </c>
      <c r="F89" s="13" t="inlineStr">
        <is>
          <t>1kV-XLPE-Arm-CU</t>
        </is>
      </c>
      <c r="G89" s="13" t="inlineStr">
        <is>
          <t>7x2,5</t>
        </is>
      </c>
      <c r="H89" s="13" t="inlineStr">
        <is>
          <t>ÁREA GENERADORES</t>
        </is>
      </c>
      <c r="I89" s="13" t="inlineStr">
        <is>
          <t>GUIRNALDA DE PULSADORES DE ACEITE Y REFRIGERANTE A</t>
        </is>
      </c>
      <c r="J89" s="13" t="inlineStr">
        <is>
          <t>CONTROL</t>
        </is>
      </c>
      <c r="K89" s="13" t="inlineStr">
        <is>
          <t>CPF1</t>
        </is>
      </c>
      <c r="L89" s="131" t="n">
        <v>7</v>
      </c>
      <c r="M89" s="132" t="inlineStr">
        <is>
          <t>SI</t>
        </is>
      </c>
      <c r="N89" s="133" t="n">
        <v>14</v>
      </c>
      <c r="O89" s="134" t="n">
        <v>2</v>
      </c>
      <c r="P89" s="135" t="n">
        <v>16</v>
      </c>
      <c r="Q89" s="136" t="inlineStr">
        <is>
          <t>CONTROL</t>
        </is>
      </c>
      <c r="R89" s="136" t="inlineStr">
        <is>
          <t>TABLERO/CCM</t>
        </is>
      </c>
    </row>
    <row r="90">
      <c r="A90" s="12" t="inlineStr">
        <is>
          <t>C-JB-G10-1</t>
        </is>
      </c>
      <c r="B90" s="12" t="inlineStr">
        <is>
          <t>JB-G11-1</t>
        </is>
      </c>
      <c r="C90" s="12" t="inlineStr">
        <is>
          <t>JB-G10-1</t>
        </is>
      </c>
      <c r="D90" s="12" t="inlineStr">
        <is>
          <t>110</t>
        </is>
      </c>
      <c r="E90" s="12" t="inlineStr">
        <is>
          <t>20</t>
        </is>
      </c>
      <c r="F90" s="12" t="inlineStr">
        <is>
          <t>1kV-XLPE-Arm-CU</t>
        </is>
      </c>
      <c r="G90" s="12" t="inlineStr">
        <is>
          <t>7x2,5</t>
        </is>
      </c>
      <c r="H90" s="12" t="inlineStr">
        <is>
          <t>ÁREA GENERADORES</t>
        </is>
      </c>
      <c r="I90" s="12" t="inlineStr">
        <is>
          <t>GUIRNALDA DE PULSADORES DE ACEITE Y REFRIGERANTE A</t>
        </is>
      </c>
      <c r="J90" s="12" t="inlineStr">
        <is>
          <t>CONTROL</t>
        </is>
      </c>
      <c r="K90" s="12" t="inlineStr">
        <is>
          <t>CPF1</t>
        </is>
      </c>
      <c r="L90" s="131" t="n">
        <v>7</v>
      </c>
      <c r="M90" s="132" t="inlineStr">
        <is>
          <t>SI</t>
        </is>
      </c>
      <c r="N90" s="133" t="n">
        <v>14</v>
      </c>
      <c r="O90" s="134" t="n">
        <v>2</v>
      </c>
      <c r="P90" s="135" t="n">
        <v>16</v>
      </c>
      <c r="Q90" s="136" t="inlineStr">
        <is>
          <t>CONTROL</t>
        </is>
      </c>
      <c r="R90" s="136" t="inlineStr">
        <is>
          <t>TABLERO/CCM</t>
        </is>
      </c>
    </row>
    <row r="91">
      <c r="A91" s="13" t="inlineStr">
        <is>
          <t>P-JBP-G10-1</t>
        </is>
      </c>
      <c r="B91" s="13" t="inlineStr">
        <is>
          <t>JBP-G09-1</t>
        </is>
      </c>
      <c r="C91" s="13" t="inlineStr">
        <is>
          <t>JBP-G10-1</t>
        </is>
      </c>
      <c r="D91" s="13" t="inlineStr">
        <is>
          <t>220</t>
        </is>
      </c>
      <c r="E91" s="13" t="inlineStr">
        <is>
          <t>20</t>
        </is>
      </c>
      <c r="F91" s="13" t="inlineStr">
        <is>
          <t>1kV-XLPE-Arm-CU</t>
        </is>
      </c>
      <c r="G91" s="13" t="inlineStr">
        <is>
          <t>2x4</t>
        </is>
      </c>
      <c r="H91" s="13" t="inlineStr">
        <is>
          <t>ÁREA GENERADORES</t>
        </is>
      </c>
      <c r="I91" s="13" t="inlineStr">
        <is>
          <t>RESISTENCIA CALEFACTORA TRANSFORMADOR 670-TRE-010 A</t>
        </is>
      </c>
      <c r="J91" s="13" t="inlineStr">
        <is>
          <t>POTENCIA_BT</t>
        </is>
      </c>
      <c r="K91" s="13" t="inlineStr">
        <is>
          <t>CPF1</t>
        </is>
      </c>
      <c r="L91" s="131" t="n">
        <v>2</v>
      </c>
      <c r="M91" s="132" t="inlineStr">
        <is>
          <t>SI</t>
        </is>
      </c>
      <c r="N91" s="133" t="n">
        <v>4</v>
      </c>
      <c r="O91" s="134" t="n">
        <v>2</v>
      </c>
      <c r="P91" s="135" t="n">
        <v>6</v>
      </c>
      <c r="Q91" s="136" t="inlineStr">
        <is>
          <t>POTENCIA BT MUY PEQ (&lt;10mm²)</t>
        </is>
      </c>
      <c r="R91" s="136" t="inlineStr">
        <is>
          <t>CALEFACCION/TRAZADO</t>
        </is>
      </c>
    </row>
    <row r="92">
      <c r="A92" s="12" t="inlineStr">
        <is>
          <t>P-JBP-G11-1</t>
        </is>
      </c>
      <c r="B92" s="12" t="inlineStr">
        <is>
          <t>JBP-G10-1</t>
        </is>
      </c>
      <c r="C92" s="12" t="inlineStr">
        <is>
          <t>JBP-G11-1</t>
        </is>
      </c>
      <c r="D92" s="12" t="inlineStr">
        <is>
          <t>220</t>
        </is>
      </c>
      <c r="E92" s="12" t="inlineStr">
        <is>
          <t>20</t>
        </is>
      </c>
      <c r="F92" s="12" t="inlineStr">
        <is>
          <t>1kV-XLPE-Arm-CU</t>
        </is>
      </c>
      <c r="G92" s="12" t="inlineStr">
        <is>
          <t>2x4</t>
        </is>
      </c>
      <c r="H92" s="12" t="inlineStr">
        <is>
          <t>ÁREA GENERADORES</t>
        </is>
      </c>
      <c r="I92" s="12" t="inlineStr">
        <is>
          <t>RESISTENCIA CALEFACTORA TRANSFORMADOR 670-TRE-011 A</t>
        </is>
      </c>
      <c r="J92" s="12" t="inlineStr">
        <is>
          <t>POTENCIA_BT</t>
        </is>
      </c>
      <c r="K92" s="12" t="inlineStr">
        <is>
          <t>CPF1</t>
        </is>
      </c>
      <c r="L92" s="131" t="n">
        <v>2</v>
      </c>
      <c r="M92" s="132" t="inlineStr">
        <is>
          <t>SI</t>
        </is>
      </c>
      <c r="N92" s="133" t="n">
        <v>4</v>
      </c>
      <c r="O92" s="134" t="n">
        <v>2</v>
      </c>
      <c r="P92" s="135" t="n">
        <v>6</v>
      </c>
      <c r="Q92" s="136" t="inlineStr">
        <is>
          <t>POTENCIA BT MUY PEQ (&lt;10mm²)</t>
        </is>
      </c>
      <c r="R92" s="136" t="inlineStr">
        <is>
          <t>CALEFACCION/TRAZADO</t>
        </is>
      </c>
    </row>
    <row r="93">
      <c r="A93" s="13" t="inlineStr">
        <is>
          <t>C-JB-670-TRE-010</t>
        </is>
      </c>
      <c r="B93" s="13" t="inlineStr">
        <is>
          <t>TCA10-GE-10</t>
        </is>
      </c>
      <c r="C93" s="13" t="inlineStr">
        <is>
          <t>JB-670-TRE-010</t>
        </is>
      </c>
      <c r="D93" s="13" t="inlineStr">
        <is>
          <t>110</t>
        </is>
      </c>
      <c r="E93" s="13" t="inlineStr">
        <is>
          <t>15</t>
        </is>
      </c>
      <c r="F93" s="13" t="inlineStr">
        <is>
          <t>1kV-XLPE-Arm-CU</t>
        </is>
      </c>
      <c r="G93" s="13" t="inlineStr">
        <is>
          <t>2x2,5</t>
        </is>
      </c>
      <c r="H93" s="13" t="inlineStr">
        <is>
          <t>ÁREA GENERADORES</t>
        </is>
      </c>
      <c r="I93" s="13" t="inlineStr">
        <is>
          <t>CAJA DE CONTROL 670-TRE-010 (PROTECC. DE TRANSF.\ A</t>
        </is>
      </c>
      <c r="J93" s="13" t="inlineStr">
        <is>
          <t>CONTROL</t>
        </is>
      </c>
      <c r="K93" s="13" t="inlineStr">
        <is>
          <t>CPF1</t>
        </is>
      </c>
      <c r="L93" s="131" t="n">
        <v>2</v>
      </c>
      <c r="M93" s="132" t="inlineStr">
        <is>
          <t>SI</t>
        </is>
      </c>
      <c r="N93" s="133" t="n">
        <v>4</v>
      </c>
      <c r="O93" s="134" t="n">
        <v>2</v>
      </c>
      <c r="P93" s="135" t="n">
        <v>6</v>
      </c>
      <c r="Q93" s="136" t="inlineStr">
        <is>
          <t>CONTROL</t>
        </is>
      </c>
      <c r="R93" s="136" t="inlineStr">
        <is>
          <t>CONTROL</t>
        </is>
      </c>
    </row>
    <row r="94">
      <c r="A94" s="12" t="inlineStr">
        <is>
          <t>C-JB-670-TRE-011</t>
        </is>
      </c>
      <c r="B94" s="12" t="inlineStr">
        <is>
          <t>TCA11-GE-11</t>
        </is>
      </c>
      <c r="C94" s="12" t="inlineStr">
        <is>
          <t>JB-670-TRE-011</t>
        </is>
      </c>
      <c r="D94" s="12" t="inlineStr">
        <is>
          <t>110</t>
        </is>
      </c>
      <c r="E94" s="12" t="inlineStr">
        <is>
          <t>15</t>
        </is>
      </c>
      <c r="F94" s="12" t="inlineStr">
        <is>
          <t>1kV-XLPE-Arm-CU</t>
        </is>
      </c>
      <c r="G94" s="12" t="inlineStr">
        <is>
          <t>2x2,5</t>
        </is>
      </c>
      <c r="H94" s="12" t="inlineStr">
        <is>
          <t>ÁREA GENERADORES</t>
        </is>
      </c>
      <c r="I94" s="12" t="inlineStr">
        <is>
          <t>CAJA DE CONTROL 670-TRE-011 (PROTECC. DE TRANSF.\ A</t>
        </is>
      </c>
      <c r="J94" s="12" t="inlineStr">
        <is>
          <t>CONTROL</t>
        </is>
      </c>
      <c r="K94" s="12" t="inlineStr">
        <is>
          <t>CPF1</t>
        </is>
      </c>
      <c r="L94" s="131" t="n">
        <v>2</v>
      </c>
      <c r="M94" s="132" t="inlineStr">
        <is>
          <t>SI</t>
        </is>
      </c>
      <c r="N94" s="133" t="n">
        <v>4</v>
      </c>
      <c r="O94" s="134" t="n">
        <v>2</v>
      </c>
      <c r="P94" s="135" t="n">
        <v>6</v>
      </c>
      <c r="Q94" s="136" t="inlineStr">
        <is>
          <t>CONTROL</t>
        </is>
      </c>
      <c r="R94" s="136" t="inlineStr">
        <is>
          <t>CONTROL</t>
        </is>
      </c>
    </row>
    <row r="95">
      <c r="A95" s="13" t="inlineStr">
        <is>
          <t>C-JB-G10-2</t>
        </is>
      </c>
      <c r="B95" s="13" t="inlineStr">
        <is>
          <t>TCA10-GE-10</t>
        </is>
      </c>
      <c r="C95" s="13" t="inlineStr">
        <is>
          <t>JB-G10-1</t>
        </is>
      </c>
      <c r="D95" s="13" t="inlineStr">
        <is>
          <t>110</t>
        </is>
      </c>
      <c r="E95" s="13" t="inlineStr">
        <is>
          <t>15</t>
        </is>
      </c>
      <c r="F95" s="13" t="inlineStr">
        <is>
          <t>1kV-XLPE-Arm-CU</t>
        </is>
      </c>
      <c r="G95" s="13" t="inlineStr">
        <is>
          <t>3x2,5</t>
        </is>
      </c>
      <c r="H95" s="13" t="inlineStr">
        <is>
          <t>ÁREA GENERADORES</t>
        </is>
      </c>
      <c r="I95" s="13" t="inlineStr">
        <is>
          <t>TABLERO DE CONTROL A10 A</t>
        </is>
      </c>
      <c r="J95" s="13" t="inlineStr">
        <is>
          <t>CONTROL</t>
        </is>
      </c>
      <c r="K95" s="13" t="inlineStr">
        <is>
          <t>CPF1</t>
        </is>
      </c>
      <c r="L95" s="131" t="n">
        <v>3</v>
      </c>
      <c r="M95" s="132" t="inlineStr">
        <is>
          <t>SI</t>
        </is>
      </c>
      <c r="N95" s="133" t="n">
        <v>6</v>
      </c>
      <c r="O95" s="134" t="n">
        <v>2</v>
      </c>
      <c r="P95" s="135" t="n">
        <v>8</v>
      </c>
      <c r="Q95" s="136" t="inlineStr">
        <is>
          <t>CONTROL</t>
        </is>
      </c>
      <c r="R95" s="136" t="inlineStr">
        <is>
          <t>TABLERO/CCM</t>
        </is>
      </c>
    </row>
    <row r="96">
      <c r="A96" s="12" t="inlineStr">
        <is>
          <t>C-JB-G10-3</t>
        </is>
      </c>
      <c r="B96" s="12" t="inlineStr">
        <is>
          <t>TPL10-GE-10</t>
        </is>
      </c>
      <c r="C96" s="12" t="inlineStr">
        <is>
          <t>JB-G10-1</t>
        </is>
      </c>
      <c r="D96" s="12" t="inlineStr">
        <is>
          <t>110</t>
        </is>
      </c>
      <c r="E96" s="12" t="inlineStr">
        <is>
          <t>15</t>
        </is>
      </c>
      <c r="F96" s="12" t="inlineStr">
        <is>
          <t>1kV-XLPE-Arm-CU</t>
        </is>
      </c>
      <c r="G96" s="12" t="inlineStr">
        <is>
          <t>3x2,5</t>
        </is>
      </c>
      <c r="H96" s="12" t="inlineStr">
        <is>
          <t>ÁREA GENERADORES</t>
        </is>
      </c>
      <c r="I96" s="12" t="inlineStr">
        <is>
          <t>TABLERO DE POTENCIA L10 A</t>
        </is>
      </c>
      <c r="J96" s="12" t="inlineStr">
        <is>
          <t>CONTROL</t>
        </is>
      </c>
      <c r="K96" s="12" t="inlineStr">
        <is>
          <t>CPF1</t>
        </is>
      </c>
      <c r="L96" s="131" t="n">
        <v>3</v>
      </c>
      <c r="M96" s="132" t="inlineStr">
        <is>
          <t>SI</t>
        </is>
      </c>
      <c r="N96" s="133" t="n">
        <v>6</v>
      </c>
      <c r="O96" s="134" t="n">
        <v>2</v>
      </c>
      <c r="P96" s="135" t="n">
        <v>8</v>
      </c>
      <c r="Q96" s="136" t="inlineStr">
        <is>
          <t>CONTROL</t>
        </is>
      </c>
      <c r="R96" s="136" t="inlineStr">
        <is>
          <t>TABLERO/CCM</t>
        </is>
      </c>
    </row>
    <row r="97">
      <c r="A97" s="13" t="inlineStr">
        <is>
          <t>C-JB-G10-4</t>
        </is>
      </c>
      <c r="B97" s="13" t="inlineStr">
        <is>
          <t>JB-670-TRE-010</t>
        </is>
      </c>
      <c r="C97" s="13" t="inlineStr">
        <is>
          <t>JB-G10-1</t>
        </is>
      </c>
      <c r="D97" s="13" t="inlineStr">
        <is>
          <t>110</t>
        </is>
      </c>
      <c r="E97" s="13" t="inlineStr">
        <is>
          <t>15</t>
        </is>
      </c>
      <c r="F97" s="13" t="inlineStr">
        <is>
          <t>1kV-XLPE-Arm-CU</t>
        </is>
      </c>
      <c r="G97" s="13" t="inlineStr">
        <is>
          <t>2x2,5</t>
        </is>
      </c>
      <c r="H97" s="13" t="inlineStr">
        <is>
          <t>ÁREA GENERADORES</t>
        </is>
      </c>
      <c r="I97" s="13" t="inlineStr">
        <is>
          <t>FALLA DE TRANSFORMADOR (HOJA 25\ A</t>
        </is>
      </c>
      <c r="J97" s="13" t="inlineStr">
        <is>
          <t>CONTROL</t>
        </is>
      </c>
      <c r="K97" s="13" t="inlineStr">
        <is>
          <t>CPF1</t>
        </is>
      </c>
      <c r="L97" s="131" t="n">
        <v>2</v>
      </c>
      <c r="M97" s="132" t="inlineStr">
        <is>
          <t>SI</t>
        </is>
      </c>
      <c r="N97" s="133" t="n">
        <v>4</v>
      </c>
      <c r="O97" s="134" t="n">
        <v>2</v>
      </c>
      <c r="P97" s="135" t="n">
        <v>6</v>
      </c>
      <c r="Q97" s="136" t="inlineStr">
        <is>
          <t>CONTROL</t>
        </is>
      </c>
      <c r="R97" s="136" t="inlineStr">
        <is>
          <t>SEÑAL/FO</t>
        </is>
      </c>
    </row>
    <row r="98">
      <c r="A98" s="12" t="inlineStr">
        <is>
          <t>C-JB-G11-2</t>
        </is>
      </c>
      <c r="B98" s="12" t="inlineStr">
        <is>
          <t>TCA11-GE-11</t>
        </is>
      </c>
      <c r="C98" s="12" t="inlineStr">
        <is>
          <t>JB-G11-1</t>
        </is>
      </c>
      <c r="D98" s="12" t="inlineStr">
        <is>
          <t>110</t>
        </is>
      </c>
      <c r="E98" s="12" t="inlineStr">
        <is>
          <t>15</t>
        </is>
      </c>
      <c r="F98" s="12" t="inlineStr">
        <is>
          <t>1kV-XLPE-Arm-CU</t>
        </is>
      </c>
      <c r="G98" s="12" t="inlineStr">
        <is>
          <t>3x2,5</t>
        </is>
      </c>
      <c r="H98" s="12" t="inlineStr">
        <is>
          <t>ÁREA GENERADORES</t>
        </is>
      </c>
      <c r="I98" s="12" t="inlineStr">
        <is>
          <t>TABLERO DE CONTROL A10 A</t>
        </is>
      </c>
      <c r="J98" s="12" t="inlineStr">
        <is>
          <t>CONTROL</t>
        </is>
      </c>
      <c r="K98" s="12" t="inlineStr">
        <is>
          <t>CPF1</t>
        </is>
      </c>
      <c r="L98" s="131" t="n">
        <v>3</v>
      </c>
      <c r="M98" s="132" t="inlineStr">
        <is>
          <t>SI</t>
        </is>
      </c>
      <c r="N98" s="133" t="n">
        <v>6</v>
      </c>
      <c r="O98" s="134" t="n">
        <v>2</v>
      </c>
      <c r="P98" s="135" t="n">
        <v>8</v>
      </c>
      <c r="Q98" s="136" t="inlineStr">
        <is>
          <t>CONTROL</t>
        </is>
      </c>
      <c r="R98" s="136" t="inlineStr">
        <is>
          <t>TABLERO/CCM</t>
        </is>
      </c>
    </row>
    <row r="99">
      <c r="A99" s="13" t="inlineStr">
        <is>
          <t>C-JB-G11-3</t>
        </is>
      </c>
      <c r="B99" s="13" t="inlineStr">
        <is>
          <t>TPL11-GE-11</t>
        </is>
      </c>
      <c r="C99" s="13" t="inlineStr">
        <is>
          <t>JB-G11-1</t>
        </is>
      </c>
      <c r="D99" s="13" t="inlineStr">
        <is>
          <t>110</t>
        </is>
      </c>
      <c r="E99" s="13" t="inlineStr">
        <is>
          <t>15</t>
        </is>
      </c>
      <c r="F99" s="13" t="inlineStr">
        <is>
          <t>1kV-XLPE-Arm-CU</t>
        </is>
      </c>
      <c r="G99" s="13" t="inlineStr">
        <is>
          <t>3x2,5</t>
        </is>
      </c>
      <c r="H99" s="13" t="inlineStr">
        <is>
          <t>ÁREA GENERADORES</t>
        </is>
      </c>
      <c r="I99" s="13" t="inlineStr">
        <is>
          <t>TABLERO DE POTENCIA L10 A</t>
        </is>
      </c>
      <c r="J99" s="13" t="inlineStr">
        <is>
          <t>CONTROL</t>
        </is>
      </c>
      <c r="K99" s="13" t="inlineStr">
        <is>
          <t>CPF1</t>
        </is>
      </c>
      <c r="L99" s="131" t="n">
        <v>3</v>
      </c>
      <c r="M99" s="132" t="inlineStr">
        <is>
          <t>SI</t>
        </is>
      </c>
      <c r="N99" s="133" t="n">
        <v>6</v>
      </c>
      <c r="O99" s="134" t="n">
        <v>2</v>
      </c>
      <c r="P99" s="135" t="n">
        <v>8</v>
      </c>
      <c r="Q99" s="136" t="inlineStr">
        <is>
          <t>CONTROL</t>
        </is>
      </c>
      <c r="R99" s="136" t="inlineStr">
        <is>
          <t>TABLERO/CCM</t>
        </is>
      </c>
    </row>
    <row r="100">
      <c r="A100" s="12" t="inlineStr">
        <is>
          <t>C-JB-G11-4</t>
        </is>
      </c>
      <c r="B100" s="12" t="inlineStr">
        <is>
          <t>JB-670-TRE-011</t>
        </is>
      </c>
      <c r="C100" s="12" t="inlineStr">
        <is>
          <t>JB-G11-1</t>
        </is>
      </c>
      <c r="D100" s="12" t="inlineStr">
        <is>
          <t>110</t>
        </is>
      </c>
      <c r="E100" s="12" t="inlineStr">
        <is>
          <t>15</t>
        </is>
      </c>
      <c r="F100" s="12" t="inlineStr">
        <is>
          <t>1kV-XLPE-Arm-CU</t>
        </is>
      </c>
      <c r="G100" s="12" t="inlineStr">
        <is>
          <t>2x2,5</t>
        </is>
      </c>
      <c r="H100" s="12" t="inlineStr">
        <is>
          <t>ÁREA GENERADORES</t>
        </is>
      </c>
      <c r="I100" s="12" t="inlineStr">
        <is>
          <t>FALLA DE TRANSFORMADOR (HOJA 25\ A</t>
        </is>
      </c>
      <c r="J100" s="12" t="inlineStr">
        <is>
          <t>CONTROL</t>
        </is>
      </c>
      <c r="K100" s="12" t="inlineStr">
        <is>
          <t>CPF1</t>
        </is>
      </c>
      <c r="L100" s="131" t="n">
        <v>2</v>
      </c>
      <c r="M100" s="132" t="inlineStr">
        <is>
          <t>SI</t>
        </is>
      </c>
      <c r="N100" s="133" t="n">
        <v>4</v>
      </c>
      <c r="O100" s="134" t="n">
        <v>2</v>
      </c>
      <c r="P100" s="135" t="n">
        <v>6</v>
      </c>
      <c r="Q100" s="136" t="inlineStr">
        <is>
          <t>CONTROL</t>
        </is>
      </c>
      <c r="R100" s="136" t="inlineStr">
        <is>
          <t>SEÑAL/FO</t>
        </is>
      </c>
    </row>
    <row r="101">
      <c r="A101" s="13" t="inlineStr">
        <is>
          <t>C-PMS-GE10-1</t>
        </is>
      </c>
      <c r="B101" s="13" t="inlineStr">
        <is>
          <t>TCA10-GE-10</t>
        </is>
      </c>
      <c r="C101" s="13" t="inlineStr">
        <is>
          <t>TPMS-01</t>
        </is>
      </c>
      <c r="D101" s="13" t="inlineStr">
        <is>
          <t>110</t>
        </is>
      </c>
      <c r="E101" s="13" t="inlineStr">
        <is>
          <t>50</t>
        </is>
      </c>
      <c r="F101" s="13" t="inlineStr">
        <is>
          <t>1kV-XLPE-Arm-CU</t>
        </is>
      </c>
      <c r="G101" s="13" t="inlineStr">
        <is>
          <t>2x2,5</t>
        </is>
      </c>
      <c r="H101" s="13" t="inlineStr">
        <is>
          <t>ÁREA GENERADORES</t>
        </is>
      </c>
      <c r="I101" s="13" t="inlineStr">
        <is>
          <t>ESTADO DE INTERRUPTOR (TABLERO PMS\ A</t>
        </is>
      </c>
      <c r="J101" s="13" t="inlineStr">
        <is>
          <t>CONTROL</t>
        </is>
      </c>
      <c r="K101" s="13" t="inlineStr">
        <is>
          <t>CPF1</t>
        </is>
      </c>
      <c r="L101" s="131" t="n">
        <v>2</v>
      </c>
      <c r="M101" s="132" t="inlineStr">
        <is>
          <t>SI</t>
        </is>
      </c>
      <c r="N101" s="133" t="n">
        <v>4</v>
      </c>
      <c r="O101" s="134" t="n">
        <v>2</v>
      </c>
      <c r="P101" s="135" t="n">
        <v>6</v>
      </c>
      <c r="Q101" s="136" t="inlineStr">
        <is>
          <t>CONTROL</t>
        </is>
      </c>
      <c r="R101" s="136" t="inlineStr">
        <is>
          <t>TABLERO/CCM</t>
        </is>
      </c>
    </row>
    <row r="102">
      <c r="A102" s="12" t="inlineStr">
        <is>
          <t>C-PMS-GE10-2</t>
        </is>
      </c>
      <c r="B102" s="12" t="inlineStr">
        <is>
          <t>TCA10-GE-10</t>
        </is>
      </c>
      <c r="C102" s="12" t="inlineStr">
        <is>
          <t>TPMS-01</t>
        </is>
      </c>
      <c r="D102" s="12" t="inlineStr">
        <is>
          <t>110</t>
        </is>
      </c>
      <c r="E102" s="12" t="inlineStr">
        <is>
          <t>50</t>
        </is>
      </c>
      <c r="F102" s="12" t="inlineStr">
        <is>
          <t>1kV-XLPE-Arm-CU</t>
        </is>
      </c>
      <c r="G102" s="12" t="inlineStr">
        <is>
          <t>3x2,5</t>
        </is>
      </c>
      <c r="H102" s="12" t="inlineStr">
        <is>
          <t>ÁREA GENERADORES</t>
        </is>
      </c>
      <c r="I102" s="12" t="inlineStr">
        <is>
          <t>ESTADO DE GENERADOR (TABLERO PMS\ A</t>
        </is>
      </c>
      <c r="J102" s="12" t="inlineStr">
        <is>
          <t>CONTROL</t>
        </is>
      </c>
      <c r="K102" s="12" t="inlineStr">
        <is>
          <t>CPF1</t>
        </is>
      </c>
      <c r="L102" s="131" t="n">
        <v>3</v>
      </c>
      <c r="M102" s="132" t="inlineStr">
        <is>
          <t>SI</t>
        </is>
      </c>
      <c r="N102" s="133" t="n">
        <v>6</v>
      </c>
      <c r="O102" s="134" t="n">
        <v>2</v>
      </c>
      <c r="P102" s="135" t="n">
        <v>8</v>
      </c>
      <c r="Q102" s="136" t="inlineStr">
        <is>
          <t>CONTROL</t>
        </is>
      </c>
      <c r="R102" s="136" t="inlineStr">
        <is>
          <t>TABLERO/CCM</t>
        </is>
      </c>
    </row>
    <row r="103">
      <c r="A103" s="13" t="inlineStr">
        <is>
          <t>C-PMS-GE11-1</t>
        </is>
      </c>
      <c r="B103" s="13" t="inlineStr">
        <is>
          <t>TCA11-GE-11</t>
        </is>
      </c>
      <c r="C103" s="13" t="inlineStr">
        <is>
          <t>TPMS-01</t>
        </is>
      </c>
      <c r="D103" s="13" t="inlineStr">
        <is>
          <t>110</t>
        </is>
      </c>
      <c r="E103" s="13" t="inlineStr">
        <is>
          <t>50</t>
        </is>
      </c>
      <c r="F103" s="13" t="inlineStr">
        <is>
          <t>1kV-XLPE-Arm-CU</t>
        </is>
      </c>
      <c r="G103" s="13" t="inlineStr">
        <is>
          <t>2x2,5</t>
        </is>
      </c>
      <c r="H103" s="13" t="inlineStr">
        <is>
          <t>ÁREA GENERADORES</t>
        </is>
      </c>
      <c r="I103" s="13" t="inlineStr">
        <is>
          <t>ESTADO DE INTERRUPTOR (TABLERO PMS\ A</t>
        </is>
      </c>
      <c r="J103" s="13" t="inlineStr">
        <is>
          <t>CONTROL</t>
        </is>
      </c>
      <c r="K103" s="13" t="inlineStr">
        <is>
          <t>CPF1</t>
        </is>
      </c>
      <c r="L103" s="131" t="n">
        <v>2</v>
      </c>
      <c r="M103" s="132" t="inlineStr">
        <is>
          <t>SI</t>
        </is>
      </c>
      <c r="N103" s="133" t="n">
        <v>4</v>
      </c>
      <c r="O103" s="134" t="n">
        <v>2</v>
      </c>
      <c r="P103" s="135" t="n">
        <v>6</v>
      </c>
      <c r="Q103" s="136" t="inlineStr">
        <is>
          <t>CONTROL</t>
        </is>
      </c>
      <c r="R103" s="136" t="inlineStr">
        <is>
          <t>TABLERO/CCM</t>
        </is>
      </c>
    </row>
    <row r="104">
      <c r="A104" s="12" t="inlineStr">
        <is>
          <t>C-PMS-GE11-2</t>
        </is>
      </c>
      <c r="B104" s="12" t="inlineStr">
        <is>
          <t>TCA11-GE-11</t>
        </is>
      </c>
      <c r="C104" s="12" t="inlineStr">
        <is>
          <t>TPMS-01</t>
        </is>
      </c>
      <c r="D104" s="12" t="inlineStr">
        <is>
          <t>110</t>
        </is>
      </c>
      <c r="E104" s="12" t="inlineStr">
        <is>
          <t>50</t>
        </is>
      </c>
      <c r="F104" s="12" t="inlineStr">
        <is>
          <t>1kV-XLPE-Arm-CU</t>
        </is>
      </c>
      <c r="G104" s="12" t="inlineStr">
        <is>
          <t>3x2,5</t>
        </is>
      </c>
      <c r="H104" s="12" t="inlineStr">
        <is>
          <t>ÁREA GENERADORES</t>
        </is>
      </c>
      <c r="I104" s="12" t="inlineStr">
        <is>
          <t>ESTADO DE GENERADOR (TABLERO PMS\ A</t>
        </is>
      </c>
      <c r="J104" s="12" t="inlineStr">
        <is>
          <t>CONTROL</t>
        </is>
      </c>
      <c r="K104" s="12" t="inlineStr">
        <is>
          <t>CPF1</t>
        </is>
      </c>
      <c r="L104" s="131" t="n">
        <v>3</v>
      </c>
      <c r="M104" s="132" t="inlineStr">
        <is>
          <t>SI</t>
        </is>
      </c>
      <c r="N104" s="133" t="n">
        <v>6</v>
      </c>
      <c r="O104" s="134" t="n">
        <v>2</v>
      </c>
      <c r="P104" s="135" t="n">
        <v>8</v>
      </c>
      <c r="Q104" s="136" t="inlineStr">
        <is>
          <t>CONTROL</t>
        </is>
      </c>
      <c r="R104" s="136" t="inlineStr">
        <is>
          <t>TABLERO/CCM</t>
        </is>
      </c>
    </row>
    <row r="105">
      <c r="A105" s="13" t="inlineStr">
        <is>
          <t>MC-PMS-TCA10-GE-10</t>
        </is>
      </c>
      <c r="B105" s="13" t="inlineStr">
        <is>
          <t>TCA9-GE-09</t>
        </is>
      </c>
      <c r="C105" s="13" t="inlineStr">
        <is>
          <t>TCA10-GE-10</t>
        </is>
      </c>
      <c r="D105" s="13" t="inlineStr">
        <is>
          <t>-</t>
        </is>
      </c>
      <c r="E105" s="13" t="inlineStr">
        <is>
          <t>15</t>
        </is>
      </c>
      <c r="F105" s="13" t="inlineStr">
        <is>
          <t>300 V - Arm - BG</t>
        </is>
      </c>
      <c r="G105" s="13" t="inlineStr">
        <is>
          <t>1x2x0,5</t>
        </is>
      </c>
      <c r="H105" s="13" t="inlineStr">
        <is>
          <t>ÁREA GENERADORES</t>
        </is>
      </c>
      <c r="I105" s="13" t="inlineStr">
        <is>
          <t>A</t>
        </is>
      </c>
      <c r="J105" s="13" t="inlineStr">
        <is>
          <t>SEÑAL</t>
        </is>
      </c>
      <c r="K105" s="13" t="inlineStr">
        <is>
          <t>CPF1</t>
        </is>
      </c>
      <c r="L105" s="131" t="n">
        <v>2</v>
      </c>
      <c r="M105" s="132" t="inlineStr">
        <is>
          <t>SI</t>
        </is>
      </c>
      <c r="N105" s="133" t="n">
        <v>4</v>
      </c>
      <c r="O105" s="134" t="n">
        <v>2</v>
      </c>
      <c r="P105" s="135" t="n">
        <v>6</v>
      </c>
      <c r="Q105" s="136" t="inlineStr">
        <is>
          <t>SEÑAL / INSTRUMENTO</t>
        </is>
      </c>
      <c r="R105" s="136" t="inlineStr">
        <is>
          <t>TABLERO/CCM</t>
        </is>
      </c>
    </row>
    <row r="106">
      <c r="A106" s="12" t="inlineStr">
        <is>
          <t>MC-PMS-TCA11-GE-11</t>
        </is>
      </c>
      <c r="B106" s="12" t="inlineStr">
        <is>
          <t>TCA10-GE-10</t>
        </is>
      </c>
      <c r="C106" s="12" t="inlineStr">
        <is>
          <t>TCA11-GE-11</t>
        </is>
      </c>
      <c r="D106" s="12" t="inlineStr">
        <is>
          <t>-</t>
        </is>
      </c>
      <c r="E106" s="12" t="inlineStr">
        <is>
          <t>15</t>
        </is>
      </c>
      <c r="F106" s="12" t="inlineStr">
        <is>
          <t>300 V - Arm - BG</t>
        </is>
      </c>
      <c r="G106" s="12" t="inlineStr">
        <is>
          <t>1x2x0,5</t>
        </is>
      </c>
      <c r="H106" s="12" t="inlineStr">
        <is>
          <t>ÁREA GENERADORES</t>
        </is>
      </c>
      <c r="I106" s="12" t="inlineStr">
        <is>
          <t>0</t>
        </is>
      </c>
      <c r="J106" s="12" t="inlineStr">
        <is>
          <t>SEÑAL</t>
        </is>
      </c>
      <c r="K106" s="12" t="inlineStr">
        <is>
          <t>CPF1</t>
        </is>
      </c>
      <c r="L106" s="131" t="n">
        <v>2</v>
      </c>
      <c r="M106" s="132" t="inlineStr">
        <is>
          <t>SI</t>
        </is>
      </c>
      <c r="N106" s="133" t="n">
        <v>4</v>
      </c>
      <c r="O106" s="134" t="n">
        <v>2</v>
      </c>
      <c r="P106" s="135" t="n">
        <v>6</v>
      </c>
      <c r="Q106" s="136" t="inlineStr">
        <is>
          <t>SEÑAL / INSTRUMENTO</t>
        </is>
      </c>
      <c r="R106" s="136" t="inlineStr">
        <is>
          <t>TABLERO/CCM</t>
        </is>
      </c>
    </row>
    <row r="107">
      <c r="A107" s="13" t="inlineStr">
        <is>
          <t>C-670-REC-010</t>
        </is>
      </c>
      <c r="B107" s="13" t="inlineStr">
        <is>
          <t>670-TRE-010</t>
        </is>
      </c>
      <c r="C107" s="13" t="inlineStr">
        <is>
          <t>670-REC-010</t>
        </is>
      </c>
      <c r="D107" s="13" t="inlineStr">
        <is>
          <t>110</t>
        </is>
      </c>
      <c r="E107" s="13" t="inlineStr">
        <is>
          <t>15</t>
        </is>
      </c>
      <c r="F107" s="13" t="inlineStr">
        <is>
          <t>1kV-XLPE-Arm-CU</t>
        </is>
      </c>
      <c r="G107" s="13" t="inlineStr">
        <is>
          <t>7x2,5</t>
        </is>
      </c>
      <c r="H107" s="13" t="inlineStr">
        <is>
          <t>ÁREA GENERADORES</t>
        </is>
      </c>
      <c r="I107" s="13" t="inlineStr"/>
      <c r="J107" s="13" t="inlineStr">
        <is>
          <t>CONTROL</t>
        </is>
      </c>
      <c r="K107" s="13" t="inlineStr">
        <is>
          <t>CPF1</t>
        </is>
      </c>
      <c r="L107" s="131" t="n">
        <v>7</v>
      </c>
      <c r="M107" s="132" t="inlineStr">
        <is>
          <t>SI</t>
        </is>
      </c>
      <c r="N107" s="133" t="n">
        <v>14</v>
      </c>
      <c r="O107" s="134" t="n">
        <v>2</v>
      </c>
      <c r="P107" s="135" t="n">
        <v>16</v>
      </c>
      <c r="Q107" s="136" t="inlineStr">
        <is>
          <t>CONTROL</t>
        </is>
      </c>
      <c r="R107" s="136" t="inlineStr">
        <is>
          <t>TABLERO/CCM</t>
        </is>
      </c>
    </row>
    <row r="108">
      <c r="A108" s="12" t="inlineStr">
        <is>
          <t>C-670-REC-011</t>
        </is>
      </c>
      <c r="B108" s="12" t="inlineStr">
        <is>
          <t>670-TRE-011</t>
        </is>
      </c>
      <c r="C108" s="12" t="inlineStr">
        <is>
          <t>670-REC-011</t>
        </is>
      </c>
      <c r="D108" s="12" t="inlineStr">
        <is>
          <t>110</t>
        </is>
      </c>
      <c r="E108" s="12" t="inlineStr">
        <is>
          <t>15</t>
        </is>
      </c>
      <c r="F108" s="12" t="inlineStr">
        <is>
          <t>1kV-XLPE-Arm-CU</t>
        </is>
      </c>
      <c r="G108" s="12" t="inlineStr">
        <is>
          <t>7x2,5</t>
        </is>
      </c>
      <c r="H108" s="12" t="inlineStr">
        <is>
          <t>SEÑALES</t>
        </is>
      </c>
      <c r="I108" s="12" t="inlineStr"/>
      <c r="J108" s="12" t="inlineStr">
        <is>
          <t>CONTROL</t>
        </is>
      </c>
      <c r="K108" s="12" t="inlineStr">
        <is>
          <t>CPF1</t>
        </is>
      </c>
      <c r="L108" s="131" t="n">
        <v>7</v>
      </c>
      <c r="M108" s="132" t="inlineStr">
        <is>
          <t>SI</t>
        </is>
      </c>
      <c r="N108" s="133" t="n">
        <v>14</v>
      </c>
      <c r="O108" s="134" t="n">
        <v>2</v>
      </c>
      <c r="P108" s="135" t="n">
        <v>16</v>
      </c>
      <c r="Q108" s="136" t="inlineStr">
        <is>
          <t>CONTROL</t>
        </is>
      </c>
      <c r="R108" s="136" t="inlineStr">
        <is>
          <t>OTROS/VERIFICAR</t>
        </is>
      </c>
    </row>
    <row r="109">
      <c r="A109" s="13" t="inlineStr">
        <is>
          <t>C-670-SOM-010</t>
        </is>
      </c>
      <c r="B109" s="13" t="inlineStr">
        <is>
          <t>670-SOM-010</t>
        </is>
      </c>
      <c r="C109" s="13" t="inlineStr">
        <is>
          <t>670-SOM-010</t>
        </is>
      </c>
      <c r="D109" s="13" t="inlineStr">
        <is>
          <t>110</t>
        </is>
      </c>
      <c r="E109" s="13" t="inlineStr">
        <is>
          <t>15</t>
        </is>
      </c>
      <c r="F109" s="13" t="inlineStr">
        <is>
          <t>1kV-XLPE-Arm-CU</t>
        </is>
      </c>
      <c r="G109" s="13" t="inlineStr">
        <is>
          <t>7x2,5</t>
        </is>
      </c>
      <c r="H109" s="13" t="inlineStr">
        <is>
          <t>SEÑALES</t>
        </is>
      </c>
      <c r="I109" s="13" t="inlineStr"/>
      <c r="J109" s="13" t="inlineStr">
        <is>
          <t>CONTROL</t>
        </is>
      </c>
      <c r="K109" s="13" t="inlineStr">
        <is>
          <t>CPF1</t>
        </is>
      </c>
      <c r="L109" s="131" t="n">
        <v>7</v>
      </c>
      <c r="M109" s="132" t="inlineStr">
        <is>
          <t>SI</t>
        </is>
      </c>
      <c r="N109" s="133" t="n">
        <v>14</v>
      </c>
      <c r="O109" s="134" t="n">
        <v>2</v>
      </c>
      <c r="P109" s="135" t="n">
        <v>16</v>
      </c>
      <c r="Q109" s="136" t="inlineStr">
        <is>
          <t>CONTROL</t>
        </is>
      </c>
      <c r="R109" s="136" t="inlineStr">
        <is>
          <t>OTROS/VERIFICAR</t>
        </is>
      </c>
    </row>
    <row r="110">
      <c r="A110" s="12" t="inlineStr">
        <is>
          <t>C-670-SOM-011</t>
        </is>
      </c>
      <c r="B110" s="12" t="inlineStr">
        <is>
          <t>670-SOM-011</t>
        </is>
      </c>
      <c r="C110" s="12" t="inlineStr">
        <is>
          <t>670-SOM-011</t>
        </is>
      </c>
      <c r="D110" s="12" t="inlineStr">
        <is>
          <t>110</t>
        </is>
      </c>
      <c r="E110" s="12" t="inlineStr">
        <is>
          <t>15</t>
        </is>
      </c>
      <c r="F110" s="12" t="inlineStr">
        <is>
          <t>1kV-XLPE-Arm-CU</t>
        </is>
      </c>
      <c r="G110" s="12" t="inlineStr">
        <is>
          <t>7x2,5</t>
        </is>
      </c>
      <c r="H110" s="12" t="inlineStr">
        <is>
          <t>SEÑALES</t>
        </is>
      </c>
      <c r="I110" s="12" t="inlineStr"/>
      <c r="J110" s="12" t="inlineStr">
        <is>
          <t>CONTROL</t>
        </is>
      </c>
      <c r="K110" s="12" t="inlineStr">
        <is>
          <t>CPF1</t>
        </is>
      </c>
      <c r="L110" s="131" t="n">
        <v>7</v>
      </c>
      <c r="M110" s="132" t="inlineStr">
        <is>
          <t>SI</t>
        </is>
      </c>
      <c r="N110" s="133" t="n">
        <v>14</v>
      </c>
      <c r="O110" s="134" t="n">
        <v>2</v>
      </c>
      <c r="P110" s="135" t="n">
        <v>16</v>
      </c>
      <c r="Q110" s="136" t="inlineStr">
        <is>
          <t>CONTROL</t>
        </is>
      </c>
      <c r="R110" s="136" t="inlineStr">
        <is>
          <t>OTROS/VERIFICAR</t>
        </is>
      </c>
    </row>
    <row r="111">
      <c r="A111" s="13" t="inlineStr">
        <is>
          <t>C-TCA10-GE-10 - TRIP</t>
        </is>
      </c>
      <c r="B111" s="13" t="inlineStr">
        <is>
          <t>670-REC-010</t>
        </is>
      </c>
      <c r="C111" s="13" t="inlineStr">
        <is>
          <t>TCA10-GE-10</t>
        </is>
      </c>
      <c r="D111" s="13" t="inlineStr">
        <is>
          <t>110</t>
        </is>
      </c>
      <c r="E111" s="13" t="inlineStr">
        <is>
          <t>20</t>
        </is>
      </c>
      <c r="F111" s="13" t="inlineStr">
        <is>
          <t>1kV-XLPE-Arm-CU</t>
        </is>
      </c>
      <c r="G111" s="13" t="inlineStr">
        <is>
          <t>2x2,5</t>
        </is>
      </c>
      <c r="H111" s="13" t="inlineStr">
        <is>
          <t>SEÑALES</t>
        </is>
      </c>
      <c r="I111" s="13" t="inlineStr"/>
      <c r="J111" s="13" t="inlineStr">
        <is>
          <t>CONTROL</t>
        </is>
      </c>
      <c r="K111" s="13" t="inlineStr">
        <is>
          <t>CPF1</t>
        </is>
      </c>
      <c r="L111" s="131" t="n">
        <v>2</v>
      </c>
      <c r="M111" s="132" t="inlineStr">
        <is>
          <t>SI</t>
        </is>
      </c>
      <c r="N111" s="133" t="n">
        <v>4</v>
      </c>
      <c r="O111" s="134" t="n">
        <v>2</v>
      </c>
      <c r="P111" s="135" t="n">
        <v>6</v>
      </c>
      <c r="Q111" s="136" t="inlineStr">
        <is>
          <t>CONTROL</t>
        </is>
      </c>
      <c r="R111" s="136" t="inlineStr">
        <is>
          <t>OTROS/VERIFICAR</t>
        </is>
      </c>
    </row>
    <row r="112">
      <c r="A112" s="12" t="inlineStr">
        <is>
          <t>C-TCA10-GE-10 - TRIP</t>
        </is>
      </c>
      <c r="B112" s="12" t="inlineStr">
        <is>
          <t>670-REC-011</t>
        </is>
      </c>
      <c r="C112" s="12" t="inlineStr">
        <is>
          <t>TCA11-GE-11</t>
        </is>
      </c>
      <c r="D112" s="12" t="inlineStr">
        <is>
          <t>110</t>
        </is>
      </c>
      <c r="E112" s="12" t="inlineStr">
        <is>
          <t>20</t>
        </is>
      </c>
      <c r="F112" s="12" t="inlineStr">
        <is>
          <t>1kV-XLPE-Arm-CU</t>
        </is>
      </c>
      <c r="G112" s="12" t="inlineStr">
        <is>
          <t>2x2,5</t>
        </is>
      </c>
      <c r="H112" s="12" t="inlineStr">
        <is>
          <t>SEÑALES</t>
        </is>
      </c>
      <c r="I112" s="12" t="inlineStr"/>
      <c r="J112" s="12" t="inlineStr">
        <is>
          <t>CONTROL</t>
        </is>
      </c>
      <c r="K112" s="12" t="inlineStr">
        <is>
          <t>CPF1</t>
        </is>
      </c>
      <c r="L112" s="131" t="n">
        <v>2</v>
      </c>
      <c r="M112" s="132" t="inlineStr">
        <is>
          <t>SI</t>
        </is>
      </c>
      <c r="N112" s="133" t="n">
        <v>4</v>
      </c>
      <c r="O112" s="134" t="n">
        <v>2</v>
      </c>
      <c r="P112" s="135" t="n">
        <v>6</v>
      </c>
      <c r="Q112" s="136" t="inlineStr">
        <is>
          <t>CONTROL</t>
        </is>
      </c>
      <c r="R112" s="136" t="inlineStr">
        <is>
          <t>OTROS/VERIFICAR</t>
        </is>
      </c>
    </row>
    <row r="113">
      <c r="A113" s="13" t="inlineStr">
        <is>
          <t>C-670-TRE-010-TC</t>
        </is>
      </c>
      <c r="B113" s="13" t="inlineStr">
        <is>
          <t>670-REC-010</t>
        </is>
      </c>
      <c r="C113" s="13" t="inlineStr">
        <is>
          <t>670-TRE-010-TC</t>
        </is>
      </c>
      <c r="D113" s="13" t="inlineStr">
        <is>
          <t>110</t>
        </is>
      </c>
      <c r="E113" s="13" t="inlineStr">
        <is>
          <t>20</t>
        </is>
      </c>
      <c r="F113" s="13" t="inlineStr">
        <is>
          <t>1kV-XLPE-Arm-T-CU</t>
        </is>
      </c>
      <c r="G113" s="13" t="inlineStr">
        <is>
          <t>3x2,5+T</t>
        </is>
      </c>
      <c r="H113" s="13" t="inlineStr">
        <is>
          <t>SEÑALES</t>
        </is>
      </c>
      <c r="I113" s="13" t="inlineStr"/>
      <c r="J113" s="13" t="inlineStr">
        <is>
          <t>CONTROL</t>
        </is>
      </c>
      <c r="K113" s="13" t="inlineStr">
        <is>
          <t>CPF1</t>
        </is>
      </c>
      <c r="L113" s="131" t="n">
        <v>4</v>
      </c>
      <c r="M113" s="132" t="inlineStr">
        <is>
          <t>SI</t>
        </is>
      </c>
      <c r="N113" s="133" t="n">
        <v>8</v>
      </c>
      <c r="O113" s="134" t="n">
        <v>2</v>
      </c>
      <c r="P113" s="135" t="n">
        <v>10</v>
      </c>
      <c r="Q113" s="136" t="inlineStr">
        <is>
          <t>CONTROL</t>
        </is>
      </c>
      <c r="R113" s="136" t="inlineStr">
        <is>
          <t>OTROS/VERIFICAR</t>
        </is>
      </c>
    </row>
    <row r="114">
      <c r="A114" s="12" t="inlineStr">
        <is>
          <t>C-670-TRE-011-TC</t>
        </is>
      </c>
      <c r="B114" s="12" t="inlineStr">
        <is>
          <t>670-REC-011</t>
        </is>
      </c>
      <c r="C114" s="12" t="inlineStr">
        <is>
          <t>670-TRE-011-TC</t>
        </is>
      </c>
      <c r="D114" s="12" t="inlineStr">
        <is>
          <t>110</t>
        </is>
      </c>
      <c r="E114" s="12" t="inlineStr">
        <is>
          <t>20</t>
        </is>
      </c>
      <c r="F114" s="12" t="inlineStr">
        <is>
          <t>1kV-XLPE-Arm-T-CU</t>
        </is>
      </c>
      <c r="G114" s="12" t="inlineStr">
        <is>
          <t>3x2,5+T</t>
        </is>
      </c>
      <c r="H114" s="12" t="inlineStr">
        <is>
          <t>SEÑALES</t>
        </is>
      </c>
      <c r="I114" s="12" t="inlineStr"/>
      <c r="J114" s="12" t="inlineStr">
        <is>
          <t>CONTROL</t>
        </is>
      </c>
      <c r="K114" s="12" t="inlineStr">
        <is>
          <t>CPF1</t>
        </is>
      </c>
      <c r="L114" s="131" t="n">
        <v>4</v>
      </c>
      <c r="M114" s="132" t="inlineStr">
        <is>
          <t>SI</t>
        </is>
      </c>
      <c r="N114" s="133" t="n">
        <v>8</v>
      </c>
      <c r="O114" s="134" t="n">
        <v>2</v>
      </c>
      <c r="P114" s="135" t="n">
        <v>10</v>
      </c>
      <c r="Q114" s="136" t="inlineStr">
        <is>
          <t>CONTROL</t>
        </is>
      </c>
      <c r="R114" s="136" t="inlineStr">
        <is>
          <t>OTROS/VERIFICAR</t>
        </is>
      </c>
    </row>
    <row r="115">
      <c r="A115" s="13" t="inlineStr">
        <is>
          <t>P-670-REC-010-R1</t>
        </is>
      </c>
      <c r="B115" s="13" t="inlineStr">
        <is>
          <t>670-TRE-010</t>
        </is>
      </c>
      <c r="C115" s="13" t="inlineStr">
        <is>
          <t>670-REC-010</t>
        </is>
      </c>
      <c r="D115" s="13" t="inlineStr">
        <is>
          <t>13200</t>
        </is>
      </c>
      <c r="E115" s="13" t="inlineStr">
        <is>
          <t>20</t>
        </is>
      </c>
      <c r="F115" s="13" t="inlineStr">
        <is>
          <t>13,2kV-XLPE-Arm-B-CU</t>
        </is>
      </c>
      <c r="G115" s="13" t="inlineStr">
        <is>
          <t>1x70</t>
        </is>
      </c>
      <c r="H115" s="13" t="inlineStr">
        <is>
          <t>SEÑALES</t>
        </is>
      </c>
      <c r="I115" s="13" t="inlineStr">
        <is>
          <t>0</t>
        </is>
      </c>
      <c r="J115" s="13" t="inlineStr">
        <is>
          <t>POTENCIA_MT</t>
        </is>
      </c>
      <c r="K115" s="13" t="inlineStr">
        <is>
          <t>CPF1</t>
        </is>
      </c>
      <c r="L115" s="131" t="n">
        <v>1</v>
      </c>
      <c r="M115" s="132" t="inlineStr">
        <is>
          <t>SI</t>
        </is>
      </c>
      <c r="N115" s="133" t="n">
        <v>2</v>
      </c>
      <c r="O115" s="134" t="n">
        <v>2</v>
      </c>
      <c r="P115" s="135" t="n">
        <v>4</v>
      </c>
      <c r="Q115" s="136" t="inlineStr">
        <is>
          <t>POTENCIA MT (&gt;1kV)</t>
        </is>
      </c>
      <c r="R115" s="136" t="inlineStr">
        <is>
          <t>OTROS/VERIFICAR</t>
        </is>
      </c>
    </row>
    <row r="116">
      <c r="A116" s="12" t="inlineStr">
        <is>
          <t>P-670-REC-010-S1</t>
        </is>
      </c>
      <c r="B116" s="12" t="inlineStr">
        <is>
          <t>670-TRE-010</t>
        </is>
      </c>
      <c r="C116" s="12" t="inlineStr">
        <is>
          <t>670-REC-010</t>
        </is>
      </c>
      <c r="D116" s="12" t="inlineStr">
        <is>
          <t>13200</t>
        </is>
      </c>
      <c r="E116" s="12" t="inlineStr">
        <is>
          <t>20</t>
        </is>
      </c>
      <c r="F116" s="12" t="inlineStr">
        <is>
          <t>13,2kV-XLPE-Arm-B-CU</t>
        </is>
      </c>
      <c r="G116" s="12" t="inlineStr">
        <is>
          <t>1x70</t>
        </is>
      </c>
      <c r="H116" s="12" t="inlineStr">
        <is>
          <t>SEÑALES</t>
        </is>
      </c>
      <c r="I116" s="12" t="inlineStr">
        <is>
          <t>0</t>
        </is>
      </c>
      <c r="J116" s="12" t="inlineStr">
        <is>
          <t>POTENCIA_MT</t>
        </is>
      </c>
      <c r="K116" s="12" t="inlineStr">
        <is>
          <t>CPF1</t>
        </is>
      </c>
      <c r="L116" s="131" t="n">
        <v>1</v>
      </c>
      <c r="M116" s="132" t="inlineStr">
        <is>
          <t>SI</t>
        </is>
      </c>
      <c r="N116" s="133" t="n">
        <v>2</v>
      </c>
      <c r="O116" s="134" t="n">
        <v>2</v>
      </c>
      <c r="P116" s="135" t="n">
        <v>4</v>
      </c>
      <c r="Q116" s="136" t="inlineStr">
        <is>
          <t>POTENCIA MT (&gt;1kV)</t>
        </is>
      </c>
      <c r="R116" s="136" t="inlineStr">
        <is>
          <t>OTROS/VERIFICAR</t>
        </is>
      </c>
    </row>
    <row r="117">
      <c r="A117" s="13" t="inlineStr">
        <is>
          <t>P-670-REC-010-T1</t>
        </is>
      </c>
      <c r="B117" s="13" t="inlineStr">
        <is>
          <t>670-TRE-010</t>
        </is>
      </c>
      <c r="C117" s="13" t="inlineStr">
        <is>
          <t>670-REC-010</t>
        </is>
      </c>
      <c r="D117" s="13" t="inlineStr">
        <is>
          <t>13200</t>
        </is>
      </c>
      <c r="E117" s="13" t="inlineStr">
        <is>
          <t>20</t>
        </is>
      </c>
      <c r="F117" s="13" t="inlineStr">
        <is>
          <t>13,2kV-XLPE-Arm-B-CU</t>
        </is>
      </c>
      <c r="G117" s="13" t="inlineStr">
        <is>
          <t>1x70</t>
        </is>
      </c>
      <c r="H117" s="13" t="inlineStr">
        <is>
          <t>SEÑALES</t>
        </is>
      </c>
      <c r="I117" s="13" t="inlineStr">
        <is>
          <t>0</t>
        </is>
      </c>
      <c r="J117" s="13" t="inlineStr">
        <is>
          <t>POTENCIA_MT</t>
        </is>
      </c>
      <c r="K117" s="13" t="inlineStr">
        <is>
          <t>CPF1</t>
        </is>
      </c>
      <c r="L117" s="131" t="n">
        <v>1</v>
      </c>
      <c r="M117" s="132" t="inlineStr">
        <is>
          <t>SI</t>
        </is>
      </c>
      <c r="N117" s="133" t="n">
        <v>2</v>
      </c>
      <c r="O117" s="134" t="n">
        <v>2</v>
      </c>
      <c r="P117" s="135" t="n">
        <v>4</v>
      </c>
      <c r="Q117" s="136" t="inlineStr">
        <is>
          <t>POTENCIA MT (&gt;1kV)</t>
        </is>
      </c>
      <c r="R117" s="136" t="inlineStr">
        <is>
          <t>OTROS/VERIFICAR</t>
        </is>
      </c>
    </row>
    <row r="118">
      <c r="A118" s="12" t="inlineStr">
        <is>
          <t>P-670-REC-011-R1</t>
        </is>
      </c>
      <c r="B118" s="12" t="inlineStr">
        <is>
          <t>670-TRE-011</t>
        </is>
      </c>
      <c r="C118" s="12" t="inlineStr">
        <is>
          <t>670-REC-011</t>
        </is>
      </c>
      <c r="D118" s="12" t="inlineStr">
        <is>
          <t>13200</t>
        </is>
      </c>
      <c r="E118" s="12" t="inlineStr">
        <is>
          <t>20</t>
        </is>
      </c>
      <c r="F118" s="12" t="inlineStr">
        <is>
          <t>13,2kV-XLPE-Arm-B-CU</t>
        </is>
      </c>
      <c r="G118" s="12" t="inlineStr">
        <is>
          <t>1x70</t>
        </is>
      </c>
      <c r="H118" s="12" t="inlineStr">
        <is>
          <t>SEÑALES</t>
        </is>
      </c>
      <c r="I118" s="12" t="inlineStr">
        <is>
          <t>0</t>
        </is>
      </c>
      <c r="J118" s="12" t="inlineStr">
        <is>
          <t>POTENCIA_MT</t>
        </is>
      </c>
      <c r="K118" s="12" t="inlineStr">
        <is>
          <t>CPF1</t>
        </is>
      </c>
      <c r="L118" s="131" t="n">
        <v>1</v>
      </c>
      <c r="M118" s="132" t="inlineStr">
        <is>
          <t>SI</t>
        </is>
      </c>
      <c r="N118" s="133" t="n">
        <v>2</v>
      </c>
      <c r="O118" s="134" t="n">
        <v>2</v>
      </c>
      <c r="P118" s="135" t="n">
        <v>4</v>
      </c>
      <c r="Q118" s="136" t="inlineStr">
        <is>
          <t>POTENCIA MT (&gt;1kV)</t>
        </is>
      </c>
      <c r="R118" s="136" t="inlineStr">
        <is>
          <t>OTROS/VERIFICAR</t>
        </is>
      </c>
    </row>
    <row r="119">
      <c r="A119" s="13" t="inlineStr">
        <is>
          <t>P-670-REC-011-S1</t>
        </is>
      </c>
      <c r="B119" s="13" t="inlineStr">
        <is>
          <t>670-TRE-011</t>
        </is>
      </c>
      <c r="C119" s="13" t="inlineStr">
        <is>
          <t>670-REC-011</t>
        </is>
      </c>
      <c r="D119" s="13" t="inlineStr">
        <is>
          <t>13200</t>
        </is>
      </c>
      <c r="E119" s="13" t="inlineStr">
        <is>
          <t>20</t>
        </is>
      </c>
      <c r="F119" s="13" t="inlineStr">
        <is>
          <t>13,2kV-XLPE-Arm-B-CU</t>
        </is>
      </c>
      <c r="G119" s="13" t="inlineStr">
        <is>
          <t>1x70</t>
        </is>
      </c>
      <c r="H119" s="13" t="inlineStr">
        <is>
          <t>SEÑALES</t>
        </is>
      </c>
      <c r="I119" s="13" t="inlineStr">
        <is>
          <t>0</t>
        </is>
      </c>
      <c r="J119" s="13" t="inlineStr">
        <is>
          <t>POTENCIA_MT</t>
        </is>
      </c>
      <c r="K119" s="13" t="inlineStr">
        <is>
          <t>CPF1</t>
        </is>
      </c>
      <c r="L119" s="131" t="n">
        <v>1</v>
      </c>
      <c r="M119" s="132" t="inlineStr">
        <is>
          <t>SI</t>
        </is>
      </c>
      <c r="N119" s="133" t="n">
        <v>2</v>
      </c>
      <c r="O119" s="134" t="n">
        <v>2</v>
      </c>
      <c r="P119" s="135" t="n">
        <v>4</v>
      </c>
      <c r="Q119" s="136" t="inlineStr">
        <is>
          <t>POTENCIA MT (&gt;1kV)</t>
        </is>
      </c>
      <c r="R119" s="136" t="inlineStr">
        <is>
          <t>OTROS/VERIFICAR</t>
        </is>
      </c>
    </row>
    <row r="120">
      <c r="A120" s="12" t="inlineStr">
        <is>
          <t>P-670-REC-011-T1</t>
        </is>
      </c>
      <c r="B120" s="12" t="inlineStr">
        <is>
          <t>670-TRE-011</t>
        </is>
      </c>
      <c r="C120" s="12" t="inlineStr">
        <is>
          <t>670-REC-011</t>
        </is>
      </c>
      <c r="D120" s="12" t="inlineStr">
        <is>
          <t>13200</t>
        </is>
      </c>
      <c r="E120" s="12" t="inlineStr">
        <is>
          <t>20</t>
        </is>
      </c>
      <c r="F120" s="12" t="inlineStr">
        <is>
          <t>13,2kV-XLPE-Arm-B-CU</t>
        </is>
      </c>
      <c r="G120" s="12" t="inlineStr">
        <is>
          <t>1x70</t>
        </is>
      </c>
      <c r="H120" s="12" t="inlineStr">
        <is>
          <t>SEÑALES</t>
        </is>
      </c>
      <c r="I120" s="12" t="inlineStr">
        <is>
          <t>0</t>
        </is>
      </c>
      <c r="J120" s="12" t="inlineStr">
        <is>
          <t>POTENCIA_MT</t>
        </is>
      </c>
      <c r="K120" s="12" t="inlineStr">
        <is>
          <t>CPF1</t>
        </is>
      </c>
      <c r="L120" s="131" t="n">
        <v>1</v>
      </c>
      <c r="M120" s="132" t="inlineStr">
        <is>
          <t>SI</t>
        </is>
      </c>
      <c r="N120" s="133" t="n">
        <v>2</v>
      </c>
      <c r="O120" s="134" t="n">
        <v>2</v>
      </c>
      <c r="P120" s="135" t="n">
        <v>4</v>
      </c>
      <c r="Q120" s="136" t="inlineStr">
        <is>
          <t>POTENCIA MT (&gt;1kV)</t>
        </is>
      </c>
      <c r="R120" s="136" t="inlineStr">
        <is>
          <t>OTROS/VERIFICAR</t>
        </is>
      </c>
    </row>
    <row r="121">
      <c r="A121" s="13" t="inlineStr">
        <is>
          <t>FO-670-REC-010</t>
        </is>
      </c>
      <c r="B121" s="13" t="inlineStr">
        <is>
          <t>670-REC-009</t>
        </is>
      </c>
      <c r="C121" s="13" t="inlineStr">
        <is>
          <t>670-REC-010</t>
        </is>
      </c>
      <c r="D121" s="13" t="inlineStr">
        <is>
          <t>-</t>
        </is>
      </c>
      <c r="E121" s="13" t="inlineStr">
        <is>
          <t>40</t>
        </is>
      </c>
      <c r="F121" s="13" t="inlineStr">
        <is>
          <t>F.O. multimodo</t>
        </is>
      </c>
      <c r="G121" s="13" t="inlineStr">
        <is>
          <t>F.O.</t>
        </is>
      </c>
      <c r="H121" s="13" t="inlineStr">
        <is>
          <t>SEÑALES</t>
        </is>
      </c>
      <c r="I121" s="13" t="inlineStr">
        <is>
          <t>Red de comunicación de protecciones de reconectadores 0</t>
        </is>
      </c>
      <c r="J121" s="13" t="inlineStr">
        <is>
          <t>FO</t>
        </is>
      </c>
      <c r="K121" s="13" t="inlineStr">
        <is>
          <t>CPF1</t>
        </is>
      </c>
      <c r="L121" s="131" t="n">
        <v>2</v>
      </c>
      <c r="M121" s="142" t="inlineStr">
        <is>
          <t>NO</t>
        </is>
      </c>
      <c r="N121" s="133" t="n">
        <v>4</v>
      </c>
      <c r="O121" s="143" t="n">
        <v>0</v>
      </c>
      <c r="P121" s="135" t="n">
        <v>4</v>
      </c>
      <c r="Q121" s="136" t="inlineStr">
        <is>
          <t>FO / ETHERNET</t>
        </is>
      </c>
      <c r="R121" s="136" t="inlineStr">
        <is>
          <t>OTROS/VERIFICAR</t>
        </is>
      </c>
    </row>
    <row r="122">
      <c r="A122" s="12" t="inlineStr">
        <is>
          <t>FO-670-REC-011</t>
        </is>
      </c>
      <c r="B122" s="12" t="inlineStr">
        <is>
          <t>670-REC-010</t>
        </is>
      </c>
      <c r="C122" s="12" t="inlineStr">
        <is>
          <t>670-REC-011</t>
        </is>
      </c>
      <c r="D122" s="12" t="inlineStr">
        <is>
          <t>-</t>
        </is>
      </c>
      <c r="E122" s="12" t="inlineStr">
        <is>
          <t>40</t>
        </is>
      </c>
      <c r="F122" s="12" t="inlineStr">
        <is>
          <t>F.O. multimodo</t>
        </is>
      </c>
      <c r="G122" s="12" t="inlineStr">
        <is>
          <t>F.O.</t>
        </is>
      </c>
      <c r="H122" s="12" t="inlineStr">
        <is>
          <t>SEÑALES</t>
        </is>
      </c>
      <c r="I122" s="12" t="inlineStr">
        <is>
          <t>Red de comunicación de protecciones de reconectadores</t>
        </is>
      </c>
      <c r="J122" s="12" t="inlineStr">
        <is>
          <t>FO</t>
        </is>
      </c>
      <c r="K122" s="12" t="inlineStr">
        <is>
          <t>CPF1</t>
        </is>
      </c>
      <c r="L122" s="131" t="n">
        <v>2</v>
      </c>
      <c r="M122" s="142" t="inlineStr">
        <is>
          <t>NO</t>
        </is>
      </c>
      <c r="N122" s="133" t="n">
        <v>4</v>
      </c>
      <c r="O122" s="143" t="n">
        <v>0</v>
      </c>
      <c r="P122" s="135" t="n">
        <v>4</v>
      </c>
      <c r="Q122" s="136" t="inlineStr">
        <is>
          <t>FO / ETHERNET</t>
        </is>
      </c>
      <c r="R122" s="136" t="inlineStr">
        <is>
          <t>OTROS/VERIFICAR</t>
        </is>
      </c>
    </row>
    <row r="123">
      <c r="A123" s="14" t="inlineStr">
        <is>
          <t>P-102-TGMT-001A</t>
        </is>
      </c>
      <c r="B123" s="14" t="inlineStr">
        <is>
          <t>670-TGMT-001-K01</t>
        </is>
      </c>
      <c r="C123" s="14" t="inlineStr">
        <is>
          <t>102-TGMT-001A</t>
        </is>
      </c>
      <c r="D123" s="14" t="inlineStr">
        <is>
          <t>13200</t>
        </is>
      </c>
      <c r="E123" s="14" t="inlineStr">
        <is>
          <t>350</t>
        </is>
      </c>
      <c r="F123" s="14" t="inlineStr">
        <is>
          <t>13,2kV-XLPE-Arm-B-CU</t>
        </is>
      </c>
      <c r="G123" s="14" t="inlineStr">
        <is>
          <t>3x95</t>
        </is>
      </c>
      <c r="H123" s="14" t="inlineStr">
        <is>
          <t>SALA ELÉCTRICA 4</t>
        </is>
      </c>
      <c r="I123" s="14" t="inlineStr">
        <is>
          <t>0</t>
        </is>
      </c>
      <c r="J123" s="14" t="inlineStr">
        <is>
          <t>POTENCIA_MT</t>
        </is>
      </c>
      <c r="K123" s="14" t="inlineStr">
        <is>
          <t>CPF2</t>
        </is>
      </c>
      <c r="L123" s="137" t="n">
        <v>3</v>
      </c>
      <c r="M123" s="144" t="inlineStr">
        <is>
          <t>SI</t>
        </is>
      </c>
      <c r="N123" s="139" t="n">
        <v>6</v>
      </c>
      <c r="O123" s="145" t="n">
        <v>2</v>
      </c>
      <c r="P123" s="141" t="n">
        <v>8</v>
      </c>
      <c r="Q123" s="136" t="inlineStr">
        <is>
          <t>POTENCIA MT (&gt;1kV)</t>
        </is>
      </c>
      <c r="R123" s="136" t="inlineStr">
        <is>
          <t>TABLERO/CCM</t>
        </is>
      </c>
    </row>
    <row r="124">
      <c r="A124" s="14" t="inlineStr">
        <is>
          <t>P-102-TGMT-001B</t>
        </is>
      </c>
      <c r="B124" s="14" t="inlineStr">
        <is>
          <t>670-TGMT-001-K14</t>
        </is>
      </c>
      <c r="C124" s="14" t="inlineStr">
        <is>
          <t>102-TGMT-001B</t>
        </is>
      </c>
      <c r="D124" s="14" t="inlineStr">
        <is>
          <t>13200</t>
        </is>
      </c>
      <c r="E124" s="14" t="inlineStr">
        <is>
          <t>350</t>
        </is>
      </c>
      <c r="F124" s="14" t="inlineStr">
        <is>
          <t>13,2kV-XLPE-Arm-B-CU</t>
        </is>
      </c>
      <c r="G124" s="14" t="inlineStr">
        <is>
          <t>3x95</t>
        </is>
      </c>
      <c r="H124" s="14" t="inlineStr">
        <is>
          <t>SALA ELÉCTRICA 4</t>
        </is>
      </c>
      <c r="I124" s="14" t="inlineStr">
        <is>
          <t>0</t>
        </is>
      </c>
      <c r="J124" s="14" t="inlineStr">
        <is>
          <t>POTENCIA_MT</t>
        </is>
      </c>
      <c r="K124" s="14" t="inlineStr">
        <is>
          <t>CPF2</t>
        </is>
      </c>
      <c r="L124" s="137" t="n">
        <v>3</v>
      </c>
      <c r="M124" s="144" t="inlineStr">
        <is>
          <t>SI</t>
        </is>
      </c>
      <c r="N124" s="139" t="n">
        <v>6</v>
      </c>
      <c r="O124" s="145" t="n">
        <v>2</v>
      </c>
      <c r="P124" s="141" t="n">
        <v>8</v>
      </c>
      <c r="Q124" s="136" t="inlineStr">
        <is>
          <t>POTENCIA MT (&gt;1kV)</t>
        </is>
      </c>
      <c r="R124" s="136" t="inlineStr">
        <is>
          <t>TABLERO/CCM</t>
        </is>
      </c>
    </row>
    <row r="125">
      <c r="A125" s="14" t="inlineStr">
        <is>
          <t>P-102-TRMT-001A</t>
        </is>
      </c>
      <c r="B125" s="14" t="inlineStr">
        <is>
          <t>102-TGMT-001-K02</t>
        </is>
      </c>
      <c r="C125" s="14" t="inlineStr">
        <is>
          <t>102-TRMT-001A</t>
        </is>
      </c>
      <c r="D125" s="14" t="inlineStr">
        <is>
          <t>13200</t>
        </is>
      </c>
      <c r="E125" s="14" t="inlineStr">
        <is>
          <t>15</t>
        </is>
      </c>
      <c r="F125" s="14" t="inlineStr">
        <is>
          <t>13,2kV-XLPE-Arm-B-CU</t>
        </is>
      </c>
      <c r="G125" s="14" t="inlineStr">
        <is>
          <t>3x95</t>
        </is>
      </c>
      <c r="H125" s="14" t="inlineStr">
        <is>
          <t>SALA ELÉCTRICA 4</t>
        </is>
      </c>
      <c r="I125" s="14" t="inlineStr">
        <is>
          <t>0</t>
        </is>
      </c>
      <c r="J125" s="14" t="inlineStr">
        <is>
          <t>POTENCIA_MT</t>
        </is>
      </c>
      <c r="K125" s="14" t="inlineStr">
        <is>
          <t>CPF2</t>
        </is>
      </c>
      <c r="L125" s="137" t="n">
        <v>3</v>
      </c>
      <c r="M125" s="144" t="inlineStr">
        <is>
          <t>SI</t>
        </is>
      </c>
      <c r="N125" s="139" t="n">
        <v>6</v>
      </c>
      <c r="O125" s="145" t="n">
        <v>2</v>
      </c>
      <c r="P125" s="141" t="n">
        <v>8</v>
      </c>
      <c r="Q125" s="136" t="inlineStr">
        <is>
          <t>POTENCIA MT (&gt;1kV)</t>
        </is>
      </c>
      <c r="R125" s="136" t="inlineStr">
        <is>
          <t>TABLERO/CCM</t>
        </is>
      </c>
    </row>
    <row r="126">
      <c r="A126" s="14" t="inlineStr">
        <is>
          <t>P-102-TRMT-001B</t>
        </is>
      </c>
      <c r="B126" s="14" t="inlineStr">
        <is>
          <t>102-TGMT-001-K11</t>
        </is>
      </c>
      <c r="C126" s="14" t="inlineStr">
        <is>
          <t>102-TRMT-001B</t>
        </is>
      </c>
      <c r="D126" s="14" t="inlineStr">
        <is>
          <t>13200</t>
        </is>
      </c>
      <c r="E126" s="14" t="inlineStr">
        <is>
          <t>15</t>
        </is>
      </c>
      <c r="F126" s="14" t="inlineStr">
        <is>
          <t>13,2kV-XLPE-Arm-B-CU</t>
        </is>
      </c>
      <c r="G126" s="14" t="inlineStr">
        <is>
          <t>3x95</t>
        </is>
      </c>
      <c r="H126" s="14" t="inlineStr">
        <is>
          <t>SALA ELÉCTRICA 4</t>
        </is>
      </c>
      <c r="I126" s="14" t="inlineStr">
        <is>
          <t>0</t>
        </is>
      </c>
      <c r="J126" s="14" t="inlineStr">
        <is>
          <t>POTENCIA_MT</t>
        </is>
      </c>
      <c r="K126" s="14" t="inlineStr">
        <is>
          <t>CPF2</t>
        </is>
      </c>
      <c r="L126" s="137" t="n">
        <v>3</v>
      </c>
      <c r="M126" s="144" t="inlineStr">
        <is>
          <t>SI</t>
        </is>
      </c>
      <c r="N126" s="139" t="n">
        <v>6</v>
      </c>
      <c r="O126" s="145" t="n">
        <v>2</v>
      </c>
      <c r="P126" s="141" t="n">
        <v>8</v>
      </c>
      <c r="Q126" s="136" t="inlineStr">
        <is>
          <t>POTENCIA MT (&gt;1kV)</t>
        </is>
      </c>
      <c r="R126" s="136" t="inlineStr">
        <is>
          <t>TABLERO/CCM</t>
        </is>
      </c>
    </row>
    <row r="127">
      <c r="A127" s="14" t="inlineStr">
        <is>
          <t>P-102-TR-007A</t>
        </is>
      </c>
      <c r="B127" s="14" t="inlineStr">
        <is>
          <t>102-TGMT-001-K03</t>
        </is>
      </c>
      <c r="C127" s="14" t="inlineStr">
        <is>
          <t>102-TR-007A</t>
        </is>
      </c>
      <c r="D127" s="14" t="inlineStr">
        <is>
          <t>13200</t>
        </is>
      </c>
      <c r="E127" s="14" t="inlineStr">
        <is>
          <t>40</t>
        </is>
      </c>
      <c r="F127" s="14" t="inlineStr">
        <is>
          <t>13,2kV-XLPE-Arm-B-CU</t>
        </is>
      </c>
      <c r="G127" s="14" t="inlineStr">
        <is>
          <t>3x95</t>
        </is>
      </c>
      <c r="H127" s="14" t="inlineStr">
        <is>
          <t>SALA ELÉCTRICA 4</t>
        </is>
      </c>
      <c r="I127" s="14" t="inlineStr">
        <is>
          <t>0</t>
        </is>
      </c>
      <c r="J127" s="14" t="inlineStr">
        <is>
          <t>POTENCIA_MT</t>
        </is>
      </c>
      <c r="K127" s="14" t="inlineStr">
        <is>
          <t>CPF2</t>
        </is>
      </c>
      <c r="L127" s="137" t="n">
        <v>3</v>
      </c>
      <c r="M127" s="144" t="inlineStr">
        <is>
          <t>SI</t>
        </is>
      </c>
      <c r="N127" s="139" t="n">
        <v>6</v>
      </c>
      <c r="O127" s="145" t="n">
        <v>2</v>
      </c>
      <c r="P127" s="141" t="n">
        <v>8</v>
      </c>
      <c r="Q127" s="136" t="inlineStr">
        <is>
          <t>POTENCIA MT (&gt;1kV)</t>
        </is>
      </c>
      <c r="R127" s="136" t="inlineStr">
        <is>
          <t>TABLERO/CCM</t>
        </is>
      </c>
    </row>
    <row r="128">
      <c r="A128" s="14" t="inlineStr">
        <is>
          <t>P-102-TR-007B</t>
        </is>
      </c>
      <c r="B128" s="14" t="inlineStr">
        <is>
          <t>102-TGMT-001-K12</t>
        </is>
      </c>
      <c r="C128" s="14" t="inlineStr">
        <is>
          <t>102-TR-007B</t>
        </is>
      </c>
      <c r="D128" s="14" t="inlineStr">
        <is>
          <t>13200</t>
        </is>
      </c>
      <c r="E128" s="14" t="inlineStr">
        <is>
          <t>40</t>
        </is>
      </c>
      <c r="F128" s="14" t="inlineStr">
        <is>
          <t>13,2kV-XLPE-Arm-B-CU</t>
        </is>
      </c>
      <c r="G128" s="14" t="inlineStr">
        <is>
          <t>3x95</t>
        </is>
      </c>
      <c r="H128" s="14" t="inlineStr">
        <is>
          <t>SALA ELÉCTRICA 4</t>
        </is>
      </c>
      <c r="I128" s="14" t="inlineStr">
        <is>
          <t>0</t>
        </is>
      </c>
      <c r="J128" s="14" t="inlineStr">
        <is>
          <t>POTENCIA_MT</t>
        </is>
      </c>
      <c r="K128" s="14" t="inlineStr">
        <is>
          <t>CPF2</t>
        </is>
      </c>
      <c r="L128" s="137" t="n">
        <v>3</v>
      </c>
      <c r="M128" s="144" t="inlineStr">
        <is>
          <t>SI</t>
        </is>
      </c>
      <c r="N128" s="139" t="n">
        <v>6</v>
      </c>
      <c r="O128" s="145" t="n">
        <v>2</v>
      </c>
      <c r="P128" s="141" t="n">
        <v>8</v>
      </c>
      <c r="Q128" s="136" t="inlineStr">
        <is>
          <t>POTENCIA MT (&gt;1kV)</t>
        </is>
      </c>
      <c r="R128" s="136" t="inlineStr">
        <is>
          <t>TABLERO/CCM</t>
        </is>
      </c>
    </row>
    <row r="129">
      <c r="A129" s="14" t="inlineStr">
        <is>
          <t>P-102-TR-006A</t>
        </is>
      </c>
      <c r="B129" s="14" t="inlineStr">
        <is>
          <t>102-TGMT-001-K04</t>
        </is>
      </c>
      <c r="C129" s="14" t="inlineStr">
        <is>
          <t>102-TR-006A</t>
        </is>
      </c>
      <c r="D129" s="14" t="inlineStr">
        <is>
          <t>13200</t>
        </is>
      </c>
      <c r="E129" s="14" t="inlineStr">
        <is>
          <t>40</t>
        </is>
      </c>
      <c r="F129" s="14" t="inlineStr">
        <is>
          <t>13,2kV-XLPE-Arm-B-CU</t>
        </is>
      </c>
      <c r="G129" s="14" t="inlineStr">
        <is>
          <t>3x95</t>
        </is>
      </c>
      <c r="H129" s="14" t="inlineStr">
        <is>
          <t>SALA ELÉCTRICA 4</t>
        </is>
      </c>
      <c r="I129" s="14" t="inlineStr">
        <is>
          <t>0</t>
        </is>
      </c>
      <c r="J129" s="14" t="inlineStr">
        <is>
          <t>POTENCIA_MT</t>
        </is>
      </c>
      <c r="K129" s="14" t="inlineStr">
        <is>
          <t>CPF2</t>
        </is>
      </c>
      <c r="L129" s="137" t="n">
        <v>3</v>
      </c>
      <c r="M129" s="144" t="inlineStr">
        <is>
          <t>SI</t>
        </is>
      </c>
      <c r="N129" s="139" t="n">
        <v>6</v>
      </c>
      <c r="O129" s="145" t="n">
        <v>2</v>
      </c>
      <c r="P129" s="141" t="n">
        <v>8</v>
      </c>
      <c r="Q129" s="136" t="inlineStr">
        <is>
          <t>POTENCIA MT (&gt;1kV)</t>
        </is>
      </c>
      <c r="R129" s="136" t="inlineStr">
        <is>
          <t>TABLERO/CCM</t>
        </is>
      </c>
    </row>
    <row r="130">
      <c r="A130" s="14" t="inlineStr">
        <is>
          <t>P-102-TR-006B</t>
        </is>
      </c>
      <c r="B130" s="14" t="inlineStr">
        <is>
          <t>102-TGMT-001-K13</t>
        </is>
      </c>
      <c r="C130" s="14" t="inlineStr">
        <is>
          <t>102-TR-006B</t>
        </is>
      </c>
      <c r="D130" s="14" t="inlineStr">
        <is>
          <t>13200</t>
        </is>
      </c>
      <c r="E130" s="14" t="inlineStr">
        <is>
          <t>40</t>
        </is>
      </c>
      <c r="F130" s="14" t="inlineStr">
        <is>
          <t>13,2kV-XLPE-Arm-B-CU</t>
        </is>
      </c>
      <c r="G130" s="14" t="inlineStr">
        <is>
          <t>3x95</t>
        </is>
      </c>
      <c r="H130" s="14" t="inlineStr">
        <is>
          <t>SALA ELÉCTRICA 4</t>
        </is>
      </c>
      <c r="I130" s="14" t="inlineStr">
        <is>
          <t>0</t>
        </is>
      </c>
      <c r="J130" s="14" t="inlineStr">
        <is>
          <t>POTENCIA_MT</t>
        </is>
      </c>
      <c r="K130" s="14" t="inlineStr">
        <is>
          <t>CPF2</t>
        </is>
      </c>
      <c r="L130" s="137" t="n">
        <v>3</v>
      </c>
      <c r="M130" s="144" t="inlineStr">
        <is>
          <t>SI</t>
        </is>
      </c>
      <c r="N130" s="139" t="n">
        <v>6</v>
      </c>
      <c r="O130" s="145" t="n">
        <v>2</v>
      </c>
      <c r="P130" s="141" t="n">
        <v>8</v>
      </c>
      <c r="Q130" s="136" t="inlineStr">
        <is>
          <t>POTENCIA MT (&gt;1kV)</t>
        </is>
      </c>
      <c r="R130" s="136" t="inlineStr">
        <is>
          <t>TABLERO/CCM</t>
        </is>
      </c>
    </row>
    <row r="131">
      <c r="A131" s="14" t="inlineStr">
        <is>
          <t>P-102-TR-005A</t>
        </is>
      </c>
      <c r="B131" s="14" t="inlineStr">
        <is>
          <t>102-TGMT-001-K05</t>
        </is>
      </c>
      <c r="C131" s="14" t="inlineStr">
        <is>
          <t>102-TR-005A</t>
        </is>
      </c>
      <c r="D131" s="14" t="inlineStr">
        <is>
          <t>13200</t>
        </is>
      </c>
      <c r="E131" s="14" t="inlineStr">
        <is>
          <t>40</t>
        </is>
      </c>
      <c r="F131" s="14" t="inlineStr">
        <is>
          <t>13,2kV-XLPE-Arm-B-CU</t>
        </is>
      </c>
      <c r="G131" s="14" t="inlineStr">
        <is>
          <t>3x95</t>
        </is>
      </c>
      <c r="H131" s="14" t="inlineStr">
        <is>
          <t>SALA ELÉCTRICA 4</t>
        </is>
      </c>
      <c r="I131" s="14" t="inlineStr">
        <is>
          <t>0</t>
        </is>
      </c>
      <c r="J131" s="14" t="inlineStr">
        <is>
          <t>POTENCIA_MT</t>
        </is>
      </c>
      <c r="K131" s="14" t="inlineStr">
        <is>
          <t>CPF2</t>
        </is>
      </c>
      <c r="L131" s="137" t="n">
        <v>3</v>
      </c>
      <c r="M131" s="144" t="inlineStr">
        <is>
          <t>SI</t>
        </is>
      </c>
      <c r="N131" s="139" t="n">
        <v>6</v>
      </c>
      <c r="O131" s="145" t="n">
        <v>2</v>
      </c>
      <c r="P131" s="141" t="n">
        <v>8</v>
      </c>
      <c r="Q131" s="136" t="inlineStr">
        <is>
          <t>POTENCIA MT (&gt;1kV)</t>
        </is>
      </c>
      <c r="R131" s="136" t="inlineStr">
        <is>
          <t>TABLERO/CCM</t>
        </is>
      </c>
    </row>
    <row r="132">
      <c r="A132" s="14" t="inlineStr">
        <is>
          <t>P-102-TR-005B</t>
        </is>
      </c>
      <c r="B132" s="14" t="inlineStr">
        <is>
          <t>102-TGMT-001-K14</t>
        </is>
      </c>
      <c r="C132" s="14" t="inlineStr">
        <is>
          <t>102-TR-005B</t>
        </is>
      </c>
      <c r="D132" s="14" t="inlineStr">
        <is>
          <t>13200</t>
        </is>
      </c>
      <c r="E132" s="14" t="inlineStr">
        <is>
          <t>40</t>
        </is>
      </c>
      <c r="F132" s="14" t="inlineStr">
        <is>
          <t>13,2kV-XLPE-Arm-B-CU</t>
        </is>
      </c>
      <c r="G132" s="14" t="inlineStr">
        <is>
          <t>3x95</t>
        </is>
      </c>
      <c r="H132" s="14" t="inlineStr">
        <is>
          <t>SALA ELÉCTRICA 4</t>
        </is>
      </c>
      <c r="I132" s="14" t="inlineStr">
        <is>
          <t>102-TGMT-002 0</t>
        </is>
      </c>
      <c r="J132" s="14" t="inlineStr">
        <is>
          <t>POTENCIA_MT</t>
        </is>
      </c>
      <c r="K132" s="14" t="inlineStr">
        <is>
          <t>CPF2</t>
        </is>
      </c>
      <c r="L132" s="137" t="n">
        <v>3</v>
      </c>
      <c r="M132" s="144" t="inlineStr">
        <is>
          <t>SI</t>
        </is>
      </c>
      <c r="N132" s="139" t="n">
        <v>6</v>
      </c>
      <c r="O132" s="145" t="n">
        <v>2</v>
      </c>
      <c r="P132" s="141" t="n">
        <v>8</v>
      </c>
      <c r="Q132" s="136" t="inlineStr">
        <is>
          <t>POTENCIA MT (&gt;1kV)</t>
        </is>
      </c>
      <c r="R132" s="136" t="inlineStr">
        <is>
          <t>TABLERO/CCM</t>
        </is>
      </c>
    </row>
    <row r="133">
      <c r="A133" s="14" t="inlineStr">
        <is>
          <t>P-102-TGMT-002A</t>
        </is>
      </c>
      <c r="B133" s="14" t="inlineStr">
        <is>
          <t>102-TRMT-001A</t>
        </is>
      </c>
      <c r="C133" s="14" t="inlineStr">
        <is>
          <t>102-TGMT-002A</t>
        </is>
      </c>
      <c r="D133" s="14" t="inlineStr">
        <is>
          <t>6600</t>
        </is>
      </c>
      <c r="E133" s="14" t="inlineStr">
        <is>
          <t>15</t>
        </is>
      </c>
      <c r="F133" s="14" t="inlineStr">
        <is>
          <t>6,6kV-XLPE-Arm-B-CU</t>
        </is>
      </c>
      <c r="G133" s="14" t="inlineStr">
        <is>
          <t>3x95</t>
        </is>
      </c>
      <c r="H133" s="14" t="inlineStr">
        <is>
          <t>SALA ELÉCTRICA 4</t>
        </is>
      </c>
      <c r="I133" s="14" t="inlineStr">
        <is>
          <t>TRANSFORMADOR BOMBAS DE CONDENSADO 0</t>
        </is>
      </c>
      <c r="J133" s="14" t="inlineStr">
        <is>
          <t>POTENCIA_MT</t>
        </is>
      </c>
      <c r="K133" s="14" t="inlineStr">
        <is>
          <t>CPF2</t>
        </is>
      </c>
      <c r="L133" s="137" t="n">
        <v>3</v>
      </c>
      <c r="M133" s="144" t="inlineStr">
        <is>
          <t>SI</t>
        </is>
      </c>
      <c r="N133" s="139" t="n">
        <v>6</v>
      </c>
      <c r="O133" s="145" t="n">
        <v>2</v>
      </c>
      <c r="P133" s="141" t="n">
        <v>8</v>
      </c>
      <c r="Q133" s="136" t="inlineStr">
        <is>
          <t>POTENCIA MT (&gt;1kV)</t>
        </is>
      </c>
      <c r="R133" s="136" t="inlineStr">
        <is>
          <t>MOTOR/ACCIONAMIENTO</t>
        </is>
      </c>
    </row>
    <row r="134">
      <c r="A134" s="14" t="inlineStr">
        <is>
          <t>P-102-TGMT-002B-</t>
        </is>
      </c>
      <c r="B134" s="14" t="inlineStr">
        <is>
          <t>102-TRMT-001B</t>
        </is>
      </c>
      <c r="C134" s="14" t="inlineStr">
        <is>
          <t>102-TGMT-002B</t>
        </is>
      </c>
      <c r="D134" s="14" t="inlineStr">
        <is>
          <t>6600</t>
        </is>
      </c>
      <c r="E134" s="14" t="inlineStr">
        <is>
          <t>15</t>
        </is>
      </c>
      <c r="F134" s="14" t="inlineStr">
        <is>
          <t>6,6kV-XLPE-Arm-B-CU</t>
        </is>
      </c>
      <c r="G134" s="14" t="inlineStr">
        <is>
          <t>3x95</t>
        </is>
      </c>
      <c r="H134" s="14" t="inlineStr">
        <is>
          <t>SALA ELÉCTRICA 4</t>
        </is>
      </c>
      <c r="I134" s="14" t="inlineStr">
        <is>
          <t>TRANSFORMADOR BOMBAS DE CONDENSADO 0</t>
        </is>
      </c>
      <c r="J134" s="14" t="inlineStr">
        <is>
          <t>POTENCIA_MT</t>
        </is>
      </c>
      <c r="K134" s="14" t="inlineStr">
        <is>
          <t>CPF2</t>
        </is>
      </c>
      <c r="L134" s="137" t="n">
        <v>3</v>
      </c>
      <c r="M134" s="144" t="inlineStr">
        <is>
          <t>SI</t>
        </is>
      </c>
      <c r="N134" s="139" t="n">
        <v>6</v>
      </c>
      <c r="O134" s="145" t="n">
        <v>2</v>
      </c>
      <c r="P134" s="141" t="n">
        <v>8</v>
      </c>
      <c r="Q134" s="136" t="inlineStr">
        <is>
          <t>POTENCIA MT (&gt;1kV)</t>
        </is>
      </c>
      <c r="R134" s="136" t="inlineStr">
        <is>
          <t>MOTOR/ACCIONAMIENTO</t>
        </is>
      </c>
    </row>
    <row r="135">
      <c r="A135" s="14" t="inlineStr">
        <is>
          <t>P-102-DP-VFD-23310 A</t>
        </is>
      </c>
      <c r="B135" s="14" t="inlineStr">
        <is>
          <t>102-TGMT-002</t>
        </is>
      </c>
      <c r="C135" s="14" t="inlineStr">
        <is>
          <t>102-DP-VFD-23310 A</t>
        </is>
      </c>
      <c r="D135" s="14" t="inlineStr">
        <is>
          <t>6600</t>
        </is>
      </c>
      <c r="E135" s="14" t="inlineStr">
        <is>
          <t>20</t>
        </is>
      </c>
      <c r="F135" s="14" t="inlineStr">
        <is>
          <t>6,6kV-XLPE-Arm-B-CU</t>
        </is>
      </c>
      <c r="G135" s="14" t="inlineStr">
        <is>
          <t>3x25</t>
        </is>
      </c>
      <c r="H135" s="14" t="inlineStr">
        <is>
          <t>SALA ELÉCTRICA 4</t>
        </is>
      </c>
      <c r="I135" s="14" t="inlineStr">
        <is>
          <t>BOMBA DE CONDENSADO 0</t>
        </is>
      </c>
      <c r="J135" s="14" t="inlineStr">
        <is>
          <t>POTENCIA_MT</t>
        </is>
      </c>
      <c r="K135" s="14" t="inlineStr">
        <is>
          <t>CPF2</t>
        </is>
      </c>
      <c r="L135" s="137" t="n">
        <v>3</v>
      </c>
      <c r="M135" s="144" t="inlineStr">
        <is>
          <t>SI</t>
        </is>
      </c>
      <c r="N135" s="139" t="n">
        <v>6</v>
      </c>
      <c r="O135" s="145" t="n">
        <v>2</v>
      </c>
      <c r="P135" s="141" t="n">
        <v>8</v>
      </c>
      <c r="Q135" s="136" t="inlineStr">
        <is>
          <t>POTENCIA MT (&gt;1kV)</t>
        </is>
      </c>
      <c r="R135" s="136" t="inlineStr">
        <is>
          <t>VFD/VARIADOR</t>
        </is>
      </c>
    </row>
    <row r="136">
      <c r="A136" s="14" t="inlineStr">
        <is>
          <t>P-102-DP-VFD-23310 B</t>
        </is>
      </c>
      <c r="B136" s="14" t="inlineStr">
        <is>
          <t>102-TGMT-002</t>
        </is>
      </c>
      <c r="C136" s="14" t="inlineStr">
        <is>
          <t>102-DP-VFD-23310 B</t>
        </is>
      </c>
      <c r="D136" s="14" t="inlineStr">
        <is>
          <t>6600</t>
        </is>
      </c>
      <c r="E136" s="14" t="inlineStr">
        <is>
          <t>20</t>
        </is>
      </c>
      <c r="F136" s="14" t="inlineStr">
        <is>
          <t>6,6kV-XLPE-Arm-B-CU</t>
        </is>
      </c>
      <c r="G136" s="14" t="inlineStr">
        <is>
          <t>3x25</t>
        </is>
      </c>
      <c r="H136" s="14" t="inlineStr">
        <is>
          <t>SALA ELÉCTRICA 4</t>
        </is>
      </c>
      <c r="I136" s="14" t="inlineStr">
        <is>
          <t>BOMBA DE CONDENSADO 0</t>
        </is>
      </c>
      <c r="J136" s="14" t="inlineStr">
        <is>
          <t>POTENCIA_MT</t>
        </is>
      </c>
      <c r="K136" s="14" t="inlineStr">
        <is>
          <t>CPF2</t>
        </is>
      </c>
      <c r="L136" s="137" t="n">
        <v>3</v>
      </c>
      <c r="M136" s="144" t="inlineStr">
        <is>
          <t>SI</t>
        </is>
      </c>
      <c r="N136" s="139" t="n">
        <v>6</v>
      </c>
      <c r="O136" s="145" t="n">
        <v>2</v>
      </c>
      <c r="P136" s="141" t="n">
        <v>8</v>
      </c>
      <c r="Q136" s="136" t="inlineStr">
        <is>
          <t>POTENCIA MT (&gt;1kV)</t>
        </is>
      </c>
      <c r="R136" s="136" t="inlineStr">
        <is>
          <t>VFD/VARIADOR</t>
        </is>
      </c>
    </row>
    <row r="137">
      <c r="A137" s="14" t="inlineStr">
        <is>
          <t>P-102-DP-VFD-23310 C</t>
        </is>
      </c>
      <c r="B137" s="14" t="inlineStr">
        <is>
          <t>102-TGMT-002</t>
        </is>
      </c>
      <c r="C137" s="14" t="inlineStr">
        <is>
          <t>102-DP-VFD-23310 C</t>
        </is>
      </c>
      <c r="D137" s="14" t="inlineStr">
        <is>
          <t>6600</t>
        </is>
      </c>
      <c r="E137" s="14" t="inlineStr">
        <is>
          <t>20</t>
        </is>
      </c>
      <c r="F137" s="14" t="inlineStr">
        <is>
          <t>6,6kV-XLPE-Arm-B-CU</t>
        </is>
      </c>
      <c r="G137" s="14" t="inlineStr">
        <is>
          <t>3x25</t>
        </is>
      </c>
      <c r="H137" s="14" t="inlineStr">
        <is>
          <t>SALA ELÉCTRICA 4</t>
        </is>
      </c>
      <c r="I137" s="14" t="inlineStr">
        <is>
          <t>BOMBA DE CONDENSADO 0</t>
        </is>
      </c>
      <c r="J137" s="14" t="inlineStr">
        <is>
          <t>POTENCIA_MT</t>
        </is>
      </c>
      <c r="K137" s="14" t="inlineStr">
        <is>
          <t>CPF2</t>
        </is>
      </c>
      <c r="L137" s="137" t="n">
        <v>3</v>
      </c>
      <c r="M137" s="144" t="inlineStr">
        <is>
          <t>SI</t>
        </is>
      </c>
      <c r="N137" s="139" t="n">
        <v>6</v>
      </c>
      <c r="O137" s="145" t="n">
        <v>2</v>
      </c>
      <c r="P137" s="141" t="n">
        <v>8</v>
      </c>
      <c r="Q137" s="136" t="inlineStr">
        <is>
          <t>POTENCIA MT (&gt;1kV)</t>
        </is>
      </c>
      <c r="R137" s="136" t="inlineStr">
        <is>
          <t>VFD/VARIADOR</t>
        </is>
      </c>
    </row>
    <row r="138">
      <c r="A138" s="14" t="inlineStr">
        <is>
          <t>P-M-PAY-23310 A</t>
        </is>
      </c>
      <c r="B138" s="14" t="inlineStr">
        <is>
          <t>102-DP-VFD-23310 A</t>
        </is>
      </c>
      <c r="C138" s="14" t="inlineStr">
        <is>
          <t>M-PAY-23310 A</t>
        </is>
      </c>
      <c r="D138" s="14" t="inlineStr">
        <is>
          <t>6600</t>
        </is>
      </c>
      <c r="E138" s="14" t="inlineStr">
        <is>
          <t>350</t>
        </is>
      </c>
      <c r="F138" s="14" t="inlineStr">
        <is>
          <t>6,6kV-XLPE-Arm-B-CU</t>
        </is>
      </c>
      <c r="G138" s="14" t="inlineStr">
        <is>
          <t>3x25</t>
        </is>
      </c>
      <c r="H138" s="14" t="inlineStr">
        <is>
          <t>SALA ELÉCTRICA 4</t>
        </is>
      </c>
      <c r="I138" s="14" t="inlineStr">
        <is>
          <t>BOMBA DE CONDENSADO 0</t>
        </is>
      </c>
      <c r="J138" s="14" t="inlineStr">
        <is>
          <t>POTENCIA_MT</t>
        </is>
      </c>
      <c r="K138" s="14" t="inlineStr">
        <is>
          <t>CPF2</t>
        </is>
      </c>
      <c r="L138" s="137" t="n">
        <v>3</v>
      </c>
      <c r="M138" s="144" t="inlineStr">
        <is>
          <t>SI</t>
        </is>
      </c>
      <c r="N138" s="139" t="n">
        <v>6</v>
      </c>
      <c r="O138" s="145" t="n">
        <v>2</v>
      </c>
      <c r="P138" s="141" t="n">
        <v>8</v>
      </c>
      <c r="Q138" s="136" t="inlineStr">
        <is>
          <t>POTENCIA MT (&gt;1kV)</t>
        </is>
      </c>
      <c r="R138" s="136" t="inlineStr">
        <is>
          <t>MOTOR/ACCIONAMIENTO</t>
        </is>
      </c>
    </row>
    <row r="139">
      <c r="A139" s="14" t="inlineStr">
        <is>
          <t>P-M-PAY-23310 B</t>
        </is>
      </c>
      <c r="B139" s="14" t="inlineStr">
        <is>
          <t>102-DP-VFD-23310 B</t>
        </is>
      </c>
      <c r="C139" s="14" t="inlineStr">
        <is>
          <t>M-PAY-23310 B</t>
        </is>
      </c>
      <c r="D139" s="14" t="inlineStr">
        <is>
          <t>6600</t>
        </is>
      </c>
      <c r="E139" s="14" t="inlineStr">
        <is>
          <t>350</t>
        </is>
      </c>
      <c r="F139" s="14" t="inlineStr">
        <is>
          <t>6,6kV-XLPE-Arm-B-CU</t>
        </is>
      </c>
      <c r="G139" s="14" t="inlineStr">
        <is>
          <t>3x25</t>
        </is>
      </c>
      <c r="H139" s="14" t="inlineStr">
        <is>
          <t>SALA ELÉCTRICA 4</t>
        </is>
      </c>
      <c r="I139" s="14" t="inlineStr">
        <is>
          <t>BOMBA DE CONDENSADO 0</t>
        </is>
      </c>
      <c r="J139" s="14" t="inlineStr">
        <is>
          <t>POTENCIA_MT</t>
        </is>
      </c>
      <c r="K139" s="14" t="inlineStr">
        <is>
          <t>CPF2</t>
        </is>
      </c>
      <c r="L139" s="137" t="n">
        <v>3</v>
      </c>
      <c r="M139" s="144" t="inlineStr">
        <is>
          <t>SI</t>
        </is>
      </c>
      <c r="N139" s="139" t="n">
        <v>6</v>
      </c>
      <c r="O139" s="145" t="n">
        <v>2</v>
      </c>
      <c r="P139" s="141" t="n">
        <v>8</v>
      </c>
      <c r="Q139" s="136" t="inlineStr">
        <is>
          <t>POTENCIA MT (&gt;1kV)</t>
        </is>
      </c>
      <c r="R139" s="136" t="inlineStr">
        <is>
          <t>MOTOR/ACCIONAMIENTO</t>
        </is>
      </c>
    </row>
    <row r="140">
      <c r="A140" s="14" t="inlineStr">
        <is>
          <t>P-M-PAY-23310 C</t>
        </is>
      </c>
      <c r="B140" s="14" t="inlineStr">
        <is>
          <t>102-DP-VFD-23310 C</t>
        </is>
      </c>
      <c r="C140" s="14" t="inlineStr">
        <is>
          <t>M-PAY-23310 C</t>
        </is>
      </c>
      <c r="D140" s="14" t="inlineStr">
        <is>
          <t>6600</t>
        </is>
      </c>
      <c r="E140" s="14" t="inlineStr">
        <is>
          <t>350</t>
        </is>
      </c>
      <c r="F140" s="14" t="inlineStr">
        <is>
          <t>6,6kV-XLPE-Arm-B-CU</t>
        </is>
      </c>
      <c r="G140" s="14" t="inlineStr">
        <is>
          <t>3x25</t>
        </is>
      </c>
      <c r="H140" s="14" t="inlineStr">
        <is>
          <t>SALA ELÉCTRICA 4</t>
        </is>
      </c>
      <c r="I140" s="14" t="inlineStr">
        <is>
          <t>BOMBA DE CONDENSADO</t>
        </is>
      </c>
      <c r="J140" s="14" t="inlineStr">
        <is>
          <t>POTENCIA_MT</t>
        </is>
      </c>
      <c r="K140" s="14" t="inlineStr">
        <is>
          <t>CPF2</t>
        </is>
      </c>
      <c r="L140" s="137" t="n">
        <v>3</v>
      </c>
      <c r="M140" s="144" t="inlineStr">
        <is>
          <t>SI</t>
        </is>
      </c>
      <c r="N140" s="139" t="n">
        <v>6</v>
      </c>
      <c r="O140" s="145" t="n">
        <v>2</v>
      </c>
      <c r="P140" s="141" t="n">
        <v>8</v>
      </c>
      <c r="Q140" s="136" t="inlineStr">
        <is>
          <t>POTENCIA MT (&gt;1kV)</t>
        </is>
      </c>
      <c r="R140" s="136" t="inlineStr">
        <is>
          <t>MOTOR/ACCIONAMIENTO</t>
        </is>
      </c>
    </row>
    <row r="141">
      <c r="A141" s="14" t="inlineStr">
        <is>
          <t>P-M-PAY-23040 A</t>
        </is>
      </c>
      <c r="B141" s="14" t="inlineStr">
        <is>
          <t>102-CCM-007</t>
        </is>
      </c>
      <c r="C141" s="14" t="inlineStr">
        <is>
          <t>M-PAY-23040 A</t>
        </is>
      </c>
      <c r="D141" s="14" t="inlineStr">
        <is>
          <t>380</t>
        </is>
      </c>
      <c r="E141" s="14" t="inlineStr">
        <is>
          <t>440</t>
        </is>
      </c>
      <c r="F141" s="14" t="inlineStr">
        <is>
          <t>1kV-XLPE-Arm-CU</t>
        </is>
      </c>
      <c r="G141" s="14" t="inlineStr">
        <is>
          <t>3x50</t>
        </is>
      </c>
      <c r="H141" s="14" t="inlineStr">
        <is>
          <t>SALA ELÉCTRICA 3</t>
        </is>
      </c>
      <c r="I141" s="14" t="inlineStr">
        <is>
          <t>BOMBA BOOSTER CONDENSADO 0</t>
        </is>
      </c>
      <c r="J141" s="14" t="inlineStr">
        <is>
          <t>POTENCIA_BT</t>
        </is>
      </c>
      <c r="K141" s="14" t="inlineStr">
        <is>
          <t>CPF2</t>
        </is>
      </c>
      <c r="L141" s="137" t="n">
        <v>3</v>
      </c>
      <c r="M141" s="144" t="inlineStr">
        <is>
          <t>SI</t>
        </is>
      </c>
      <c r="N141" s="139" t="n">
        <v>6</v>
      </c>
      <c r="O141" s="145" t="n">
        <v>2</v>
      </c>
      <c r="P141" s="141" t="n">
        <v>8</v>
      </c>
      <c r="Q141" s="136" t="inlineStr">
        <is>
          <t>POTENCIA BT MEDIANA (35-70mm²)</t>
        </is>
      </c>
      <c r="R141" s="136" t="inlineStr">
        <is>
          <t>MOTOR/ACCIONAMIENTO</t>
        </is>
      </c>
    </row>
    <row r="142">
      <c r="A142" s="14" t="inlineStr">
        <is>
          <t>P-M-PAY-23040 B</t>
        </is>
      </c>
      <c r="B142" s="14" t="inlineStr">
        <is>
          <t>102-CCM-007</t>
        </is>
      </c>
      <c r="C142" s="14" t="inlineStr">
        <is>
          <t>M-PAY-23040 B</t>
        </is>
      </c>
      <c r="D142" s="14" t="inlineStr">
        <is>
          <t>380</t>
        </is>
      </c>
      <c r="E142" s="14" t="inlineStr">
        <is>
          <t>440</t>
        </is>
      </c>
      <c r="F142" s="14" t="inlineStr">
        <is>
          <t>1kV-XLPE-Arm-CU</t>
        </is>
      </c>
      <c r="G142" s="14" t="inlineStr">
        <is>
          <t>3x50</t>
        </is>
      </c>
      <c r="H142" s="14" t="inlineStr">
        <is>
          <t>SALA ELÉCTRICA 3</t>
        </is>
      </c>
      <c r="I142" s="14" t="inlineStr">
        <is>
          <t>BOMBA BOOSTER CONDENSADO 0</t>
        </is>
      </c>
      <c r="J142" s="14" t="inlineStr">
        <is>
          <t>POTENCIA_BT</t>
        </is>
      </c>
      <c r="K142" s="14" t="inlineStr">
        <is>
          <t>CPF2</t>
        </is>
      </c>
      <c r="L142" s="137" t="n">
        <v>3</v>
      </c>
      <c r="M142" s="144" t="inlineStr">
        <is>
          <t>SI</t>
        </is>
      </c>
      <c r="N142" s="139" t="n">
        <v>6</v>
      </c>
      <c r="O142" s="145" t="n">
        <v>2</v>
      </c>
      <c r="P142" s="141" t="n">
        <v>8</v>
      </c>
      <c r="Q142" s="136" t="inlineStr">
        <is>
          <t>POTENCIA BT MEDIANA (35-70mm²)</t>
        </is>
      </c>
      <c r="R142" s="136" t="inlineStr">
        <is>
          <t>MOTOR/ACCIONAMIENTO</t>
        </is>
      </c>
    </row>
    <row r="143">
      <c r="A143" s="14" t="inlineStr">
        <is>
          <t>P-M-PAY-23040 C</t>
        </is>
      </c>
      <c r="B143" s="14" t="inlineStr">
        <is>
          <t>102-CCM-007</t>
        </is>
      </c>
      <c r="C143" s="14" t="inlineStr">
        <is>
          <t>M-PAY-23040 C</t>
        </is>
      </c>
      <c r="D143" s="14" t="inlineStr">
        <is>
          <t>380</t>
        </is>
      </c>
      <c r="E143" s="14" t="inlineStr">
        <is>
          <t>440</t>
        </is>
      </c>
      <c r="F143" s="14" t="inlineStr">
        <is>
          <t>1kV-XLPE-Arm-CU</t>
        </is>
      </c>
      <c r="G143" s="14" t="inlineStr">
        <is>
          <t>3x50</t>
        </is>
      </c>
      <c r="H143" s="14" t="inlineStr">
        <is>
          <t>SALA ELÉCTRICA 3</t>
        </is>
      </c>
      <c r="I143" s="14" t="inlineStr">
        <is>
          <t>BOMBA BOOSTER CONDENSADO 0</t>
        </is>
      </c>
      <c r="J143" s="14" t="inlineStr">
        <is>
          <t>POTENCIA_BT</t>
        </is>
      </c>
      <c r="K143" s="14" t="inlineStr">
        <is>
          <t>CPF2</t>
        </is>
      </c>
      <c r="L143" s="137" t="n">
        <v>3</v>
      </c>
      <c r="M143" s="144" t="inlineStr">
        <is>
          <t>SI</t>
        </is>
      </c>
      <c r="N143" s="139" t="n">
        <v>6</v>
      </c>
      <c r="O143" s="145" t="n">
        <v>2</v>
      </c>
      <c r="P143" s="141" t="n">
        <v>8</v>
      </c>
      <c r="Q143" s="136" t="inlineStr">
        <is>
          <t>POTENCIA BT MEDIANA (35-70mm²)</t>
        </is>
      </c>
      <c r="R143" s="136" t="inlineStr">
        <is>
          <t>MOTOR/ACCIONAMIENTO</t>
        </is>
      </c>
    </row>
    <row r="144">
      <c r="A144" s="14" t="inlineStr">
        <is>
          <t>P-M-PAY-23040 D</t>
        </is>
      </c>
      <c r="B144" s="14" t="inlineStr">
        <is>
          <t>102-CCM-007</t>
        </is>
      </c>
      <c r="C144" s="14" t="inlineStr">
        <is>
          <t>M-PAY-23040 D</t>
        </is>
      </c>
      <c r="D144" s="14" t="inlineStr">
        <is>
          <t>380</t>
        </is>
      </c>
      <c r="E144" s="14" t="inlineStr">
        <is>
          <t>440</t>
        </is>
      </c>
      <c r="F144" s="14" t="inlineStr">
        <is>
          <t>1kV-XLPE-Arm-CU</t>
        </is>
      </c>
      <c r="G144" s="14" t="inlineStr">
        <is>
          <t>3x50</t>
        </is>
      </c>
      <c r="H144" s="14" t="inlineStr">
        <is>
          <t>SALA ELÉCTRICA 3</t>
        </is>
      </c>
      <c r="I144" s="14" t="inlineStr">
        <is>
          <t>BOMBA BOOSTER CONDENSADO 0</t>
        </is>
      </c>
      <c r="J144" s="14" t="inlineStr">
        <is>
          <t>POTENCIA_BT</t>
        </is>
      </c>
      <c r="K144" s="14" t="inlineStr">
        <is>
          <t>CPF2</t>
        </is>
      </c>
      <c r="L144" s="137" t="n">
        <v>3</v>
      </c>
      <c r="M144" s="144" t="inlineStr">
        <is>
          <t>SI</t>
        </is>
      </c>
      <c r="N144" s="139" t="n">
        <v>6</v>
      </c>
      <c r="O144" s="145" t="n">
        <v>2</v>
      </c>
      <c r="P144" s="141" t="n">
        <v>8</v>
      </c>
      <c r="Q144" s="136" t="inlineStr">
        <is>
          <t>POTENCIA BT MEDIANA (35-70mm²)</t>
        </is>
      </c>
      <c r="R144" s="136" t="inlineStr">
        <is>
          <t>MOTOR/ACCIONAMIENTO</t>
        </is>
      </c>
    </row>
    <row r="145">
      <c r="A145" s="14" t="inlineStr">
        <is>
          <t>P-102-TR-24210 A  -1</t>
        </is>
      </c>
      <c r="B145" s="14" t="inlineStr">
        <is>
          <t>102-CCM-007</t>
        </is>
      </c>
      <c r="C145" s="14" t="inlineStr">
        <is>
          <t>102-TR-24210 A</t>
        </is>
      </c>
      <c r="D145" s="14" t="inlineStr">
        <is>
          <t>380</t>
        </is>
      </c>
      <c r="E145" s="14" t="inlineStr">
        <is>
          <t>20</t>
        </is>
      </c>
      <c r="F145" s="14" t="inlineStr">
        <is>
          <t>1kV-XLPE-Arm-CU</t>
        </is>
      </c>
      <c r="G145" s="14" t="inlineStr">
        <is>
          <t>3x240</t>
        </is>
      </c>
      <c r="H145" s="14" t="inlineStr">
        <is>
          <t>SALA ELÉCTRICA 3</t>
        </is>
      </c>
      <c r="I145" s="14" t="inlineStr">
        <is>
          <t>BOMBA DE INYECCION DE AGUA 0</t>
        </is>
      </c>
      <c r="J145" s="14" t="inlineStr">
        <is>
          <t>POTENCIA_BT</t>
        </is>
      </c>
      <c r="K145" s="14" t="inlineStr">
        <is>
          <t>CPF2</t>
        </is>
      </c>
      <c r="L145" s="137" t="n">
        <v>3</v>
      </c>
      <c r="M145" s="144" t="inlineStr">
        <is>
          <t>SI</t>
        </is>
      </c>
      <c r="N145" s="139" t="n">
        <v>6</v>
      </c>
      <c r="O145" s="145" t="n">
        <v>2</v>
      </c>
      <c r="P145" s="141" t="n">
        <v>8</v>
      </c>
      <c r="Q145" s="136" t="inlineStr">
        <is>
          <t>POTENCIA BT GRANDE (≥95mm²)</t>
        </is>
      </c>
      <c r="R145" s="136" t="inlineStr">
        <is>
          <t>MOTOR/ACCIONAMIENTO</t>
        </is>
      </c>
    </row>
    <row r="146">
      <c r="A146" s="14" t="inlineStr">
        <is>
          <t>P-102-TR-24210 A  -2</t>
        </is>
      </c>
      <c r="B146" s="14" t="inlineStr">
        <is>
          <t>102-CCM-007</t>
        </is>
      </c>
      <c r="C146" s="14" t="inlineStr">
        <is>
          <t>102-TR-24210 A</t>
        </is>
      </c>
      <c r="D146" s="14" t="inlineStr">
        <is>
          <t>380</t>
        </is>
      </c>
      <c r="E146" s="14" t="inlineStr">
        <is>
          <t>20</t>
        </is>
      </c>
      <c r="F146" s="14" t="inlineStr">
        <is>
          <t>1kV-XLPE-Arm-CU</t>
        </is>
      </c>
      <c r="G146" s="14" t="inlineStr">
        <is>
          <t>3x240</t>
        </is>
      </c>
      <c r="H146" s="14" t="inlineStr">
        <is>
          <t>SALA ELÉCTRICA 3</t>
        </is>
      </c>
      <c r="I146" s="14" t="inlineStr">
        <is>
          <t>BOMBA DE INYECCION DE AGUA 0</t>
        </is>
      </c>
      <c r="J146" s="14" t="inlineStr">
        <is>
          <t>POTENCIA_BT</t>
        </is>
      </c>
      <c r="K146" s="14" t="inlineStr">
        <is>
          <t>CPF2</t>
        </is>
      </c>
      <c r="L146" s="137" t="n">
        <v>3</v>
      </c>
      <c r="M146" s="144" t="inlineStr">
        <is>
          <t>SI</t>
        </is>
      </c>
      <c r="N146" s="139" t="n">
        <v>6</v>
      </c>
      <c r="O146" s="145" t="n">
        <v>2</v>
      </c>
      <c r="P146" s="141" t="n">
        <v>8</v>
      </c>
      <c r="Q146" s="136" t="inlineStr">
        <is>
          <t>POTENCIA BT GRANDE (≥95mm²)</t>
        </is>
      </c>
      <c r="R146" s="136" t="inlineStr">
        <is>
          <t>MOTOR/ACCIONAMIENTO</t>
        </is>
      </c>
    </row>
    <row r="147">
      <c r="A147" s="14" t="inlineStr">
        <is>
          <t>P-102-TR-24210 B  -1</t>
        </is>
      </c>
      <c r="B147" s="14" t="inlineStr">
        <is>
          <t>102-CCM-007</t>
        </is>
      </c>
      <c r="C147" s="14" t="inlineStr">
        <is>
          <t>102-TR-24210 B</t>
        </is>
      </c>
      <c r="D147" s="14" t="inlineStr">
        <is>
          <t>380</t>
        </is>
      </c>
      <c r="E147" s="14" t="inlineStr">
        <is>
          <t>20</t>
        </is>
      </c>
      <c r="F147" s="14" t="inlineStr">
        <is>
          <t>1kV-XLPE-Arm-CU</t>
        </is>
      </c>
      <c r="G147" s="14" t="inlineStr">
        <is>
          <t>3x240</t>
        </is>
      </c>
      <c r="H147" s="14" t="inlineStr">
        <is>
          <t>SALA ELÉCTRICA 3</t>
        </is>
      </c>
      <c r="I147" s="14" t="inlineStr">
        <is>
          <t>BOMBA DE INYECCION DE AGUA 0</t>
        </is>
      </c>
      <c r="J147" s="14" t="inlineStr">
        <is>
          <t>POTENCIA_BT</t>
        </is>
      </c>
      <c r="K147" s="14" t="inlineStr">
        <is>
          <t>CPF2</t>
        </is>
      </c>
      <c r="L147" s="137" t="n">
        <v>3</v>
      </c>
      <c r="M147" s="144" t="inlineStr">
        <is>
          <t>SI</t>
        </is>
      </c>
      <c r="N147" s="139" t="n">
        <v>6</v>
      </c>
      <c r="O147" s="145" t="n">
        <v>2</v>
      </c>
      <c r="P147" s="141" t="n">
        <v>8</v>
      </c>
      <c r="Q147" s="136" t="inlineStr">
        <is>
          <t>POTENCIA BT GRANDE (≥95mm²)</t>
        </is>
      </c>
      <c r="R147" s="136" t="inlineStr">
        <is>
          <t>MOTOR/ACCIONAMIENTO</t>
        </is>
      </c>
    </row>
    <row r="148">
      <c r="A148" s="14" t="inlineStr">
        <is>
          <t>P-102-TR-24210 B  -2</t>
        </is>
      </c>
      <c r="B148" s="14" t="inlineStr">
        <is>
          <t>102-CCM-007</t>
        </is>
      </c>
      <c r="C148" s="14" t="inlineStr">
        <is>
          <t>102-TR-24210 B</t>
        </is>
      </c>
      <c r="D148" s="14" t="inlineStr">
        <is>
          <t>380</t>
        </is>
      </c>
      <c r="E148" s="14" t="inlineStr">
        <is>
          <t>20</t>
        </is>
      </c>
      <c r="F148" s="14" t="inlineStr">
        <is>
          <t>1kV-XLPE-Arm-CU</t>
        </is>
      </c>
      <c r="G148" s="14" t="inlineStr">
        <is>
          <t>3x240</t>
        </is>
      </c>
      <c r="H148" s="14" t="inlineStr">
        <is>
          <t>SALA ELÉCTRICA 3</t>
        </is>
      </c>
      <c r="I148" s="14" t="inlineStr">
        <is>
          <t>BOMBA DE INYECCION DE AGUA 0</t>
        </is>
      </c>
      <c r="J148" s="14" t="inlineStr">
        <is>
          <t>POTENCIA_BT</t>
        </is>
      </c>
      <c r="K148" s="14" t="inlineStr">
        <is>
          <t>CPF2</t>
        </is>
      </c>
      <c r="L148" s="137" t="n">
        <v>3</v>
      </c>
      <c r="M148" s="144" t="inlineStr">
        <is>
          <t>SI</t>
        </is>
      </c>
      <c r="N148" s="139" t="n">
        <v>6</v>
      </c>
      <c r="O148" s="145" t="n">
        <v>2</v>
      </c>
      <c r="P148" s="141" t="n">
        <v>8</v>
      </c>
      <c r="Q148" s="136" t="inlineStr">
        <is>
          <t>POTENCIA BT GRANDE (≥95mm²)</t>
        </is>
      </c>
      <c r="R148" s="136" t="inlineStr">
        <is>
          <t>MOTOR/ACCIONAMIENTO</t>
        </is>
      </c>
    </row>
    <row r="149">
      <c r="A149" s="14" t="inlineStr">
        <is>
          <t>P-102-TR-24210 C -1</t>
        </is>
      </c>
      <c r="B149" s="14" t="inlineStr">
        <is>
          <t>102-CCM-007</t>
        </is>
      </c>
      <c r="C149" s="14" t="inlineStr">
        <is>
          <t>102-TR-24210 C</t>
        </is>
      </c>
      <c r="D149" s="14" t="inlineStr">
        <is>
          <t>380</t>
        </is>
      </c>
      <c r="E149" s="14" t="inlineStr">
        <is>
          <t>20</t>
        </is>
      </c>
      <c r="F149" s="14" t="inlineStr">
        <is>
          <t>1kV-XLPE-Arm-CU</t>
        </is>
      </c>
      <c r="G149" s="14" t="inlineStr">
        <is>
          <t>3x240</t>
        </is>
      </c>
      <c r="H149" s="14" t="inlineStr">
        <is>
          <t>SALA ELÉCTRICA 3</t>
        </is>
      </c>
      <c r="I149" s="14" t="inlineStr">
        <is>
          <t>BOMBA DE INYECCION DE AGUA 0</t>
        </is>
      </c>
      <c r="J149" s="14" t="inlineStr">
        <is>
          <t>POTENCIA_BT</t>
        </is>
      </c>
      <c r="K149" s="14" t="inlineStr">
        <is>
          <t>CPF2</t>
        </is>
      </c>
      <c r="L149" s="137" t="n">
        <v>3</v>
      </c>
      <c r="M149" s="144" t="inlineStr">
        <is>
          <t>SI</t>
        </is>
      </c>
      <c r="N149" s="139" t="n">
        <v>6</v>
      </c>
      <c r="O149" s="145" t="n">
        <v>2</v>
      </c>
      <c r="P149" s="141" t="n">
        <v>8</v>
      </c>
      <c r="Q149" s="136" t="inlineStr">
        <is>
          <t>POTENCIA BT GRANDE (≥95mm²)</t>
        </is>
      </c>
      <c r="R149" s="136" t="inlineStr">
        <is>
          <t>MOTOR/ACCIONAMIENTO</t>
        </is>
      </c>
    </row>
    <row r="150">
      <c r="A150" s="14" t="inlineStr">
        <is>
          <t>P-102-TR-24210 C -2</t>
        </is>
      </c>
      <c r="B150" s="14" t="inlineStr">
        <is>
          <t>102-CCM-007</t>
        </is>
      </c>
      <c r="C150" s="14" t="inlineStr">
        <is>
          <t>102-TR-24210 C</t>
        </is>
      </c>
      <c r="D150" s="14" t="inlineStr">
        <is>
          <t>380</t>
        </is>
      </c>
      <c r="E150" s="14" t="inlineStr">
        <is>
          <t>20</t>
        </is>
      </c>
      <c r="F150" s="14" t="inlineStr">
        <is>
          <t>1kV-XLPE-Arm-CU</t>
        </is>
      </c>
      <c r="G150" s="14" t="inlineStr">
        <is>
          <t>3x240</t>
        </is>
      </c>
      <c r="H150" s="14" t="inlineStr">
        <is>
          <t>SALA ELÉCTRICA 3</t>
        </is>
      </c>
      <c r="I150" s="14" t="inlineStr">
        <is>
          <t>BOMBA DE INYECCION DE AGUA 0</t>
        </is>
      </c>
      <c r="J150" s="14" t="inlineStr">
        <is>
          <t>POTENCIA_BT</t>
        </is>
      </c>
      <c r="K150" s="14" t="inlineStr">
        <is>
          <t>CPF2</t>
        </is>
      </c>
      <c r="L150" s="137" t="n">
        <v>3</v>
      </c>
      <c r="M150" s="144" t="inlineStr">
        <is>
          <t>SI</t>
        </is>
      </c>
      <c r="N150" s="139" t="n">
        <v>6</v>
      </c>
      <c r="O150" s="145" t="n">
        <v>2</v>
      </c>
      <c r="P150" s="141" t="n">
        <v>8</v>
      </c>
      <c r="Q150" s="136" t="inlineStr">
        <is>
          <t>POTENCIA BT GRANDE (≥95mm²)</t>
        </is>
      </c>
      <c r="R150" s="136" t="inlineStr">
        <is>
          <t>MOTOR/ACCIONAMIENTO</t>
        </is>
      </c>
    </row>
    <row r="151">
      <c r="A151" s="14" t="inlineStr">
        <is>
          <t>P-102-DP-VFD-24210 A  -1</t>
        </is>
      </c>
      <c r="B151" s="14" t="inlineStr">
        <is>
          <t>102-TR-24210 A</t>
        </is>
      </c>
      <c r="C151" s="14" t="inlineStr">
        <is>
          <t>102-DP-VFD-24210 A</t>
        </is>
      </c>
      <c r="D151" s="14" t="inlineStr">
        <is>
          <t>460</t>
        </is>
      </c>
      <c r="E151" s="14" t="inlineStr">
        <is>
          <t>30</t>
        </is>
      </c>
      <c r="F151" s="14" t="inlineStr">
        <is>
          <t>1kV-XLPE-Arm-CU</t>
        </is>
      </c>
      <c r="G151" s="14" t="inlineStr">
        <is>
          <t>3x240</t>
        </is>
      </c>
      <c r="H151" s="14" t="inlineStr">
        <is>
          <t>SALA ELÉCTRICA 3</t>
        </is>
      </c>
      <c r="I151" s="14" t="inlineStr">
        <is>
          <t>BOMBA DE INYECCION DE AGUA</t>
        </is>
      </c>
      <c r="J151" s="14" t="inlineStr">
        <is>
          <t>POTENCIA_BT</t>
        </is>
      </c>
      <c r="K151" s="14" t="inlineStr">
        <is>
          <t>CPF2</t>
        </is>
      </c>
      <c r="L151" s="137" t="n">
        <v>3</v>
      </c>
      <c r="M151" s="144" t="inlineStr">
        <is>
          <t>SI</t>
        </is>
      </c>
      <c r="N151" s="139" t="n">
        <v>6</v>
      </c>
      <c r="O151" s="145" t="n">
        <v>2</v>
      </c>
      <c r="P151" s="141" t="n">
        <v>8</v>
      </c>
      <c r="Q151" s="136" t="inlineStr">
        <is>
          <t>POTENCIA BT GRANDE (≥95mm²)</t>
        </is>
      </c>
      <c r="R151" s="136" t="inlineStr">
        <is>
          <t>VFD/VARIADOR</t>
        </is>
      </c>
    </row>
    <row r="152">
      <c r="A152" s="14" t="inlineStr">
        <is>
          <t>P-102-DP-VFD-24210 A  -2</t>
        </is>
      </c>
      <c r="B152" s="14" t="inlineStr">
        <is>
          <t>102-TR-24210 A</t>
        </is>
      </c>
      <c r="C152" s="14" t="inlineStr">
        <is>
          <t>102-DP-VFD-24210 A</t>
        </is>
      </c>
      <c r="D152" s="14" t="inlineStr">
        <is>
          <t>460</t>
        </is>
      </c>
      <c r="E152" s="14" t="inlineStr">
        <is>
          <t>30</t>
        </is>
      </c>
      <c r="F152" s="14" t="inlineStr">
        <is>
          <t>1kV-XLPE-Arm-CU</t>
        </is>
      </c>
      <c r="G152" s="14" t="inlineStr">
        <is>
          <t>3x240</t>
        </is>
      </c>
      <c r="H152" s="14" t="inlineStr">
        <is>
          <t>SALA ELÉCTRICA 3</t>
        </is>
      </c>
      <c r="I152" s="14" t="inlineStr">
        <is>
          <t>BOMBA DE INYECCION DE AGUA 0</t>
        </is>
      </c>
      <c r="J152" s="14" t="inlineStr">
        <is>
          <t>POTENCIA_BT</t>
        </is>
      </c>
      <c r="K152" s="14" t="inlineStr">
        <is>
          <t>CPF2</t>
        </is>
      </c>
      <c r="L152" s="137" t="n">
        <v>3</v>
      </c>
      <c r="M152" s="144" t="inlineStr">
        <is>
          <t>SI</t>
        </is>
      </c>
      <c r="N152" s="139" t="n">
        <v>6</v>
      </c>
      <c r="O152" s="145" t="n">
        <v>2</v>
      </c>
      <c r="P152" s="141" t="n">
        <v>8</v>
      </c>
      <c r="Q152" s="136" t="inlineStr">
        <is>
          <t>POTENCIA BT GRANDE (≥95mm²)</t>
        </is>
      </c>
      <c r="R152" s="136" t="inlineStr">
        <is>
          <t>VFD/VARIADOR</t>
        </is>
      </c>
    </row>
    <row r="153">
      <c r="A153" s="14" t="inlineStr">
        <is>
          <t>P-102-DP-VFD-24210 B  -1</t>
        </is>
      </c>
      <c r="B153" s="14" t="inlineStr">
        <is>
          <t>102-TR-24210 B</t>
        </is>
      </c>
      <c r="C153" s="14" t="inlineStr">
        <is>
          <t>102-DP-VFD-24210 B</t>
        </is>
      </c>
      <c r="D153" s="14" t="inlineStr">
        <is>
          <t>460</t>
        </is>
      </c>
      <c r="E153" s="14" t="inlineStr">
        <is>
          <t>30</t>
        </is>
      </c>
      <c r="F153" s="14" t="inlineStr">
        <is>
          <t>1kV-XLPE-Arm-CU</t>
        </is>
      </c>
      <c r="G153" s="14" t="inlineStr">
        <is>
          <t>3x240</t>
        </is>
      </c>
      <c r="H153" s="14" t="inlineStr">
        <is>
          <t>SALA ELÉCTRICA 3</t>
        </is>
      </c>
      <c r="I153" s="14" t="inlineStr">
        <is>
          <t>BOMBA DE INYECCION DE AGUA 0</t>
        </is>
      </c>
      <c r="J153" s="14" t="inlineStr">
        <is>
          <t>POTENCIA_BT</t>
        </is>
      </c>
      <c r="K153" s="14" t="inlineStr">
        <is>
          <t>CPF2</t>
        </is>
      </c>
      <c r="L153" s="137" t="n">
        <v>3</v>
      </c>
      <c r="M153" s="144" t="inlineStr">
        <is>
          <t>SI</t>
        </is>
      </c>
      <c r="N153" s="139" t="n">
        <v>6</v>
      </c>
      <c r="O153" s="145" t="n">
        <v>2</v>
      </c>
      <c r="P153" s="141" t="n">
        <v>8</v>
      </c>
      <c r="Q153" s="136" t="inlineStr">
        <is>
          <t>POTENCIA BT GRANDE (≥95mm²)</t>
        </is>
      </c>
      <c r="R153" s="136" t="inlineStr">
        <is>
          <t>VFD/VARIADOR</t>
        </is>
      </c>
    </row>
    <row r="154">
      <c r="A154" s="14" t="inlineStr">
        <is>
          <t>P-102-DP-VFD-24210 B  -2</t>
        </is>
      </c>
      <c r="B154" s="14" t="inlineStr">
        <is>
          <t>102-TR-24210 B</t>
        </is>
      </c>
      <c r="C154" s="14" t="inlineStr">
        <is>
          <t>102-DP-VFD-24210 B</t>
        </is>
      </c>
      <c r="D154" s="14" t="inlineStr">
        <is>
          <t>460</t>
        </is>
      </c>
      <c r="E154" s="14" t="inlineStr">
        <is>
          <t>30</t>
        </is>
      </c>
      <c r="F154" s="14" t="inlineStr">
        <is>
          <t>1kV-XLPE-Arm-CU</t>
        </is>
      </c>
      <c r="G154" s="14" t="inlineStr">
        <is>
          <t>3x240</t>
        </is>
      </c>
      <c r="H154" s="14" t="inlineStr">
        <is>
          <t>SALA ELÉCTRICA 3</t>
        </is>
      </c>
      <c r="I154" s="14" t="inlineStr">
        <is>
          <t>BOMBA DE INYECCION DE AGUA 0</t>
        </is>
      </c>
      <c r="J154" s="14" t="inlineStr">
        <is>
          <t>POTENCIA_BT</t>
        </is>
      </c>
      <c r="K154" s="14" t="inlineStr">
        <is>
          <t>CPF2</t>
        </is>
      </c>
      <c r="L154" s="137" t="n">
        <v>3</v>
      </c>
      <c r="M154" s="144" t="inlineStr">
        <is>
          <t>SI</t>
        </is>
      </c>
      <c r="N154" s="139" t="n">
        <v>6</v>
      </c>
      <c r="O154" s="145" t="n">
        <v>2</v>
      </c>
      <c r="P154" s="141" t="n">
        <v>8</v>
      </c>
      <c r="Q154" s="136" t="inlineStr">
        <is>
          <t>POTENCIA BT GRANDE (≥95mm²)</t>
        </is>
      </c>
      <c r="R154" s="136" t="inlineStr">
        <is>
          <t>VFD/VARIADOR</t>
        </is>
      </c>
    </row>
    <row r="155">
      <c r="A155" s="14" t="inlineStr">
        <is>
          <t>P-102-DP-VFD-24210 C -1</t>
        </is>
      </c>
      <c r="B155" s="14" t="inlineStr">
        <is>
          <t>102-TR-24210 C</t>
        </is>
      </c>
      <c r="C155" s="14" t="inlineStr">
        <is>
          <t>102-DP-VFD-24210 C</t>
        </is>
      </c>
      <c r="D155" s="14" t="inlineStr">
        <is>
          <t>460</t>
        </is>
      </c>
      <c r="E155" s="14" t="inlineStr">
        <is>
          <t>30</t>
        </is>
      </c>
      <c r="F155" s="14" t="inlineStr">
        <is>
          <t>1kV-XLPE-Arm-CU</t>
        </is>
      </c>
      <c r="G155" s="14" t="inlineStr">
        <is>
          <t>3x240</t>
        </is>
      </c>
      <c r="H155" s="14" t="inlineStr">
        <is>
          <t>SALA ELÉCTRICA 3</t>
        </is>
      </c>
      <c r="I155" s="14" t="inlineStr">
        <is>
          <t>BOMBA DE INYECCION DE AGUA 0</t>
        </is>
      </c>
      <c r="J155" s="14" t="inlineStr">
        <is>
          <t>POTENCIA_BT</t>
        </is>
      </c>
      <c r="K155" s="14" t="inlineStr">
        <is>
          <t>CPF2</t>
        </is>
      </c>
      <c r="L155" s="137" t="n">
        <v>3</v>
      </c>
      <c r="M155" s="144" t="inlineStr">
        <is>
          <t>SI</t>
        </is>
      </c>
      <c r="N155" s="139" t="n">
        <v>6</v>
      </c>
      <c r="O155" s="145" t="n">
        <v>2</v>
      </c>
      <c r="P155" s="141" t="n">
        <v>8</v>
      </c>
      <c r="Q155" s="136" t="inlineStr">
        <is>
          <t>POTENCIA BT GRANDE (≥95mm²)</t>
        </is>
      </c>
      <c r="R155" s="136" t="inlineStr">
        <is>
          <t>VFD/VARIADOR</t>
        </is>
      </c>
    </row>
    <row r="156">
      <c r="A156" s="14" t="inlineStr">
        <is>
          <t>P-102-DP-VFD-24210 C -2</t>
        </is>
      </c>
      <c r="B156" s="14" t="inlineStr">
        <is>
          <t>102-TR-24210 C</t>
        </is>
      </c>
      <c r="C156" s="14" t="inlineStr">
        <is>
          <t>102-DP-VFD-24210 C</t>
        </is>
      </c>
      <c r="D156" s="14" t="inlineStr">
        <is>
          <t>460</t>
        </is>
      </c>
      <c r="E156" s="14" t="inlineStr">
        <is>
          <t>30</t>
        </is>
      </c>
      <c r="F156" s="14" t="inlineStr">
        <is>
          <t>1kV-XLPE-Arm-CU</t>
        </is>
      </c>
      <c r="G156" s="14" t="inlineStr">
        <is>
          <t>3x240</t>
        </is>
      </c>
      <c r="H156" s="14" t="inlineStr">
        <is>
          <t>SALA ELÉCTRICA 3</t>
        </is>
      </c>
      <c r="I156" s="14" t="inlineStr">
        <is>
          <t>BOMBA DE INYECCION DE AGUA 0</t>
        </is>
      </c>
      <c r="J156" s="14" t="inlineStr">
        <is>
          <t>POTENCIA_BT</t>
        </is>
      </c>
      <c r="K156" s="14" t="inlineStr">
        <is>
          <t>CPF2</t>
        </is>
      </c>
      <c r="L156" s="137" t="n">
        <v>3</v>
      </c>
      <c r="M156" s="144" t="inlineStr">
        <is>
          <t>SI</t>
        </is>
      </c>
      <c r="N156" s="139" t="n">
        <v>6</v>
      </c>
      <c r="O156" s="145" t="n">
        <v>2</v>
      </c>
      <c r="P156" s="141" t="n">
        <v>8</v>
      </c>
      <c r="Q156" s="136" t="inlineStr">
        <is>
          <t>POTENCIA BT GRANDE (≥95mm²)</t>
        </is>
      </c>
      <c r="R156" s="136" t="inlineStr">
        <is>
          <t>VFD/VARIADOR</t>
        </is>
      </c>
    </row>
    <row r="157">
      <c r="A157" s="14" t="inlineStr">
        <is>
          <t>P-M-PAZ-24210 A  -1</t>
        </is>
      </c>
      <c r="B157" s="14" t="inlineStr">
        <is>
          <t>102-DP-VFD-24210 A</t>
        </is>
      </c>
      <c r="C157" s="14" t="inlineStr">
        <is>
          <t>M-PAZ-24210 A</t>
        </is>
      </c>
      <c r="D157" s="14" t="inlineStr">
        <is>
          <t>460</t>
        </is>
      </c>
      <c r="E157" s="14" t="inlineStr">
        <is>
          <t>250</t>
        </is>
      </c>
      <c r="F157" s="14" t="inlineStr">
        <is>
          <t>1kV-XLPE-Arm-B-CU</t>
        </is>
      </c>
      <c r="G157" s="14" t="inlineStr">
        <is>
          <t>3x240</t>
        </is>
      </c>
      <c r="H157" s="14" t="inlineStr">
        <is>
          <t>SALA ELÉCTRICA 3</t>
        </is>
      </c>
      <c r="I157" s="14" t="inlineStr">
        <is>
          <t>BOMBA DE INYECCION DE AGUA 0</t>
        </is>
      </c>
      <c r="J157" s="14" t="inlineStr">
        <is>
          <t>POTENCIA_BT</t>
        </is>
      </c>
      <c r="K157" s="14" t="inlineStr">
        <is>
          <t>CPF2</t>
        </is>
      </c>
      <c r="L157" s="137" t="n">
        <v>3</v>
      </c>
      <c r="M157" s="144" t="inlineStr">
        <is>
          <t>SI</t>
        </is>
      </c>
      <c r="N157" s="139" t="n">
        <v>6</v>
      </c>
      <c r="O157" s="145" t="n">
        <v>2</v>
      </c>
      <c r="P157" s="141" t="n">
        <v>8</v>
      </c>
      <c r="Q157" s="136" t="inlineStr">
        <is>
          <t>POTENCIA BT GRANDE (≥95mm²)</t>
        </is>
      </c>
      <c r="R157" s="136" t="inlineStr">
        <is>
          <t>MOTOR/ACCIONAMIENTO</t>
        </is>
      </c>
    </row>
    <row r="158">
      <c r="A158" s="14" t="inlineStr">
        <is>
          <t>P-M-PAZ-24210 A  -2</t>
        </is>
      </c>
      <c r="B158" s="14" t="inlineStr">
        <is>
          <t>102-DP-VFD-24210 A</t>
        </is>
      </c>
      <c r="C158" s="14" t="inlineStr">
        <is>
          <t>M-PAZ-24210 A</t>
        </is>
      </c>
      <c r="D158" s="14" t="inlineStr">
        <is>
          <t>460</t>
        </is>
      </c>
      <c r="E158" s="14" t="inlineStr">
        <is>
          <t>250</t>
        </is>
      </c>
      <c r="F158" s="14" t="inlineStr">
        <is>
          <t>1kV-XLPE-Arm-B-CU</t>
        </is>
      </c>
      <c r="G158" s="14" t="inlineStr">
        <is>
          <t>3x240</t>
        </is>
      </c>
      <c r="H158" s="14" t="inlineStr">
        <is>
          <t>SALA ELÉCTRICA 3</t>
        </is>
      </c>
      <c r="I158" s="14" t="inlineStr">
        <is>
          <t>BOMBA DE INYECCION DE AGUA 0</t>
        </is>
      </c>
      <c r="J158" s="14" t="inlineStr">
        <is>
          <t>POTENCIA_BT</t>
        </is>
      </c>
      <c r="K158" s="14" t="inlineStr">
        <is>
          <t>CPF2</t>
        </is>
      </c>
      <c r="L158" s="137" t="n">
        <v>3</v>
      </c>
      <c r="M158" s="144" t="inlineStr">
        <is>
          <t>SI</t>
        </is>
      </c>
      <c r="N158" s="139" t="n">
        <v>6</v>
      </c>
      <c r="O158" s="145" t="n">
        <v>2</v>
      </c>
      <c r="P158" s="141" t="n">
        <v>8</v>
      </c>
      <c r="Q158" s="136" t="inlineStr">
        <is>
          <t>POTENCIA BT GRANDE (≥95mm²)</t>
        </is>
      </c>
      <c r="R158" s="136" t="inlineStr">
        <is>
          <t>MOTOR/ACCIONAMIENTO</t>
        </is>
      </c>
    </row>
    <row r="159">
      <c r="A159" s="14" t="inlineStr">
        <is>
          <t>P-M-PAZ-24210 B  -1</t>
        </is>
      </c>
      <c r="B159" s="14" t="inlineStr">
        <is>
          <t>102-DP-VFD-24210 B</t>
        </is>
      </c>
      <c r="C159" s="14" t="inlineStr">
        <is>
          <t>M-PAZ-24210 B</t>
        </is>
      </c>
      <c r="D159" s="14" t="inlineStr">
        <is>
          <t>460</t>
        </is>
      </c>
      <c r="E159" s="14" t="inlineStr">
        <is>
          <t>250</t>
        </is>
      </c>
      <c r="F159" s="14" t="inlineStr">
        <is>
          <t>1kV-XLPE-Arm-B-CU</t>
        </is>
      </c>
      <c r="G159" s="14" t="inlineStr">
        <is>
          <t>3x240</t>
        </is>
      </c>
      <c r="H159" s="14" t="inlineStr">
        <is>
          <t>SALA ELÉCTRICA 3</t>
        </is>
      </c>
      <c r="I159" s="14" t="inlineStr">
        <is>
          <t>BOMBA DE INYECCION DE AGUA 0</t>
        </is>
      </c>
      <c r="J159" s="14" t="inlineStr">
        <is>
          <t>POTENCIA_BT</t>
        </is>
      </c>
      <c r="K159" s="14" t="inlineStr">
        <is>
          <t>CPF2</t>
        </is>
      </c>
      <c r="L159" s="137" t="n">
        <v>3</v>
      </c>
      <c r="M159" s="144" t="inlineStr">
        <is>
          <t>SI</t>
        </is>
      </c>
      <c r="N159" s="139" t="n">
        <v>6</v>
      </c>
      <c r="O159" s="145" t="n">
        <v>2</v>
      </c>
      <c r="P159" s="141" t="n">
        <v>8</v>
      </c>
      <c r="Q159" s="136" t="inlineStr">
        <is>
          <t>POTENCIA BT GRANDE (≥95mm²)</t>
        </is>
      </c>
      <c r="R159" s="136" t="inlineStr">
        <is>
          <t>MOTOR/ACCIONAMIENTO</t>
        </is>
      </c>
    </row>
    <row r="160">
      <c r="A160" s="14" t="inlineStr">
        <is>
          <t>P-M-PAZ-24210 B  -2</t>
        </is>
      </c>
      <c r="B160" s="14" t="inlineStr">
        <is>
          <t>102-DP-VFD-24210 B</t>
        </is>
      </c>
      <c r="C160" s="14" t="inlineStr">
        <is>
          <t>M-PAZ-24210 B</t>
        </is>
      </c>
      <c r="D160" s="14" t="inlineStr">
        <is>
          <t>460</t>
        </is>
      </c>
      <c r="E160" s="14" t="inlineStr">
        <is>
          <t>250</t>
        </is>
      </c>
      <c r="F160" s="14" t="inlineStr">
        <is>
          <t>1kV-XLPE-Arm-B-CU</t>
        </is>
      </c>
      <c r="G160" s="14" t="inlineStr">
        <is>
          <t>3x240</t>
        </is>
      </c>
      <c r="H160" s="14" t="inlineStr">
        <is>
          <t>SALA ELÉCTRICA 3</t>
        </is>
      </c>
      <c r="I160" s="14" t="inlineStr">
        <is>
          <t>BOMBA DE INYECCION DE AGUA 0</t>
        </is>
      </c>
      <c r="J160" s="14" t="inlineStr">
        <is>
          <t>POTENCIA_BT</t>
        </is>
      </c>
      <c r="K160" s="14" t="inlineStr">
        <is>
          <t>CPF2</t>
        </is>
      </c>
      <c r="L160" s="137" t="n">
        <v>3</v>
      </c>
      <c r="M160" s="144" t="inlineStr">
        <is>
          <t>SI</t>
        </is>
      </c>
      <c r="N160" s="139" t="n">
        <v>6</v>
      </c>
      <c r="O160" s="145" t="n">
        <v>2</v>
      </c>
      <c r="P160" s="141" t="n">
        <v>8</v>
      </c>
      <c r="Q160" s="136" t="inlineStr">
        <is>
          <t>POTENCIA BT GRANDE (≥95mm²)</t>
        </is>
      </c>
      <c r="R160" s="136" t="inlineStr">
        <is>
          <t>MOTOR/ACCIONAMIENTO</t>
        </is>
      </c>
    </row>
    <row r="161">
      <c r="A161" s="14" t="inlineStr">
        <is>
          <t>P-M-PAZ-24210 C  -1</t>
        </is>
      </c>
      <c r="B161" s="14" t="inlineStr">
        <is>
          <t>102-DP-VFD-24210 C</t>
        </is>
      </c>
      <c r="C161" s="14" t="inlineStr">
        <is>
          <t>M-PAZ-24210 C</t>
        </is>
      </c>
      <c r="D161" s="14" t="inlineStr">
        <is>
          <t>460</t>
        </is>
      </c>
      <c r="E161" s="14" t="inlineStr">
        <is>
          <t>250</t>
        </is>
      </c>
      <c r="F161" s="14" t="inlineStr">
        <is>
          <t>1kV-XLPE-Arm-B-CU</t>
        </is>
      </c>
      <c r="G161" s="14" t="inlineStr">
        <is>
          <t>3x240</t>
        </is>
      </c>
      <c r="H161" s="14" t="inlineStr">
        <is>
          <t>SALA ELÉCTRICA 3</t>
        </is>
      </c>
      <c r="I161" s="14" t="inlineStr">
        <is>
          <t>BOMBA DE INYECCION DE AGUA 0</t>
        </is>
      </c>
      <c r="J161" s="14" t="inlineStr">
        <is>
          <t>POTENCIA_BT</t>
        </is>
      </c>
      <c r="K161" s="14" t="inlineStr">
        <is>
          <t>CPF2</t>
        </is>
      </c>
      <c r="L161" s="137" t="n">
        <v>3</v>
      </c>
      <c r="M161" s="144" t="inlineStr">
        <is>
          <t>SI</t>
        </is>
      </c>
      <c r="N161" s="139" t="n">
        <v>6</v>
      </c>
      <c r="O161" s="145" t="n">
        <v>2</v>
      </c>
      <c r="P161" s="141" t="n">
        <v>8</v>
      </c>
      <c r="Q161" s="136" t="inlineStr">
        <is>
          <t>POTENCIA BT GRANDE (≥95mm²)</t>
        </is>
      </c>
      <c r="R161" s="136" t="inlineStr">
        <is>
          <t>MOTOR/ACCIONAMIENTO</t>
        </is>
      </c>
    </row>
    <row r="162">
      <c r="A162" s="14" t="inlineStr">
        <is>
          <t>P-M-PAZ-24210 C  -2</t>
        </is>
      </c>
      <c r="B162" s="14" t="inlineStr">
        <is>
          <t>102-DP-VFD-24210 C</t>
        </is>
      </c>
      <c r="C162" s="14" t="inlineStr">
        <is>
          <t>M-PAZ-24210 C</t>
        </is>
      </c>
      <c r="D162" s="14" t="inlineStr">
        <is>
          <t>460</t>
        </is>
      </c>
      <c r="E162" s="14" t="inlineStr">
        <is>
          <t>250</t>
        </is>
      </c>
      <c r="F162" s="14" t="inlineStr">
        <is>
          <t>1kV-XLPE-Arm-B-CU</t>
        </is>
      </c>
      <c r="G162" s="14" t="inlineStr">
        <is>
          <t>3x240</t>
        </is>
      </c>
      <c r="H162" s="14" t="inlineStr">
        <is>
          <t>SALA ELÉCTRICA 3</t>
        </is>
      </c>
      <c r="I162" s="14" t="inlineStr">
        <is>
          <t>BOMBA DE INYECCION DE AGUA 0</t>
        </is>
      </c>
      <c r="J162" s="14" t="inlineStr">
        <is>
          <t>POTENCIA_BT</t>
        </is>
      </c>
      <c r="K162" s="14" t="inlineStr">
        <is>
          <t>CPF2</t>
        </is>
      </c>
      <c r="L162" s="137" t="n">
        <v>3</v>
      </c>
      <c r="M162" s="144" t="inlineStr">
        <is>
          <t>SI</t>
        </is>
      </c>
      <c r="N162" s="139" t="n">
        <v>6</v>
      </c>
      <c r="O162" s="145" t="n">
        <v>2</v>
      </c>
      <c r="P162" s="141" t="n">
        <v>8</v>
      </c>
      <c r="Q162" s="136" t="inlineStr">
        <is>
          <t>POTENCIA BT GRANDE (≥95mm²)</t>
        </is>
      </c>
      <c r="R162" s="136" t="inlineStr">
        <is>
          <t>MOTOR/ACCIONAMIENTO</t>
        </is>
      </c>
    </row>
    <row r="163">
      <c r="A163" s="14" t="inlineStr">
        <is>
          <t>P-M-PBM-24390 A</t>
        </is>
      </c>
      <c r="B163" s="14" t="inlineStr">
        <is>
          <t>102-CCM-007</t>
        </is>
      </c>
      <c r="C163" s="14" t="inlineStr">
        <is>
          <t>M-PBM-24390 A</t>
        </is>
      </c>
      <c r="D163" s="14" t="inlineStr">
        <is>
          <t>380</t>
        </is>
      </c>
      <c r="E163" s="14" t="inlineStr">
        <is>
          <t>150</t>
        </is>
      </c>
      <c r="F163" s="14" t="inlineStr">
        <is>
          <t>1kV-XLPE-Arm-CU</t>
        </is>
      </c>
      <c r="G163" s="14" t="inlineStr">
        <is>
          <t>3x25</t>
        </is>
      </c>
      <c r="H163" s="14" t="inlineStr">
        <is>
          <t>SALA ELÉCTRICA 3</t>
        </is>
      </c>
      <c r="I163" s="14" t="inlineStr">
        <is>
          <t>BOMBA DE AGUA TRATADA A TANQUES 0</t>
        </is>
      </c>
      <c r="J163" s="14" t="inlineStr">
        <is>
          <t>POTENCIA_BT</t>
        </is>
      </c>
      <c r="K163" s="14" t="inlineStr">
        <is>
          <t>CPF2</t>
        </is>
      </c>
      <c r="L163" s="137" t="n">
        <v>3</v>
      </c>
      <c r="M163" s="144" t="inlineStr">
        <is>
          <t>SI</t>
        </is>
      </c>
      <c r="N163" s="139" t="n">
        <v>6</v>
      </c>
      <c r="O163" s="145" t="n">
        <v>2</v>
      </c>
      <c r="P163" s="141" t="n">
        <v>8</v>
      </c>
      <c r="Q163" s="136" t="inlineStr">
        <is>
          <t>POTENCIA BT PEQUEÑA (10-25mm²)</t>
        </is>
      </c>
      <c r="R163" s="136" t="inlineStr">
        <is>
          <t>MOTOR/ACCIONAMIENTO</t>
        </is>
      </c>
    </row>
    <row r="164">
      <c r="A164" s="14" t="inlineStr">
        <is>
          <t>P-M-PBM-24390 B</t>
        </is>
      </c>
      <c r="B164" s="14" t="inlineStr">
        <is>
          <t>102-CCM-007</t>
        </is>
      </c>
      <c r="C164" s="14" t="inlineStr">
        <is>
          <t>M-PBM-24390 B</t>
        </is>
      </c>
      <c r="D164" s="14" t="inlineStr">
        <is>
          <t>380</t>
        </is>
      </c>
      <c r="E164" s="14" t="inlineStr">
        <is>
          <t>150</t>
        </is>
      </c>
      <c r="F164" s="14" t="inlineStr">
        <is>
          <t>1kV-XLPE-Arm-CU</t>
        </is>
      </c>
      <c r="G164" s="14" t="inlineStr">
        <is>
          <t>3x25</t>
        </is>
      </c>
      <c r="H164" s="14" t="inlineStr">
        <is>
          <t>SALA ELÉCTRICA 3</t>
        </is>
      </c>
      <c r="I164" s="14" t="inlineStr">
        <is>
          <t>BOMBA DE AGUA TRATADA A TANQUES 0</t>
        </is>
      </c>
      <c r="J164" s="14" t="inlineStr">
        <is>
          <t>POTENCIA_BT</t>
        </is>
      </c>
      <c r="K164" s="14" t="inlineStr">
        <is>
          <t>CPF2</t>
        </is>
      </c>
      <c r="L164" s="137" t="n">
        <v>3</v>
      </c>
      <c r="M164" s="144" t="inlineStr">
        <is>
          <t>SI</t>
        </is>
      </c>
      <c r="N164" s="139" t="n">
        <v>6</v>
      </c>
      <c r="O164" s="145" t="n">
        <v>2</v>
      </c>
      <c r="P164" s="141" t="n">
        <v>8</v>
      </c>
      <c r="Q164" s="136" t="inlineStr">
        <is>
          <t>POTENCIA BT PEQUEÑA (10-25mm²)</t>
        </is>
      </c>
      <c r="R164" s="136" t="inlineStr">
        <is>
          <t>MOTOR/ACCIONAMIENTO</t>
        </is>
      </c>
    </row>
    <row r="165">
      <c r="A165" s="14" t="inlineStr">
        <is>
          <t>P-M-PBM-24390 C</t>
        </is>
      </c>
      <c r="B165" s="14" t="inlineStr">
        <is>
          <t>102-CCM-007</t>
        </is>
      </c>
      <c r="C165" s="14" t="inlineStr">
        <is>
          <t>M-PBM-24390 C</t>
        </is>
      </c>
      <c r="D165" s="14" t="inlineStr">
        <is>
          <t>380</t>
        </is>
      </c>
      <c r="E165" s="14" t="inlineStr">
        <is>
          <t>150</t>
        </is>
      </c>
      <c r="F165" s="14" t="inlineStr">
        <is>
          <t>1kV-XLPE-Arm-CU</t>
        </is>
      </c>
      <c r="G165" s="14" t="inlineStr">
        <is>
          <t>3x25</t>
        </is>
      </c>
      <c r="H165" s="14" t="inlineStr">
        <is>
          <t>SALA ELÉCTRICA 3</t>
        </is>
      </c>
      <c r="I165" s="14" t="inlineStr">
        <is>
          <t>BOMBA DE AGUA TRATADA A TANQUES A</t>
        </is>
      </c>
      <c r="J165" s="14" t="inlineStr">
        <is>
          <t>POTENCIA_BT</t>
        </is>
      </c>
      <c r="K165" s="14" t="inlineStr">
        <is>
          <t>CPF2</t>
        </is>
      </c>
      <c r="L165" s="137" t="n">
        <v>3</v>
      </c>
      <c r="M165" s="144" t="inlineStr">
        <is>
          <t>SI</t>
        </is>
      </c>
      <c r="N165" s="139" t="n">
        <v>6</v>
      </c>
      <c r="O165" s="145" t="n">
        <v>2</v>
      </c>
      <c r="P165" s="141" t="n">
        <v>8</v>
      </c>
      <c r="Q165" s="136" t="inlineStr">
        <is>
          <t>POTENCIA BT PEQUEÑA (10-25mm²)</t>
        </is>
      </c>
      <c r="R165" s="136" t="inlineStr">
        <is>
          <t>MOTOR/ACCIONAMIENTO</t>
        </is>
      </c>
    </row>
    <row r="166">
      <c r="A166" s="14" t="inlineStr">
        <is>
          <t>P-M-PBM-24340 A</t>
        </is>
      </c>
      <c r="B166" s="14" t="inlineStr">
        <is>
          <t>102-CCM-007</t>
        </is>
      </c>
      <c r="C166" s="14" t="inlineStr">
        <is>
          <t>M-PBM-24340 A</t>
        </is>
      </c>
      <c r="D166" s="14" t="inlineStr">
        <is>
          <t>380</t>
        </is>
      </c>
      <c r="E166" s="14" t="inlineStr">
        <is>
          <t>130</t>
        </is>
      </c>
      <c r="F166" s="14" t="inlineStr">
        <is>
          <t>1kV-XLPE-Arm-B-CU</t>
        </is>
      </c>
      <c r="G166" s="14" t="inlineStr">
        <is>
          <t>3x50</t>
        </is>
      </c>
      <c r="H166" s="14" t="inlineStr">
        <is>
          <t>SALA ELÉCTRICA 3</t>
        </is>
      </c>
      <c r="I166" s="14" t="inlineStr">
        <is>
          <t>BOMBA DE TRANSFERENCIA A</t>
        </is>
      </c>
      <c r="J166" s="14" t="inlineStr">
        <is>
          <t>POTENCIA_BT</t>
        </is>
      </c>
      <c r="K166" s="14" t="inlineStr">
        <is>
          <t>CPF2</t>
        </is>
      </c>
      <c r="L166" s="137" t="n">
        <v>3</v>
      </c>
      <c r="M166" s="144" t="inlineStr">
        <is>
          <t>SI</t>
        </is>
      </c>
      <c r="N166" s="139" t="n">
        <v>6</v>
      </c>
      <c r="O166" s="145" t="n">
        <v>2</v>
      </c>
      <c r="P166" s="141" t="n">
        <v>8</v>
      </c>
      <c r="Q166" s="136" t="inlineStr">
        <is>
          <t>POTENCIA BT MEDIANA (35-70mm²)</t>
        </is>
      </c>
      <c r="R166" s="136" t="inlineStr">
        <is>
          <t>MOTOR/ACCIONAMIENTO</t>
        </is>
      </c>
    </row>
    <row r="167">
      <c r="A167" s="14" t="inlineStr">
        <is>
          <t>P-M-PBM-24340 B</t>
        </is>
      </c>
      <c r="B167" s="14" t="inlineStr">
        <is>
          <t>102-CCM-007</t>
        </is>
      </c>
      <c r="C167" s="14" t="inlineStr">
        <is>
          <t>M-PBM-24340 B</t>
        </is>
      </c>
      <c r="D167" s="14" t="inlineStr">
        <is>
          <t>380</t>
        </is>
      </c>
      <c r="E167" s="14" t="inlineStr">
        <is>
          <t>130</t>
        </is>
      </c>
      <c r="F167" s="14" t="inlineStr">
        <is>
          <t>1kV-XLPE-Arm-B-CU</t>
        </is>
      </c>
      <c r="G167" s="14" t="inlineStr">
        <is>
          <t>3x50</t>
        </is>
      </c>
      <c r="H167" s="14" t="inlineStr">
        <is>
          <t>SALA ELÉCTRICA 3</t>
        </is>
      </c>
      <c r="I167" s="14" t="inlineStr">
        <is>
          <t>BOMBA DE TRANSFERENCIA 0</t>
        </is>
      </c>
      <c r="J167" s="14" t="inlineStr">
        <is>
          <t>POTENCIA_BT</t>
        </is>
      </c>
      <c r="K167" s="14" t="inlineStr">
        <is>
          <t>CPF2</t>
        </is>
      </c>
      <c r="L167" s="137" t="n">
        <v>3</v>
      </c>
      <c r="M167" s="144" t="inlineStr">
        <is>
          <t>SI</t>
        </is>
      </c>
      <c r="N167" s="139" t="n">
        <v>6</v>
      </c>
      <c r="O167" s="145" t="n">
        <v>2</v>
      </c>
      <c r="P167" s="141" t="n">
        <v>8</v>
      </c>
      <c r="Q167" s="136" t="inlineStr">
        <is>
          <t>POTENCIA BT MEDIANA (35-70mm²)</t>
        </is>
      </c>
      <c r="R167" s="136" t="inlineStr">
        <is>
          <t>MOTOR/ACCIONAMIENTO</t>
        </is>
      </c>
    </row>
    <row r="168">
      <c r="A168" s="14" t="inlineStr">
        <is>
          <t>P-M-PBA-24420 A</t>
        </is>
      </c>
      <c r="B168" s="14" t="inlineStr">
        <is>
          <t>102-CCM-007</t>
        </is>
      </c>
      <c r="C168" s="14" t="inlineStr">
        <is>
          <t>M-PBA-24420 A</t>
        </is>
      </c>
      <c r="D168" s="14" t="inlineStr">
        <is>
          <t>380</t>
        </is>
      </c>
      <c r="E168" s="14" t="inlineStr">
        <is>
          <t>150</t>
        </is>
      </c>
      <c r="F168" s="14" t="inlineStr">
        <is>
          <t>1kV-XLPE-Arm-CU</t>
        </is>
      </c>
      <c r="G168" s="14" t="inlineStr">
        <is>
          <t>3x6</t>
        </is>
      </c>
      <c r="H168" s="14" t="inlineStr">
        <is>
          <t>SALA ELÉCTRICA 3</t>
        </is>
      </c>
      <c r="I168" s="14" t="inlineStr">
        <is>
          <t>BOMBA DE SKIMMEADO 0</t>
        </is>
      </c>
      <c r="J168" s="14" t="inlineStr">
        <is>
          <t>POTENCIA_BT</t>
        </is>
      </c>
      <c r="K168" s="14" t="inlineStr">
        <is>
          <t>CPF2</t>
        </is>
      </c>
      <c r="L168" s="137" t="n">
        <v>3</v>
      </c>
      <c r="M168" s="144" t="inlineStr">
        <is>
          <t>SI</t>
        </is>
      </c>
      <c r="N168" s="139" t="n">
        <v>6</v>
      </c>
      <c r="O168" s="145" t="n">
        <v>2</v>
      </c>
      <c r="P168" s="141" t="n">
        <v>8</v>
      </c>
      <c r="Q168" s="136" t="inlineStr">
        <is>
          <t>POTENCIA BT MUY PEQ (&lt;10mm²)</t>
        </is>
      </c>
      <c r="R168" s="136" t="inlineStr">
        <is>
          <t>MOTOR/ACCIONAMIENTO</t>
        </is>
      </c>
    </row>
    <row r="169">
      <c r="A169" s="14" t="inlineStr">
        <is>
          <t>P-M-PBA-24420 B</t>
        </is>
      </c>
      <c r="B169" s="14" t="inlineStr">
        <is>
          <t>102-CCM-007</t>
        </is>
      </c>
      <c r="C169" s="14" t="inlineStr">
        <is>
          <t>M-PBA-24420 B</t>
        </is>
      </c>
      <c r="D169" s="14" t="inlineStr">
        <is>
          <t>380</t>
        </is>
      </c>
      <c r="E169" s="14" t="inlineStr">
        <is>
          <t>150</t>
        </is>
      </c>
      <c r="F169" s="14" t="inlineStr">
        <is>
          <t>1kV-XLPE-Arm-CU</t>
        </is>
      </c>
      <c r="G169" s="14" t="inlineStr">
        <is>
          <t>3x6</t>
        </is>
      </c>
      <c r="H169" s="14" t="inlineStr">
        <is>
          <t>SALA ELÉCTRICA 3</t>
        </is>
      </c>
      <c r="I169" s="14" t="inlineStr">
        <is>
          <t>BOMBA DE SKIMMEADO 0</t>
        </is>
      </c>
      <c r="J169" s="14" t="inlineStr">
        <is>
          <t>POTENCIA_BT</t>
        </is>
      </c>
      <c r="K169" s="14" t="inlineStr">
        <is>
          <t>CPF2</t>
        </is>
      </c>
      <c r="L169" s="137" t="n">
        <v>3</v>
      </c>
      <c r="M169" s="144" t="inlineStr">
        <is>
          <t>SI</t>
        </is>
      </c>
      <c r="N169" s="139" t="n">
        <v>6</v>
      </c>
      <c r="O169" s="145" t="n">
        <v>2</v>
      </c>
      <c r="P169" s="141" t="n">
        <v>8</v>
      </c>
      <c r="Q169" s="136" t="inlineStr">
        <is>
          <t>POTENCIA BT MUY PEQ (&lt;10mm²)</t>
        </is>
      </c>
      <c r="R169" s="136" t="inlineStr">
        <is>
          <t>MOTOR/ACCIONAMIENTO</t>
        </is>
      </c>
    </row>
    <row r="170">
      <c r="A170" s="14" t="inlineStr">
        <is>
          <t>P-M-PBA-97150 A</t>
        </is>
      </c>
      <c r="B170" s="14" t="inlineStr">
        <is>
          <t>102-CCM-007</t>
        </is>
      </c>
      <c r="C170" s="14" t="inlineStr">
        <is>
          <t>M-PBA-97150 A</t>
        </is>
      </c>
      <c r="D170" s="14" t="inlineStr">
        <is>
          <t>380</t>
        </is>
      </c>
      <c r="E170" s="14" t="inlineStr">
        <is>
          <t>190</t>
        </is>
      </c>
      <c r="F170" s="14" t="inlineStr">
        <is>
          <t>1kV-XLPE-Arm-CU</t>
        </is>
      </c>
      <c r="G170" s="14" t="inlineStr">
        <is>
          <t>3x16</t>
        </is>
      </c>
      <c r="H170" s="14" t="inlineStr">
        <is>
          <t>SALA ELÉCTRICA 3</t>
        </is>
      </c>
      <c r="I170" s="14" t="inlineStr">
        <is>
          <t>BOMBAS DE AGUA DE TANQUE SLOP 0</t>
        </is>
      </c>
      <c r="J170" s="14" t="inlineStr">
        <is>
          <t>POTENCIA_BT</t>
        </is>
      </c>
      <c r="K170" s="14" t="inlineStr">
        <is>
          <t>CPF2</t>
        </is>
      </c>
      <c r="L170" s="137" t="n">
        <v>3</v>
      </c>
      <c r="M170" s="144" t="inlineStr">
        <is>
          <t>SI</t>
        </is>
      </c>
      <c r="N170" s="139" t="n">
        <v>6</v>
      </c>
      <c r="O170" s="145" t="n">
        <v>2</v>
      </c>
      <c r="P170" s="141" t="n">
        <v>8</v>
      </c>
      <c r="Q170" s="136" t="inlineStr">
        <is>
          <t>POTENCIA BT PEQUEÑA (10-25mm²)</t>
        </is>
      </c>
      <c r="R170" s="136" t="inlineStr">
        <is>
          <t>MOTOR/ACCIONAMIENTO</t>
        </is>
      </c>
    </row>
    <row r="171">
      <c r="A171" s="14" t="inlineStr">
        <is>
          <t>P-M-PBA-97150 B</t>
        </is>
      </c>
      <c r="B171" s="14" t="inlineStr">
        <is>
          <t>102-CCM-007</t>
        </is>
      </c>
      <c r="C171" s="14" t="inlineStr">
        <is>
          <t>M-PBA-97150 B</t>
        </is>
      </c>
      <c r="D171" s="14" t="inlineStr">
        <is>
          <t>380</t>
        </is>
      </c>
      <c r="E171" s="14" t="inlineStr">
        <is>
          <t>190</t>
        </is>
      </c>
      <c r="F171" s="14" t="inlineStr">
        <is>
          <t>1kV-XLPE-Arm-CU</t>
        </is>
      </c>
      <c r="G171" s="14" t="inlineStr">
        <is>
          <t>3x16</t>
        </is>
      </c>
      <c r="H171" s="14" t="inlineStr">
        <is>
          <t>SALA ELÉCTRICA 3</t>
        </is>
      </c>
      <c r="I171" s="14" t="inlineStr">
        <is>
          <t>BOMBAS DE AGUA DE TANQUE SLOP 0</t>
        </is>
      </c>
      <c r="J171" s="14" t="inlineStr">
        <is>
          <t>POTENCIA_BT</t>
        </is>
      </c>
      <c r="K171" s="14" t="inlineStr">
        <is>
          <t>CPF2</t>
        </is>
      </c>
      <c r="L171" s="137" t="n">
        <v>3</v>
      </c>
      <c r="M171" s="144" t="inlineStr">
        <is>
          <t>SI</t>
        </is>
      </c>
      <c r="N171" s="139" t="n">
        <v>6</v>
      </c>
      <c r="O171" s="145" t="n">
        <v>2</v>
      </c>
      <c r="P171" s="141" t="n">
        <v>8</v>
      </c>
      <c r="Q171" s="136" t="inlineStr">
        <is>
          <t>POTENCIA BT PEQUEÑA (10-25mm²)</t>
        </is>
      </c>
      <c r="R171" s="136" t="inlineStr">
        <is>
          <t>MOTOR/ACCIONAMIENTO</t>
        </is>
      </c>
    </row>
    <row r="172">
      <c r="A172" s="14" t="inlineStr">
        <is>
          <t>P-M-PBA-97160 A</t>
        </is>
      </c>
      <c r="B172" s="14" t="inlineStr">
        <is>
          <t>102-CCM-007</t>
        </is>
      </c>
      <c r="C172" s="14" t="inlineStr">
        <is>
          <t>M-PBA-97160 A</t>
        </is>
      </c>
      <c r="D172" s="14" t="inlineStr">
        <is>
          <t>380</t>
        </is>
      </c>
      <c r="E172" s="14" t="inlineStr">
        <is>
          <t>190</t>
        </is>
      </c>
      <c r="F172" s="14" t="inlineStr">
        <is>
          <t>1kV-XLPE-Arm-CU</t>
        </is>
      </c>
      <c r="G172" s="14" t="inlineStr">
        <is>
          <t>3x50</t>
        </is>
      </c>
      <c r="H172" s="14" t="inlineStr">
        <is>
          <t>SALA ELÉCTRICA 3</t>
        </is>
      </c>
      <c r="I172" s="14" t="inlineStr">
        <is>
          <t>BOMBA DE CONDENSADO DE TANQUE SLOP 0</t>
        </is>
      </c>
      <c r="J172" s="14" t="inlineStr">
        <is>
          <t>POTENCIA_BT</t>
        </is>
      </c>
      <c r="K172" s="14" t="inlineStr">
        <is>
          <t>CPF2</t>
        </is>
      </c>
      <c r="L172" s="137" t="n">
        <v>3</v>
      </c>
      <c r="M172" s="144" t="inlineStr">
        <is>
          <t>SI</t>
        </is>
      </c>
      <c r="N172" s="139" t="n">
        <v>6</v>
      </c>
      <c r="O172" s="145" t="n">
        <v>2</v>
      </c>
      <c r="P172" s="141" t="n">
        <v>8</v>
      </c>
      <c r="Q172" s="136" t="inlineStr">
        <is>
          <t>POTENCIA BT MEDIANA (35-70mm²)</t>
        </is>
      </c>
      <c r="R172" s="136" t="inlineStr">
        <is>
          <t>MOTOR/ACCIONAMIENTO</t>
        </is>
      </c>
    </row>
    <row r="173">
      <c r="A173" s="14" t="inlineStr">
        <is>
          <t>P-M-PBA-97160 B</t>
        </is>
      </c>
      <c r="B173" s="14" t="inlineStr">
        <is>
          <t>102-CCM-007</t>
        </is>
      </c>
      <c r="C173" s="14" t="inlineStr">
        <is>
          <t>M-PBA-97160 B</t>
        </is>
      </c>
      <c r="D173" s="14" t="inlineStr">
        <is>
          <t>380</t>
        </is>
      </c>
      <c r="E173" s="14" t="inlineStr">
        <is>
          <t>190</t>
        </is>
      </c>
      <c r="F173" s="14" t="inlineStr">
        <is>
          <t>1kV-XLPE-Arm-CU</t>
        </is>
      </c>
      <c r="G173" s="14" t="inlineStr">
        <is>
          <t>3x50</t>
        </is>
      </c>
      <c r="H173" s="14" t="inlineStr">
        <is>
          <t>SALA ELÉCTRICA 3</t>
        </is>
      </c>
      <c r="I173" s="14" t="inlineStr">
        <is>
          <t>BOMBA DE CONDENSADO DE TANQUE SLOP 0</t>
        </is>
      </c>
      <c r="J173" s="14" t="inlineStr">
        <is>
          <t>POTENCIA_BT</t>
        </is>
      </c>
      <c r="K173" s="14" t="inlineStr">
        <is>
          <t>CPF2</t>
        </is>
      </c>
      <c r="L173" s="137" t="n">
        <v>3</v>
      </c>
      <c r="M173" s="144" t="inlineStr">
        <is>
          <t>SI</t>
        </is>
      </c>
      <c r="N173" s="139" t="n">
        <v>6</v>
      </c>
      <c r="O173" s="145" t="n">
        <v>2</v>
      </c>
      <c r="P173" s="141" t="n">
        <v>8</v>
      </c>
      <c r="Q173" s="136" t="inlineStr">
        <is>
          <t>POTENCIA BT MEDIANA (35-70mm²)</t>
        </is>
      </c>
      <c r="R173" s="136" t="inlineStr">
        <is>
          <t>MOTOR/ACCIONAMIENTO</t>
        </is>
      </c>
    </row>
    <row r="174">
      <c r="A174" s="14" t="inlineStr">
        <is>
          <t>P-SKZZ-90200 A</t>
        </is>
      </c>
      <c r="B174" s="14" t="inlineStr">
        <is>
          <t>102-CCM-007</t>
        </is>
      </c>
      <c r="C174" s="14" t="inlineStr">
        <is>
          <t>SKZZ-90200 A</t>
        </is>
      </c>
      <c r="D174" s="14" t="inlineStr">
        <is>
          <t>380</t>
        </is>
      </c>
      <c r="E174" s="14" t="inlineStr">
        <is>
          <t>180</t>
        </is>
      </c>
      <c r="F174" s="14" t="inlineStr">
        <is>
          <t>1kV-XLPE-Arm-CU</t>
        </is>
      </c>
      <c r="G174" s="14" t="inlineStr">
        <is>
          <t>4x4</t>
        </is>
      </c>
      <c r="H174" s="14" t="inlineStr">
        <is>
          <t>SALA ELÉCTRICA 3</t>
        </is>
      </c>
      <c r="I174" s="14" t="inlineStr">
        <is>
          <t>SKID QUÍMICO DE INHIBIDOR DE CORROSIÓN 0</t>
        </is>
      </c>
      <c r="J174" s="14" t="inlineStr">
        <is>
          <t>POTENCIA_BT</t>
        </is>
      </c>
      <c r="K174" s="14" t="inlineStr">
        <is>
          <t>CPF2</t>
        </is>
      </c>
      <c r="L174" s="137" t="n">
        <v>4</v>
      </c>
      <c r="M174" s="144" t="inlineStr">
        <is>
          <t>SI</t>
        </is>
      </c>
      <c r="N174" s="139" t="n">
        <v>8</v>
      </c>
      <c r="O174" s="145" t="n">
        <v>2</v>
      </c>
      <c r="P174" s="141" t="n">
        <v>10</v>
      </c>
      <c r="Q174" s="136" t="inlineStr">
        <is>
          <t>POTENCIA BT MUY PEQ (&lt;10mm²)</t>
        </is>
      </c>
      <c r="R174" s="136" t="inlineStr">
        <is>
          <t>TABLERO/CCM</t>
        </is>
      </c>
    </row>
    <row r="175">
      <c r="A175" s="14" t="inlineStr">
        <is>
          <t>P-SKZZ-90200 B</t>
        </is>
      </c>
      <c r="B175" s="14" t="inlineStr">
        <is>
          <t>102-CCM-007</t>
        </is>
      </c>
      <c r="C175" s="14" t="inlineStr">
        <is>
          <t>SKZZ-90200 B</t>
        </is>
      </c>
      <c r="D175" s="14" t="inlineStr">
        <is>
          <t>380</t>
        </is>
      </c>
      <c r="E175" s="14" t="inlineStr">
        <is>
          <t>180</t>
        </is>
      </c>
      <c r="F175" s="14" t="inlineStr">
        <is>
          <t>1kV-XLPE-Arm-CU</t>
        </is>
      </c>
      <c r="G175" s="14" t="inlineStr">
        <is>
          <t>4x4</t>
        </is>
      </c>
      <c r="H175" s="14" t="inlineStr">
        <is>
          <t>SALA ELÉCTRICA 3</t>
        </is>
      </c>
      <c r="I175" s="14" t="inlineStr">
        <is>
          <t>SKID QUÍMICO DE INHIBIDOR DE CORROSIÓN 0</t>
        </is>
      </c>
      <c r="J175" s="14" t="inlineStr">
        <is>
          <t>POTENCIA_BT</t>
        </is>
      </c>
      <c r="K175" s="14" t="inlineStr">
        <is>
          <t>CPF2</t>
        </is>
      </c>
      <c r="L175" s="137" t="n">
        <v>4</v>
      </c>
      <c r="M175" s="144" t="inlineStr">
        <is>
          <t>SI</t>
        </is>
      </c>
      <c r="N175" s="139" t="n">
        <v>8</v>
      </c>
      <c r="O175" s="145" t="n">
        <v>2</v>
      </c>
      <c r="P175" s="141" t="n">
        <v>10</v>
      </c>
      <c r="Q175" s="136" t="inlineStr">
        <is>
          <t>POTENCIA BT MUY PEQ (&lt;10mm²)</t>
        </is>
      </c>
      <c r="R175" s="136" t="inlineStr">
        <is>
          <t>TABLERO/CCM</t>
        </is>
      </c>
    </row>
    <row r="176">
      <c r="A176" s="14" t="inlineStr">
        <is>
          <t>P-SKZZ-90201</t>
        </is>
      </c>
      <c r="B176" s="14" t="inlineStr">
        <is>
          <t>102-CCM-007</t>
        </is>
      </c>
      <c r="C176" s="14" t="inlineStr">
        <is>
          <t>SKZZ-90201</t>
        </is>
      </c>
      <c r="D176" s="14" t="inlineStr">
        <is>
          <t>380</t>
        </is>
      </c>
      <c r="E176" s="14" t="inlineStr">
        <is>
          <t>180</t>
        </is>
      </c>
      <c r="F176" s="14" t="inlineStr">
        <is>
          <t>1kV-XLPE-Arm-CU</t>
        </is>
      </c>
      <c r="G176" s="14" t="inlineStr">
        <is>
          <t>4x4</t>
        </is>
      </c>
      <c r="H176" s="14" t="inlineStr">
        <is>
          <t>SALA ELÉCTRICA 3</t>
        </is>
      </c>
      <c r="I176" s="14" t="inlineStr">
        <is>
          <t>SKID QUÍMICO DE SECUESTRANTE DE OXÍGENO 0</t>
        </is>
      </c>
      <c r="J176" s="14" t="inlineStr">
        <is>
          <t>POTENCIA_BT</t>
        </is>
      </c>
      <c r="K176" s="14" t="inlineStr">
        <is>
          <t>CPF2</t>
        </is>
      </c>
      <c r="L176" s="137" t="n">
        <v>4</v>
      </c>
      <c r="M176" s="144" t="inlineStr">
        <is>
          <t>SI</t>
        </is>
      </c>
      <c r="N176" s="139" t="n">
        <v>8</v>
      </c>
      <c r="O176" s="145" t="n">
        <v>2</v>
      </c>
      <c r="P176" s="141" t="n">
        <v>10</v>
      </c>
      <c r="Q176" s="136" t="inlineStr">
        <is>
          <t>POTENCIA BT MUY PEQ (&lt;10mm²)</t>
        </is>
      </c>
      <c r="R176" s="136" t="inlineStr">
        <is>
          <t>TABLERO/CCM</t>
        </is>
      </c>
    </row>
    <row r="177">
      <c r="A177" s="14" t="inlineStr">
        <is>
          <t>P-SKZZ-90202 B</t>
        </is>
      </c>
      <c r="B177" s="14" t="inlineStr">
        <is>
          <t>102-CCM-007</t>
        </is>
      </c>
      <c r="C177" s="14" t="inlineStr">
        <is>
          <t>SKZZ-90202 B</t>
        </is>
      </c>
      <c r="D177" s="14" t="inlineStr">
        <is>
          <t>380</t>
        </is>
      </c>
      <c r="E177" s="14" t="inlineStr">
        <is>
          <t>180</t>
        </is>
      </c>
      <c r="F177" s="14" t="inlineStr">
        <is>
          <t>1kV-XLPE-Arm-CU</t>
        </is>
      </c>
      <c r="G177" s="14" t="inlineStr">
        <is>
          <t>4x4</t>
        </is>
      </c>
      <c r="H177" s="14" t="inlineStr">
        <is>
          <t>SALA ELÉCTRICA 3</t>
        </is>
      </c>
      <c r="I177" s="14" t="inlineStr">
        <is>
          <t>SKID QUÍMICO DE BIOCIDA 0</t>
        </is>
      </c>
      <c r="J177" s="14" t="inlineStr">
        <is>
          <t>POTENCIA_BT</t>
        </is>
      </c>
      <c r="K177" s="14" t="inlineStr">
        <is>
          <t>CPF2</t>
        </is>
      </c>
      <c r="L177" s="137" t="n">
        <v>4</v>
      </c>
      <c r="M177" s="144" t="inlineStr">
        <is>
          <t>SI</t>
        </is>
      </c>
      <c r="N177" s="139" t="n">
        <v>8</v>
      </c>
      <c r="O177" s="145" t="n">
        <v>2</v>
      </c>
      <c r="P177" s="141" t="n">
        <v>10</v>
      </c>
      <c r="Q177" s="136" t="inlineStr">
        <is>
          <t>POTENCIA BT MUY PEQ (&lt;10mm²)</t>
        </is>
      </c>
      <c r="R177" s="136" t="inlineStr">
        <is>
          <t>TABLERO/CCM</t>
        </is>
      </c>
    </row>
    <row r="178">
      <c r="A178" s="14" t="inlineStr">
        <is>
          <t>P-SKZZ-90202 C</t>
        </is>
      </c>
      <c r="B178" s="14" t="inlineStr">
        <is>
          <t>102-CCM-007</t>
        </is>
      </c>
      <c r="C178" s="14" t="inlineStr">
        <is>
          <t>SKZZ-90202 C</t>
        </is>
      </c>
      <c r="D178" s="14" t="inlineStr">
        <is>
          <t>380</t>
        </is>
      </c>
      <c r="E178" s="14" t="inlineStr">
        <is>
          <t>180</t>
        </is>
      </c>
      <c r="F178" s="14" t="inlineStr">
        <is>
          <t>1kV-XLPE-Arm-CU</t>
        </is>
      </c>
      <c r="G178" s="14" t="inlineStr">
        <is>
          <t>4x4</t>
        </is>
      </c>
      <c r="H178" s="14" t="inlineStr">
        <is>
          <t>SALA ELÉCTRICA 3</t>
        </is>
      </c>
      <c r="I178" s="14" t="inlineStr">
        <is>
          <t>SKID QUÍMICO DE BIOCIDA 0</t>
        </is>
      </c>
      <c r="J178" s="14" t="inlineStr">
        <is>
          <t>POTENCIA_BT</t>
        </is>
      </c>
      <c r="K178" s="14" t="inlineStr">
        <is>
          <t>CPF2</t>
        </is>
      </c>
      <c r="L178" s="137" t="n">
        <v>4</v>
      </c>
      <c r="M178" s="144" t="inlineStr">
        <is>
          <t>SI</t>
        </is>
      </c>
      <c r="N178" s="139" t="n">
        <v>8</v>
      </c>
      <c r="O178" s="145" t="n">
        <v>2</v>
      </c>
      <c r="P178" s="141" t="n">
        <v>10</v>
      </c>
      <c r="Q178" s="136" t="inlineStr">
        <is>
          <t>POTENCIA BT MUY PEQ (&lt;10mm²)</t>
        </is>
      </c>
      <c r="R178" s="136" t="inlineStr">
        <is>
          <t>TABLERO/CCM</t>
        </is>
      </c>
    </row>
    <row r="179">
      <c r="A179" s="14" t="inlineStr">
        <is>
          <t>P-SKZZ-90203 B</t>
        </is>
      </c>
      <c r="B179" s="14" t="inlineStr">
        <is>
          <t>102-CCM-007</t>
        </is>
      </c>
      <c r="C179" s="14" t="inlineStr">
        <is>
          <t>SKZZ-90203 B</t>
        </is>
      </c>
      <c r="D179" s="14" t="inlineStr">
        <is>
          <t>380</t>
        </is>
      </c>
      <c r="E179" s="14" t="inlineStr">
        <is>
          <t>180</t>
        </is>
      </c>
      <c r="F179" s="14" t="inlineStr">
        <is>
          <t>1kV-XLPE-Arm-CU</t>
        </is>
      </c>
      <c r="G179" s="14" t="inlineStr">
        <is>
          <t>4x4</t>
        </is>
      </c>
      <c r="H179" s="14" t="inlineStr">
        <is>
          <t>SALA ELÉCTRICA 3</t>
        </is>
      </c>
      <c r="I179" s="14" t="inlineStr">
        <is>
          <t>SKID QUÍMICO DE BIOCIDA 0</t>
        </is>
      </c>
      <c r="J179" s="14" t="inlineStr">
        <is>
          <t>POTENCIA_BT</t>
        </is>
      </c>
      <c r="K179" s="14" t="inlineStr">
        <is>
          <t>CPF2</t>
        </is>
      </c>
      <c r="L179" s="137" t="n">
        <v>4</v>
      </c>
      <c r="M179" s="144" t="inlineStr">
        <is>
          <t>SI</t>
        </is>
      </c>
      <c r="N179" s="139" t="n">
        <v>8</v>
      </c>
      <c r="O179" s="145" t="n">
        <v>2</v>
      </c>
      <c r="P179" s="141" t="n">
        <v>10</v>
      </c>
      <c r="Q179" s="136" t="inlineStr">
        <is>
          <t>POTENCIA BT MUY PEQ (&lt;10mm²)</t>
        </is>
      </c>
      <c r="R179" s="136" t="inlineStr">
        <is>
          <t>TABLERO/CCM</t>
        </is>
      </c>
    </row>
    <row r="180">
      <c r="A180" s="14" t="inlineStr">
        <is>
          <t>P-SKZZ-90203 C</t>
        </is>
      </c>
      <c r="B180" s="14" t="inlineStr">
        <is>
          <t>102-CCM-007</t>
        </is>
      </c>
      <c r="C180" s="14" t="inlineStr">
        <is>
          <t>SKZZ-90203 C</t>
        </is>
      </c>
      <c r="D180" s="14" t="inlineStr">
        <is>
          <t>380</t>
        </is>
      </c>
      <c r="E180" s="14" t="inlineStr">
        <is>
          <t>180</t>
        </is>
      </c>
      <c r="F180" s="14" t="inlineStr">
        <is>
          <t>1kV-XLPE-Arm-CU</t>
        </is>
      </c>
      <c r="G180" s="14" t="inlineStr">
        <is>
          <t>4x4</t>
        </is>
      </c>
      <c r="H180" s="14" t="inlineStr">
        <is>
          <t>SALA ELÉCTRICA 3</t>
        </is>
      </c>
      <c r="I180" s="14" t="inlineStr">
        <is>
          <t>SKID QUÍMICO DE BIOCIDA 0</t>
        </is>
      </c>
      <c r="J180" s="14" t="inlineStr">
        <is>
          <t>POTENCIA_BT</t>
        </is>
      </c>
      <c r="K180" s="14" t="inlineStr">
        <is>
          <t>CPF2</t>
        </is>
      </c>
      <c r="L180" s="137" t="n">
        <v>4</v>
      </c>
      <c r="M180" s="144" t="inlineStr">
        <is>
          <t>SI</t>
        </is>
      </c>
      <c r="N180" s="139" t="n">
        <v>8</v>
      </c>
      <c r="O180" s="145" t="n">
        <v>2</v>
      </c>
      <c r="P180" s="141" t="n">
        <v>10</v>
      </c>
      <c r="Q180" s="136" t="inlineStr">
        <is>
          <t>POTENCIA BT MUY PEQ (&lt;10mm²)</t>
        </is>
      </c>
      <c r="R180" s="136" t="inlineStr">
        <is>
          <t>TABLERO/CCM</t>
        </is>
      </c>
    </row>
    <row r="181">
      <c r="A181" s="14" t="inlineStr">
        <is>
          <t>P-102-LP-101</t>
        </is>
      </c>
      <c r="B181" s="14" t="inlineStr">
        <is>
          <t>102-CCM-007</t>
        </is>
      </c>
      <c r="C181" s="14" t="inlineStr">
        <is>
          <t>102-LP-101</t>
        </is>
      </c>
      <c r="D181" s="14" t="inlineStr">
        <is>
          <t>380</t>
        </is>
      </c>
      <c r="E181" s="14" t="inlineStr">
        <is>
          <t>20</t>
        </is>
      </c>
      <c r="F181" s="14" t="inlineStr">
        <is>
          <t>1kV-XLPE-CU</t>
        </is>
      </c>
      <c r="G181" s="14" t="inlineStr">
        <is>
          <t>3x150/70</t>
        </is>
      </c>
      <c r="H181" s="14" t="inlineStr">
        <is>
          <t>SALA ELÉCTRICA 3</t>
        </is>
      </c>
      <c r="I181" s="14" t="inlineStr">
        <is>
          <t>TABLEROS DE DISTRIBUCIÓN ILUMINACION NORMAL 0</t>
        </is>
      </c>
      <c r="J181" s="14" t="inlineStr">
        <is>
          <t>POTENCIA_BT</t>
        </is>
      </c>
      <c r="K181" s="14" t="inlineStr">
        <is>
          <t>CPF2</t>
        </is>
      </c>
      <c r="L181" s="137" t="n">
        <v>4</v>
      </c>
      <c r="M181" s="138" t="inlineStr">
        <is>
          <t>NO</t>
        </is>
      </c>
      <c r="N181" s="139" t="n">
        <v>8</v>
      </c>
      <c r="O181" s="140" t="n">
        <v>0</v>
      </c>
      <c r="P181" s="141" t="n">
        <v>8</v>
      </c>
      <c r="Q181" s="136" t="inlineStr">
        <is>
          <t>POTENCIA BT GRANDE (≥95mm²)</t>
        </is>
      </c>
      <c r="R181" s="136" t="inlineStr">
        <is>
          <t>ILUMINACION</t>
        </is>
      </c>
    </row>
    <row r="182">
      <c r="A182" s="14" t="inlineStr">
        <is>
          <t>P-102-PC-101</t>
        </is>
      </c>
      <c r="B182" s="14" t="inlineStr">
        <is>
          <t>102-CCM-007</t>
        </is>
      </c>
      <c r="C182" s="14" t="inlineStr">
        <is>
          <t>102-PC-101</t>
        </is>
      </c>
      <c r="D182" s="14" t="inlineStr">
        <is>
          <t>380</t>
        </is>
      </c>
      <c r="E182" s="14" t="inlineStr">
        <is>
          <t>150</t>
        </is>
      </c>
      <c r="F182" s="14" t="inlineStr">
        <is>
          <t>1kV-XLPE-Arm-CU</t>
        </is>
      </c>
      <c r="G182" s="14" t="inlineStr">
        <is>
          <t>3x25/16</t>
        </is>
      </c>
      <c r="H182" s="14" t="inlineStr">
        <is>
          <t>SALA ELÉCTRICA 3</t>
        </is>
      </c>
      <c r="I182" s="14" t="inlineStr">
        <is>
          <t>TABLEROS DE DISTRIBUCIÓN PROTECCIÓN CATODICA 0</t>
        </is>
      </c>
      <c r="J182" s="14" t="inlineStr">
        <is>
          <t>POTENCIA_BT</t>
        </is>
      </c>
      <c r="K182" s="14" t="inlineStr">
        <is>
          <t>CPF2</t>
        </is>
      </c>
      <c r="L182" s="137" t="n">
        <v>4</v>
      </c>
      <c r="M182" s="144" t="inlineStr">
        <is>
          <t>SI</t>
        </is>
      </c>
      <c r="N182" s="139" t="n">
        <v>8</v>
      </c>
      <c r="O182" s="145" t="n">
        <v>2</v>
      </c>
      <c r="P182" s="141" t="n">
        <v>10</v>
      </c>
      <c r="Q182" s="136" t="inlineStr">
        <is>
          <t>POTENCIA BT PEQUEÑA (10-25mm²)</t>
        </is>
      </c>
      <c r="R182" s="136" t="inlineStr">
        <is>
          <t>TABLERO/CCM</t>
        </is>
      </c>
    </row>
    <row r="183">
      <c r="A183" s="14" t="inlineStr">
        <is>
          <t>P-102-PC-102</t>
        </is>
      </c>
      <c r="B183" s="14" t="inlineStr">
        <is>
          <t>102-CCM-007</t>
        </is>
      </c>
      <c r="C183" s="14" t="inlineStr">
        <is>
          <t>102-PC-102</t>
        </is>
      </c>
      <c r="D183" s="14" t="inlineStr">
        <is>
          <t>380</t>
        </is>
      </c>
      <c r="E183" s="14" t="inlineStr">
        <is>
          <t>150</t>
        </is>
      </c>
      <c r="F183" s="14" t="inlineStr">
        <is>
          <t>1kV-XLPE-Arm-CU</t>
        </is>
      </c>
      <c r="G183" s="14" t="inlineStr">
        <is>
          <t>3x25/16</t>
        </is>
      </c>
      <c r="H183" s="14" t="inlineStr">
        <is>
          <t>SALA ELÉCTRICA 3</t>
        </is>
      </c>
      <c r="I183" s="14" t="inlineStr">
        <is>
          <t>TABLEROS DE DISTRIBUCIÓN PROTECCIÓN CATODICA 0</t>
        </is>
      </c>
      <c r="J183" s="14" t="inlineStr">
        <is>
          <t>POTENCIA_BT</t>
        </is>
      </c>
      <c r="K183" s="14" t="inlineStr">
        <is>
          <t>CPF2</t>
        </is>
      </c>
      <c r="L183" s="137" t="n">
        <v>4</v>
      </c>
      <c r="M183" s="144" t="inlineStr">
        <is>
          <t>SI</t>
        </is>
      </c>
      <c r="N183" s="139" t="n">
        <v>8</v>
      </c>
      <c r="O183" s="145" t="n">
        <v>2</v>
      </c>
      <c r="P183" s="141" t="n">
        <v>10</v>
      </c>
      <c r="Q183" s="136" t="inlineStr">
        <is>
          <t>POTENCIA BT PEQUEÑA (10-25mm²)</t>
        </is>
      </c>
      <c r="R183" s="136" t="inlineStr">
        <is>
          <t>TABLERO/CCM</t>
        </is>
      </c>
    </row>
    <row r="184">
      <c r="A184" s="14" t="inlineStr">
        <is>
          <t>P-SKZZ-90217</t>
        </is>
      </c>
      <c r="B184" s="14" t="inlineStr">
        <is>
          <t>102-CCM-007</t>
        </is>
      </c>
      <c r="C184" s="14" t="inlineStr">
        <is>
          <t>SKZZ-90217</t>
        </is>
      </c>
      <c r="D184" s="14" t="inlineStr">
        <is>
          <t>380</t>
        </is>
      </c>
      <c r="E184" s="14" t="inlineStr">
        <is>
          <t>250</t>
        </is>
      </c>
      <c r="F184" s="14" t="inlineStr">
        <is>
          <t>1kV-XLPE-Arm-CU</t>
        </is>
      </c>
      <c r="G184" s="14" t="inlineStr">
        <is>
          <t>4x4</t>
        </is>
      </c>
      <c r="H184" s="14" t="inlineStr">
        <is>
          <t>SALA ELÉCTRICA 3</t>
        </is>
      </c>
      <c r="I184" s="14" t="inlineStr">
        <is>
          <t>SKID QUÍMICO BIOCIDA 0</t>
        </is>
      </c>
      <c r="J184" s="14" t="inlineStr">
        <is>
          <t>POTENCIA_BT</t>
        </is>
      </c>
      <c r="K184" s="14" t="inlineStr">
        <is>
          <t>CPF2</t>
        </is>
      </c>
      <c r="L184" s="137" t="n">
        <v>4</v>
      </c>
      <c r="M184" s="144" t="inlineStr">
        <is>
          <t>SI</t>
        </is>
      </c>
      <c r="N184" s="139" t="n">
        <v>8</v>
      </c>
      <c r="O184" s="145" t="n">
        <v>2</v>
      </c>
      <c r="P184" s="141" t="n">
        <v>10</v>
      </c>
      <c r="Q184" s="136" t="inlineStr">
        <is>
          <t>POTENCIA BT MUY PEQ (&lt;10mm²)</t>
        </is>
      </c>
      <c r="R184" s="136" t="inlineStr">
        <is>
          <t>TABLERO/CCM</t>
        </is>
      </c>
    </row>
    <row r="185">
      <c r="A185" s="14" t="inlineStr">
        <is>
          <t>P-SKZZ-90218</t>
        </is>
      </c>
      <c r="B185" s="14" t="inlineStr">
        <is>
          <t>102-CCM-007</t>
        </is>
      </c>
      <c r="C185" s="14" t="inlineStr">
        <is>
          <t>SKZZ-90218</t>
        </is>
      </c>
      <c r="D185" s="14" t="inlineStr">
        <is>
          <t>380</t>
        </is>
      </c>
      <c r="E185" s="14" t="inlineStr">
        <is>
          <t>250</t>
        </is>
      </c>
      <c r="F185" s="14" t="inlineStr">
        <is>
          <t>1kV-XLPE-Arm-CU</t>
        </is>
      </c>
      <c r="G185" s="14" t="inlineStr">
        <is>
          <t>4x4</t>
        </is>
      </c>
      <c r="H185" s="14" t="inlineStr">
        <is>
          <t>SALA ELÉCTRICA 3</t>
        </is>
      </c>
      <c r="I185" s="14" t="inlineStr">
        <is>
          <t>SKID QUÍMICO INHIBIDOR DE INCRUSTACIONES 0</t>
        </is>
      </c>
      <c r="J185" s="14" t="inlineStr">
        <is>
          <t>POTENCIA_BT</t>
        </is>
      </c>
      <c r="K185" s="14" t="inlineStr">
        <is>
          <t>CPF2</t>
        </is>
      </c>
      <c r="L185" s="137" t="n">
        <v>4</v>
      </c>
      <c r="M185" s="144" t="inlineStr">
        <is>
          <t>SI</t>
        </is>
      </c>
      <c r="N185" s="139" t="n">
        <v>8</v>
      </c>
      <c r="O185" s="145" t="n">
        <v>2</v>
      </c>
      <c r="P185" s="141" t="n">
        <v>10</v>
      </c>
      <c r="Q185" s="136" t="inlineStr">
        <is>
          <t>POTENCIA BT MUY PEQ (&lt;10mm²)</t>
        </is>
      </c>
      <c r="R185" s="136" t="inlineStr">
        <is>
          <t>TABLERO/CCM</t>
        </is>
      </c>
    </row>
    <row r="186">
      <c r="A186" s="14" t="inlineStr">
        <is>
          <t>P-SKZZ-90219</t>
        </is>
      </c>
      <c r="B186" s="14" t="inlineStr">
        <is>
          <t>102-CCM-007</t>
        </is>
      </c>
      <c r="C186" s="14" t="inlineStr">
        <is>
          <t>SKZZ-90219</t>
        </is>
      </c>
      <c r="D186" s="14" t="inlineStr">
        <is>
          <t>380</t>
        </is>
      </c>
      <c r="E186" s="14" t="inlineStr">
        <is>
          <t>250</t>
        </is>
      </c>
      <c r="F186" s="14" t="inlineStr">
        <is>
          <t>1kV-XLPE-Arm-CU</t>
        </is>
      </c>
      <c r="G186" s="14" t="inlineStr">
        <is>
          <t>4x4</t>
        </is>
      </c>
      <c r="H186" s="14" t="inlineStr">
        <is>
          <t>SALA ELÉCTRICA 3</t>
        </is>
      </c>
      <c r="I186" s="14" t="inlineStr">
        <is>
          <t>SKID QUÍMICO INHIBIDOR DE CORROSIÓN 0</t>
        </is>
      </c>
      <c r="J186" s="14" t="inlineStr">
        <is>
          <t>POTENCIA_BT</t>
        </is>
      </c>
      <c r="K186" s="14" t="inlineStr">
        <is>
          <t>CPF2</t>
        </is>
      </c>
      <c r="L186" s="137" t="n">
        <v>4</v>
      </c>
      <c r="M186" s="144" t="inlineStr">
        <is>
          <t>SI</t>
        </is>
      </c>
      <c r="N186" s="139" t="n">
        <v>8</v>
      </c>
      <c r="O186" s="145" t="n">
        <v>2</v>
      </c>
      <c r="P186" s="141" t="n">
        <v>10</v>
      </c>
      <c r="Q186" s="136" t="inlineStr">
        <is>
          <t>POTENCIA BT MUY PEQ (&lt;10mm²)</t>
        </is>
      </c>
      <c r="R186" s="136" t="inlineStr">
        <is>
          <t>TABLERO/CCM</t>
        </is>
      </c>
    </row>
    <row r="187">
      <c r="A187" s="14" t="inlineStr">
        <is>
          <t>P-M-EAL-23310 A1</t>
        </is>
      </c>
      <c r="B187" s="14" t="inlineStr">
        <is>
          <t>102-CCM-007</t>
        </is>
      </c>
      <c r="C187" s="14" t="inlineStr">
        <is>
          <t>M-EAL-23310 A1</t>
        </is>
      </c>
      <c r="D187" s="14" t="inlineStr">
        <is>
          <t>380</t>
        </is>
      </c>
      <c r="E187" s="14" t="inlineStr">
        <is>
          <t>250</t>
        </is>
      </c>
      <c r="F187" s="14" t="inlineStr">
        <is>
          <t>1kV-XLPE-Arm-CU</t>
        </is>
      </c>
      <c r="G187" s="14" t="inlineStr">
        <is>
          <t>3x6</t>
        </is>
      </c>
      <c r="H187" s="14" t="inlineStr">
        <is>
          <t>SALA ELÉCTRICA 3</t>
        </is>
      </c>
      <c r="I187" s="14" t="inlineStr">
        <is>
          <t>PLAN DE SELLO BOMBA DE CONDENSADO 0</t>
        </is>
      </c>
      <c r="J187" s="14" t="inlineStr">
        <is>
          <t>POTENCIA_BT</t>
        </is>
      </c>
      <c r="K187" s="14" t="inlineStr">
        <is>
          <t>CPF2</t>
        </is>
      </c>
      <c r="L187" s="137" t="n">
        <v>3</v>
      </c>
      <c r="M187" s="144" t="inlineStr">
        <is>
          <t>SI</t>
        </is>
      </c>
      <c r="N187" s="139" t="n">
        <v>6</v>
      </c>
      <c r="O187" s="145" t="n">
        <v>2</v>
      </c>
      <c r="P187" s="141" t="n">
        <v>8</v>
      </c>
      <c r="Q187" s="136" t="inlineStr">
        <is>
          <t>POTENCIA BT MUY PEQ (&lt;10mm²)</t>
        </is>
      </c>
      <c r="R187" s="136" t="inlineStr">
        <is>
          <t>MOTOR/ACCIONAMIENTO</t>
        </is>
      </c>
    </row>
    <row r="188">
      <c r="A188" s="14" t="inlineStr">
        <is>
          <t>P-M-EAL-23310 A2</t>
        </is>
      </c>
      <c r="B188" s="14" t="inlineStr">
        <is>
          <t>102-CCM-007</t>
        </is>
      </c>
      <c r="C188" s="14" t="inlineStr">
        <is>
          <t>M-EAL-23310 A2</t>
        </is>
      </c>
      <c r="D188" s="14" t="inlineStr">
        <is>
          <t>380</t>
        </is>
      </c>
      <c r="E188" s="14" t="inlineStr">
        <is>
          <t>250</t>
        </is>
      </c>
      <c r="F188" s="14" t="inlineStr">
        <is>
          <t>1kV-XLPE-Arm-CU</t>
        </is>
      </c>
      <c r="G188" s="14" t="inlineStr">
        <is>
          <t>3x6</t>
        </is>
      </c>
      <c r="H188" s="14" t="inlineStr">
        <is>
          <t>SALA ELÉCTRICA 3</t>
        </is>
      </c>
      <c r="I188" s="14" t="inlineStr">
        <is>
          <t>PLAN DE SELLO BOMBA DE CONDENSADO 0</t>
        </is>
      </c>
      <c r="J188" s="14" t="inlineStr">
        <is>
          <t>POTENCIA_BT</t>
        </is>
      </c>
      <c r="K188" s="14" t="inlineStr">
        <is>
          <t>CPF2</t>
        </is>
      </c>
      <c r="L188" s="137" t="n">
        <v>3</v>
      </c>
      <c r="M188" s="144" t="inlineStr">
        <is>
          <t>SI</t>
        </is>
      </c>
      <c r="N188" s="139" t="n">
        <v>6</v>
      </c>
      <c r="O188" s="145" t="n">
        <v>2</v>
      </c>
      <c r="P188" s="141" t="n">
        <v>8</v>
      </c>
      <c r="Q188" s="136" t="inlineStr">
        <is>
          <t>POTENCIA BT MUY PEQ (&lt;10mm²)</t>
        </is>
      </c>
      <c r="R188" s="136" t="inlineStr">
        <is>
          <t>MOTOR/ACCIONAMIENTO</t>
        </is>
      </c>
    </row>
    <row r="189">
      <c r="A189" s="14" t="inlineStr">
        <is>
          <t>P-M-EAL-23310 B1</t>
        </is>
      </c>
      <c r="B189" s="14" t="inlineStr">
        <is>
          <t>102-CCM-007</t>
        </is>
      </c>
      <c r="C189" s="14" t="inlineStr">
        <is>
          <t>M-EAL-23310 B1</t>
        </is>
      </c>
      <c r="D189" s="14" t="inlineStr">
        <is>
          <t>380</t>
        </is>
      </c>
      <c r="E189" s="14" t="inlineStr">
        <is>
          <t>250</t>
        </is>
      </c>
      <c r="F189" s="14" t="inlineStr">
        <is>
          <t>1kV-XLPE-Arm-CU</t>
        </is>
      </c>
      <c r="G189" s="14" t="inlineStr">
        <is>
          <t>3x6</t>
        </is>
      </c>
      <c r="H189" s="14" t="inlineStr">
        <is>
          <t>SALA ELÉCTRICA 3</t>
        </is>
      </c>
      <c r="I189" s="14" t="inlineStr">
        <is>
          <t>PLAN DE SELLO BOMBA DE CONDENSADO 0</t>
        </is>
      </c>
      <c r="J189" s="14" t="inlineStr">
        <is>
          <t>POTENCIA_BT</t>
        </is>
      </c>
      <c r="K189" s="14" t="inlineStr">
        <is>
          <t>CPF2</t>
        </is>
      </c>
      <c r="L189" s="137" t="n">
        <v>3</v>
      </c>
      <c r="M189" s="144" t="inlineStr">
        <is>
          <t>SI</t>
        </is>
      </c>
      <c r="N189" s="139" t="n">
        <v>6</v>
      </c>
      <c r="O189" s="145" t="n">
        <v>2</v>
      </c>
      <c r="P189" s="141" t="n">
        <v>8</v>
      </c>
      <c r="Q189" s="136" t="inlineStr">
        <is>
          <t>POTENCIA BT MUY PEQ (&lt;10mm²)</t>
        </is>
      </c>
      <c r="R189" s="136" t="inlineStr">
        <is>
          <t>MOTOR/ACCIONAMIENTO</t>
        </is>
      </c>
    </row>
    <row r="190">
      <c r="A190" s="14" t="inlineStr">
        <is>
          <t>P-M-EAL-23310 B2</t>
        </is>
      </c>
      <c r="B190" s="14" t="inlineStr">
        <is>
          <t>102-CCM-007</t>
        </is>
      </c>
      <c r="C190" s="14" t="inlineStr">
        <is>
          <t>M-EAL-23310 B2</t>
        </is>
      </c>
      <c r="D190" s="14" t="inlineStr">
        <is>
          <t>380</t>
        </is>
      </c>
      <c r="E190" s="14" t="inlineStr">
        <is>
          <t>250</t>
        </is>
      </c>
      <c r="F190" s="14" t="inlineStr">
        <is>
          <t>1kV-XLPE-Arm-CU</t>
        </is>
      </c>
      <c r="G190" s="14" t="inlineStr">
        <is>
          <t>3x6</t>
        </is>
      </c>
      <c r="H190" s="14" t="inlineStr">
        <is>
          <t>SALA ELÉCTRICA 3</t>
        </is>
      </c>
      <c r="I190" s="14" t="inlineStr">
        <is>
          <t>PLAN DE SELLO BOMBA DE CONDENSADO 0</t>
        </is>
      </c>
      <c r="J190" s="14" t="inlineStr">
        <is>
          <t>POTENCIA_BT</t>
        </is>
      </c>
      <c r="K190" s="14" t="inlineStr">
        <is>
          <t>CPF2</t>
        </is>
      </c>
      <c r="L190" s="137" t="n">
        <v>3</v>
      </c>
      <c r="M190" s="144" t="inlineStr">
        <is>
          <t>SI</t>
        </is>
      </c>
      <c r="N190" s="139" t="n">
        <v>6</v>
      </c>
      <c r="O190" s="145" t="n">
        <v>2</v>
      </c>
      <c r="P190" s="141" t="n">
        <v>8</v>
      </c>
      <c r="Q190" s="136" t="inlineStr">
        <is>
          <t>POTENCIA BT MUY PEQ (&lt;10mm²)</t>
        </is>
      </c>
      <c r="R190" s="136" t="inlineStr">
        <is>
          <t>MOTOR/ACCIONAMIENTO</t>
        </is>
      </c>
    </row>
    <row r="191">
      <c r="A191" s="14" t="inlineStr">
        <is>
          <t>P-M-EAL-23310 C1</t>
        </is>
      </c>
      <c r="B191" s="14" t="inlineStr">
        <is>
          <t>102-CCM-007</t>
        </is>
      </c>
      <c r="C191" s="14" t="inlineStr">
        <is>
          <t>M-EAL-23310 C1</t>
        </is>
      </c>
      <c r="D191" s="14" t="inlineStr">
        <is>
          <t>380</t>
        </is>
      </c>
      <c r="E191" s="14" t="inlineStr">
        <is>
          <t>250</t>
        </is>
      </c>
      <c r="F191" s="14" t="inlineStr">
        <is>
          <t>1kV-XLPE-Arm-CU</t>
        </is>
      </c>
      <c r="G191" s="14" t="inlineStr">
        <is>
          <t>3x6</t>
        </is>
      </c>
      <c r="H191" s="14" t="inlineStr">
        <is>
          <t>SALA ELÉCTRICA 3</t>
        </is>
      </c>
      <c r="I191" s="14" t="inlineStr">
        <is>
          <t>PLAN DE SELLO BOMBA DE CONDENSADO 0</t>
        </is>
      </c>
      <c r="J191" s="14" t="inlineStr">
        <is>
          <t>POTENCIA_BT</t>
        </is>
      </c>
      <c r="K191" s="14" t="inlineStr">
        <is>
          <t>CPF2</t>
        </is>
      </c>
      <c r="L191" s="137" t="n">
        <v>3</v>
      </c>
      <c r="M191" s="144" t="inlineStr">
        <is>
          <t>SI</t>
        </is>
      </c>
      <c r="N191" s="139" t="n">
        <v>6</v>
      </c>
      <c r="O191" s="145" t="n">
        <v>2</v>
      </c>
      <c r="P191" s="141" t="n">
        <v>8</v>
      </c>
      <c r="Q191" s="136" t="inlineStr">
        <is>
          <t>POTENCIA BT MUY PEQ (&lt;10mm²)</t>
        </is>
      </c>
      <c r="R191" s="136" t="inlineStr">
        <is>
          <t>MOTOR/ACCIONAMIENTO</t>
        </is>
      </c>
    </row>
    <row r="192">
      <c r="A192" s="14" t="inlineStr">
        <is>
          <t>P-M-EAL-23310 C2</t>
        </is>
      </c>
      <c r="B192" s="14" t="inlineStr">
        <is>
          <t>102-CCM-007</t>
        </is>
      </c>
      <c r="C192" s="14" t="inlineStr">
        <is>
          <t>M-EAL-23310 C2</t>
        </is>
      </c>
      <c r="D192" s="14" t="inlineStr">
        <is>
          <t>380</t>
        </is>
      </c>
      <c r="E192" s="14" t="inlineStr">
        <is>
          <t>250</t>
        </is>
      </c>
      <c r="F192" s="14" t="inlineStr">
        <is>
          <t>1kV-XLPE-Arm-CU</t>
        </is>
      </c>
      <c r="G192" s="14" t="inlineStr">
        <is>
          <t>3x6</t>
        </is>
      </c>
      <c r="H192" s="14" t="inlineStr">
        <is>
          <t>SALA ELÉCTRICA 3</t>
        </is>
      </c>
      <c r="I192" s="14" t="inlineStr">
        <is>
          <t>PLAN DE SELLO BOMBA DE CONDENSADO</t>
        </is>
      </c>
      <c r="J192" s="14" t="inlineStr">
        <is>
          <t>POTENCIA_BT</t>
        </is>
      </c>
      <c r="K192" s="14" t="inlineStr">
        <is>
          <t>CPF2</t>
        </is>
      </c>
      <c r="L192" s="137" t="n">
        <v>3</v>
      </c>
      <c r="M192" s="144" t="inlineStr">
        <is>
          <t>SI</t>
        </is>
      </c>
      <c r="N192" s="139" t="n">
        <v>6</v>
      </c>
      <c r="O192" s="145" t="n">
        <v>2</v>
      </c>
      <c r="P192" s="141" t="n">
        <v>8</v>
      </c>
      <c r="Q192" s="136" t="inlineStr">
        <is>
          <t>POTENCIA BT MUY PEQ (&lt;10mm²)</t>
        </is>
      </c>
      <c r="R192" s="136" t="inlineStr">
        <is>
          <t>MOTOR/ACCIONAMIENTO</t>
        </is>
      </c>
    </row>
    <row r="193">
      <c r="A193" s="14" t="inlineStr">
        <is>
          <t>P-M-14017A</t>
        </is>
      </c>
      <c r="B193" s="14" t="inlineStr">
        <is>
          <t>102-CCM-005</t>
        </is>
      </c>
      <c r="C193" s="14" t="inlineStr">
        <is>
          <t>M-14017A</t>
        </is>
      </c>
      <c r="D193" s="14" t="inlineStr">
        <is>
          <t>380</t>
        </is>
      </c>
      <c r="E193" s="14" t="inlineStr">
        <is>
          <t>150</t>
        </is>
      </c>
      <c r="F193" s="14" t="inlineStr">
        <is>
          <t>1kV-XLPE-Arm-CU</t>
        </is>
      </c>
      <c r="G193" s="14" t="inlineStr">
        <is>
          <t>3x35</t>
        </is>
      </c>
      <c r="H193" s="14" t="inlineStr">
        <is>
          <t>SALA ELÉCTRICA 3</t>
        </is>
      </c>
      <c r="I193" s="14" t="inlineStr"/>
      <c r="J193" s="14" t="inlineStr">
        <is>
          <t>POTENCIA_BT</t>
        </is>
      </c>
      <c r="K193" s="14" t="inlineStr">
        <is>
          <t>CPF2</t>
        </is>
      </c>
      <c r="L193" s="137" t="n">
        <v>3</v>
      </c>
      <c r="M193" s="144" t="inlineStr">
        <is>
          <t>SI</t>
        </is>
      </c>
      <c r="N193" s="139" t="n">
        <v>6</v>
      </c>
      <c r="O193" s="145" t="n">
        <v>2</v>
      </c>
      <c r="P193" s="141" t="n">
        <v>8</v>
      </c>
      <c r="Q193" s="136" t="inlineStr">
        <is>
          <t>POTENCIA BT MEDIANA (35-70mm²)</t>
        </is>
      </c>
      <c r="R193" s="136" t="inlineStr">
        <is>
          <t>TABLERO/CCM</t>
        </is>
      </c>
    </row>
    <row r="194">
      <c r="A194" s="14" t="inlineStr">
        <is>
          <t>P-M-14017B</t>
        </is>
      </c>
      <c r="B194" s="14" t="inlineStr">
        <is>
          <t>102-CCM-005</t>
        </is>
      </c>
      <c r="C194" s="14" t="inlineStr">
        <is>
          <t>M-14017B</t>
        </is>
      </c>
      <c r="D194" s="14" t="inlineStr">
        <is>
          <t>380</t>
        </is>
      </c>
      <c r="E194" s="14" t="inlineStr">
        <is>
          <t>150</t>
        </is>
      </c>
      <c r="F194" s="14" t="inlineStr">
        <is>
          <t>1kV-XLPE-Arm-CU</t>
        </is>
      </c>
      <c r="G194" s="14" t="inlineStr">
        <is>
          <t>3x35</t>
        </is>
      </c>
      <c r="H194" s="14" t="inlineStr">
        <is>
          <t>GLYCOL PUMPS - PUMP "A" - Area 140</t>
        </is>
      </c>
      <c r="I194" s="14" t="inlineStr"/>
      <c r="J194" s="14" t="inlineStr">
        <is>
          <t>POTENCIA_BT</t>
        </is>
      </c>
      <c r="K194" s="14" t="inlineStr">
        <is>
          <t>CPF2</t>
        </is>
      </c>
      <c r="L194" s="137" t="n">
        <v>3</v>
      </c>
      <c r="M194" s="144" t="inlineStr">
        <is>
          <t>SI</t>
        </is>
      </c>
      <c r="N194" s="139" t="n">
        <v>6</v>
      </c>
      <c r="O194" s="145" t="n">
        <v>2</v>
      </c>
      <c r="P194" s="141" t="n">
        <v>8</v>
      </c>
      <c r="Q194" s="136" t="inlineStr">
        <is>
          <t>POTENCIA BT MEDIANA (35-70mm²)</t>
        </is>
      </c>
      <c r="R194" s="136" t="inlineStr">
        <is>
          <t>OTROS/VERIFICAR</t>
        </is>
      </c>
    </row>
    <row r="195">
      <c r="A195" s="14" t="inlineStr">
        <is>
          <t>P-M-14018B</t>
        </is>
      </c>
      <c r="B195" s="14" t="inlineStr">
        <is>
          <t>102-CCM-005</t>
        </is>
      </c>
      <c r="C195" s="14" t="inlineStr">
        <is>
          <t>M-14018B</t>
        </is>
      </c>
      <c r="D195" s="14" t="inlineStr">
        <is>
          <t>380</t>
        </is>
      </c>
      <c r="E195" s="14" t="inlineStr">
        <is>
          <t>150</t>
        </is>
      </c>
      <c r="F195" s="14" t="inlineStr">
        <is>
          <t>1kV-XLPE-Arm-B-CU</t>
        </is>
      </c>
      <c r="G195" s="14" t="inlineStr">
        <is>
          <t>3x6</t>
        </is>
      </c>
      <c r="H195" s="14" t="inlineStr">
        <is>
          <t>GLYCOL PUMPS - PUMP "B" - Area 140</t>
        </is>
      </c>
      <c r="I195" s="14" t="inlineStr"/>
      <c r="J195" s="14" t="inlineStr">
        <is>
          <t>POTENCIA_BT</t>
        </is>
      </c>
      <c r="K195" s="14" t="inlineStr">
        <is>
          <t>CPF2</t>
        </is>
      </c>
      <c r="L195" s="137" t="n">
        <v>3</v>
      </c>
      <c r="M195" s="144" t="inlineStr">
        <is>
          <t>SI</t>
        </is>
      </c>
      <c r="N195" s="139" t="n">
        <v>6</v>
      </c>
      <c r="O195" s="145" t="n">
        <v>2</v>
      </c>
      <c r="P195" s="141" t="n">
        <v>8</v>
      </c>
      <c r="Q195" s="136" t="inlineStr">
        <is>
          <t>POTENCIA BT MUY PEQ (&lt;10mm²)</t>
        </is>
      </c>
      <c r="R195" s="136" t="inlineStr">
        <is>
          <t>OTROS/VERIFICAR</t>
        </is>
      </c>
    </row>
    <row r="196">
      <c r="A196" s="14" t="inlineStr">
        <is>
          <t>P-M-14020A</t>
        </is>
      </c>
      <c r="B196" s="14" t="inlineStr">
        <is>
          <t>102-CCM-005</t>
        </is>
      </c>
      <c r="C196" s="14" t="inlineStr">
        <is>
          <t>M-14020A</t>
        </is>
      </c>
      <c r="D196" s="14" t="inlineStr">
        <is>
          <t>380</t>
        </is>
      </c>
      <c r="E196" s="14" t="inlineStr">
        <is>
          <t>150</t>
        </is>
      </c>
      <c r="F196" s="14" t="inlineStr">
        <is>
          <t>1kV-XLPE-Arm-CU</t>
        </is>
      </c>
      <c r="G196" s="14" t="inlineStr">
        <is>
          <t>3x4</t>
        </is>
      </c>
      <c r="H196" s="14" t="inlineStr">
        <is>
          <t>REGEN GAS AIR COOLER - Area 140</t>
        </is>
      </c>
      <c r="I196" s="14" t="inlineStr"/>
      <c r="J196" s="14" t="inlineStr">
        <is>
          <t>POTENCIA_BT</t>
        </is>
      </c>
      <c r="K196" s="14" t="inlineStr">
        <is>
          <t>CPF2</t>
        </is>
      </c>
      <c r="L196" s="137" t="n">
        <v>3</v>
      </c>
      <c r="M196" s="144" t="inlineStr">
        <is>
          <t>SI</t>
        </is>
      </c>
      <c r="N196" s="139" t="n">
        <v>6</v>
      </c>
      <c r="O196" s="145" t="n">
        <v>2</v>
      </c>
      <c r="P196" s="141" t="n">
        <v>8</v>
      </c>
      <c r="Q196" s="136" t="inlineStr">
        <is>
          <t>POTENCIA BT MUY PEQ (&lt;10mm²)</t>
        </is>
      </c>
      <c r="R196" s="136" t="inlineStr">
        <is>
          <t>OTROS/VERIFICAR</t>
        </is>
      </c>
    </row>
    <row r="197">
      <c r="A197" s="14" t="inlineStr">
        <is>
          <t>P-M-14020B</t>
        </is>
      </c>
      <c r="B197" s="14" t="inlineStr">
        <is>
          <t>102-CCM-005</t>
        </is>
      </c>
      <c r="C197" s="14" t="inlineStr">
        <is>
          <t>M-14020B</t>
        </is>
      </c>
      <c r="D197" s="14" t="inlineStr">
        <is>
          <t>380</t>
        </is>
      </c>
      <c r="E197" s="14" t="inlineStr">
        <is>
          <t>150</t>
        </is>
      </c>
      <c r="F197" s="14" t="inlineStr">
        <is>
          <t>1kV-XLPE-Arm-CU</t>
        </is>
      </c>
      <c r="G197" s="14" t="inlineStr">
        <is>
          <t>3x4</t>
        </is>
      </c>
      <c r="H197" s="14" t="inlineStr">
        <is>
          <t>REGEN WATER PUMPS - PUMP "A" - Area 140</t>
        </is>
      </c>
      <c r="I197" s="14" t="inlineStr"/>
      <c r="J197" s="14" t="inlineStr">
        <is>
          <t>POTENCIA_BT</t>
        </is>
      </c>
      <c r="K197" s="14" t="inlineStr">
        <is>
          <t>CPF2</t>
        </is>
      </c>
      <c r="L197" s="137" t="n">
        <v>3</v>
      </c>
      <c r="M197" s="144" t="inlineStr">
        <is>
          <t>SI</t>
        </is>
      </c>
      <c r="N197" s="139" t="n">
        <v>6</v>
      </c>
      <c r="O197" s="145" t="n">
        <v>2</v>
      </c>
      <c r="P197" s="141" t="n">
        <v>8</v>
      </c>
      <c r="Q197" s="136" t="inlineStr">
        <is>
          <t>POTENCIA BT MUY PEQ (&lt;10mm²)</t>
        </is>
      </c>
      <c r="R197" s="136" t="inlineStr">
        <is>
          <t>OTROS/VERIFICAR</t>
        </is>
      </c>
    </row>
    <row r="198">
      <c r="A198" s="14" t="inlineStr">
        <is>
          <t>P-M-26005A</t>
        </is>
      </c>
      <c r="B198" s="14" t="inlineStr">
        <is>
          <t>102-CCM-005</t>
        </is>
      </c>
      <c r="C198" s="14" t="inlineStr">
        <is>
          <t>M-26005A</t>
        </is>
      </c>
      <c r="D198" s="14" t="inlineStr">
        <is>
          <t>380</t>
        </is>
      </c>
      <c r="E198" s="14" t="inlineStr">
        <is>
          <t>150</t>
        </is>
      </c>
      <c r="F198" s="14" t="inlineStr">
        <is>
          <t>1kV-XLPE-Arm-CU</t>
        </is>
      </c>
      <c r="G198" s="14" t="inlineStr">
        <is>
          <t>3x16</t>
        </is>
      </c>
      <c r="H198" s="14" t="inlineStr">
        <is>
          <t>REGEN WATER PUMPS - PUMP "B" - Area 140</t>
        </is>
      </c>
      <c r="I198" s="14" t="inlineStr"/>
      <c r="J198" s="14" t="inlineStr">
        <is>
          <t>POTENCIA_BT</t>
        </is>
      </c>
      <c r="K198" s="14" t="inlineStr">
        <is>
          <t>CPF2</t>
        </is>
      </c>
      <c r="L198" s="137" t="n">
        <v>3</v>
      </c>
      <c r="M198" s="144" t="inlineStr">
        <is>
          <t>SI</t>
        </is>
      </c>
      <c r="N198" s="139" t="n">
        <v>6</v>
      </c>
      <c r="O198" s="145" t="n">
        <v>2</v>
      </c>
      <c r="P198" s="141" t="n">
        <v>8</v>
      </c>
      <c r="Q198" s="136" t="inlineStr">
        <is>
          <t>POTENCIA BT PEQUEÑA (10-25mm²)</t>
        </is>
      </c>
      <c r="R198" s="136" t="inlineStr">
        <is>
          <t>OTROS/VERIFICAR</t>
        </is>
      </c>
    </row>
    <row r="199">
      <c r="A199" s="14" t="inlineStr">
        <is>
          <t>P-M-26005B</t>
        </is>
      </c>
      <c r="B199" s="14" t="inlineStr">
        <is>
          <t>102-CCM-005</t>
        </is>
      </c>
      <c r="C199" s="14" t="inlineStr">
        <is>
          <t>M-26005B</t>
        </is>
      </c>
      <c r="D199" s="14" t="inlineStr">
        <is>
          <t>380</t>
        </is>
      </c>
      <c r="E199" s="14" t="inlineStr">
        <is>
          <t>150</t>
        </is>
      </c>
      <c r="F199" s="14" t="inlineStr">
        <is>
          <t>1kV-XLPE-Arm-CU</t>
        </is>
      </c>
      <c r="G199" s="14" t="inlineStr">
        <is>
          <t>3x16</t>
        </is>
      </c>
      <c r="H199" s="14" t="inlineStr">
        <is>
          <t>WATER WASH RECYCLE PUMP "A" - Area 260</t>
        </is>
      </c>
      <c r="I199" s="14" t="inlineStr"/>
      <c r="J199" s="14" t="inlineStr">
        <is>
          <t>POTENCIA_BT</t>
        </is>
      </c>
      <c r="K199" s="14" t="inlineStr">
        <is>
          <t>CPF2</t>
        </is>
      </c>
      <c r="L199" s="137" t="n">
        <v>3</v>
      </c>
      <c r="M199" s="144" t="inlineStr">
        <is>
          <t>SI</t>
        </is>
      </c>
      <c r="N199" s="139" t="n">
        <v>6</v>
      </c>
      <c r="O199" s="145" t="n">
        <v>2</v>
      </c>
      <c r="P199" s="141" t="n">
        <v>8</v>
      </c>
      <c r="Q199" s="136" t="inlineStr">
        <is>
          <t>POTENCIA BT PEQUEÑA (10-25mm²)</t>
        </is>
      </c>
      <c r="R199" s="136" t="inlineStr">
        <is>
          <t>OTROS/VERIFICAR</t>
        </is>
      </c>
    </row>
    <row r="200">
      <c r="A200" s="14" t="inlineStr">
        <is>
          <t>P-M-26011A</t>
        </is>
      </c>
      <c r="B200" s="14" t="inlineStr">
        <is>
          <t>102-CCM-005</t>
        </is>
      </c>
      <c r="C200" s="14" t="inlineStr">
        <is>
          <t>M-26011A</t>
        </is>
      </c>
      <c r="D200" s="14" t="inlineStr">
        <is>
          <t>380</t>
        </is>
      </c>
      <c r="E200" s="14" t="inlineStr">
        <is>
          <t>150</t>
        </is>
      </c>
      <c r="F200" s="14" t="inlineStr">
        <is>
          <t>1kV-XLPE-Arm-CU</t>
        </is>
      </c>
      <c r="G200" s="14" t="inlineStr">
        <is>
          <t>3x50</t>
        </is>
      </c>
      <c r="H200" s="14" t="inlineStr">
        <is>
          <t>WATER WASH RECYCLE PUMP "B" - Area 260</t>
        </is>
      </c>
      <c r="I200" s="14" t="inlineStr"/>
      <c r="J200" s="14" t="inlineStr">
        <is>
          <t>POTENCIA_BT</t>
        </is>
      </c>
      <c r="K200" s="14" t="inlineStr">
        <is>
          <t>CPF2</t>
        </is>
      </c>
      <c r="L200" s="137" t="n">
        <v>3</v>
      </c>
      <c r="M200" s="144" t="inlineStr">
        <is>
          <t>SI</t>
        </is>
      </c>
      <c r="N200" s="139" t="n">
        <v>6</v>
      </c>
      <c r="O200" s="145" t="n">
        <v>2</v>
      </c>
      <c r="P200" s="141" t="n">
        <v>8</v>
      </c>
      <c r="Q200" s="136" t="inlineStr">
        <is>
          <t>POTENCIA BT MEDIANA (35-70mm²)</t>
        </is>
      </c>
      <c r="R200" s="136" t="inlineStr">
        <is>
          <t>OTROS/VERIFICAR</t>
        </is>
      </c>
    </row>
    <row r="201">
      <c r="A201" s="14" t="inlineStr">
        <is>
          <t>P-M-26011B</t>
        </is>
      </c>
      <c r="B201" s="14" t="inlineStr">
        <is>
          <t>102-CCM-005</t>
        </is>
      </c>
      <c r="C201" s="14" t="inlineStr">
        <is>
          <t>M-26011B</t>
        </is>
      </c>
      <c r="D201" s="14" t="inlineStr">
        <is>
          <t>380</t>
        </is>
      </c>
      <c r="E201" s="14" t="inlineStr">
        <is>
          <t>150</t>
        </is>
      </c>
      <c r="F201" s="14" t="inlineStr">
        <is>
          <t>1kV-XLPE-Arm-CU</t>
        </is>
      </c>
      <c r="G201" s="14" t="inlineStr">
        <is>
          <t>3x50</t>
        </is>
      </c>
      <c r="H201" s="14" t="inlineStr">
        <is>
          <t>CONDENSATE COOLER - Area 260</t>
        </is>
      </c>
      <c r="I201" s="14" t="inlineStr"/>
      <c r="J201" s="14" t="inlineStr">
        <is>
          <t>POTENCIA_BT</t>
        </is>
      </c>
      <c r="K201" s="14" t="inlineStr">
        <is>
          <t>CPF2</t>
        </is>
      </c>
      <c r="L201" s="137" t="n">
        <v>3</v>
      </c>
      <c r="M201" s="144" t="inlineStr">
        <is>
          <t>SI</t>
        </is>
      </c>
      <c r="N201" s="139" t="n">
        <v>6</v>
      </c>
      <c r="O201" s="145" t="n">
        <v>2</v>
      </c>
      <c r="P201" s="141" t="n">
        <v>8</v>
      </c>
      <c r="Q201" s="136" t="inlineStr">
        <is>
          <t>POTENCIA BT MEDIANA (35-70mm²)</t>
        </is>
      </c>
      <c r="R201" s="136" t="inlineStr">
        <is>
          <t>OTROS/VERIFICAR</t>
        </is>
      </c>
    </row>
    <row r="202">
      <c r="A202" s="14" t="inlineStr">
        <is>
          <t>P-M-26012</t>
        </is>
      </c>
      <c r="B202" s="14" t="inlineStr">
        <is>
          <t>102-CCM-005</t>
        </is>
      </c>
      <c r="C202" s="14" t="inlineStr">
        <is>
          <t>M-26012</t>
        </is>
      </c>
      <c r="D202" s="14" t="inlineStr">
        <is>
          <t>380</t>
        </is>
      </c>
      <c r="E202" s="14" t="inlineStr">
        <is>
          <t>150</t>
        </is>
      </c>
      <c r="F202" s="14" t="inlineStr">
        <is>
          <t>1kV-XLPE-Arm-CU</t>
        </is>
      </c>
      <c r="G202" s="14" t="inlineStr">
        <is>
          <t>3x16</t>
        </is>
      </c>
      <c r="H202" s="14" t="inlineStr">
        <is>
          <t>CONDENSATE COOLER - Area 260</t>
        </is>
      </c>
      <c r="I202" s="14" t="inlineStr"/>
      <c r="J202" s="14" t="inlineStr">
        <is>
          <t>POTENCIA_BT</t>
        </is>
      </c>
      <c r="K202" s="14" t="inlineStr">
        <is>
          <t>CPF2</t>
        </is>
      </c>
      <c r="L202" s="137" t="n">
        <v>3</v>
      </c>
      <c r="M202" s="144" t="inlineStr">
        <is>
          <t>SI</t>
        </is>
      </c>
      <c r="N202" s="139" t="n">
        <v>6</v>
      </c>
      <c r="O202" s="145" t="n">
        <v>2</v>
      </c>
      <c r="P202" s="141" t="n">
        <v>8</v>
      </c>
      <c r="Q202" s="136" t="inlineStr">
        <is>
          <t>POTENCIA BT PEQUEÑA (10-25mm²)</t>
        </is>
      </c>
      <c r="R202" s="136" t="inlineStr">
        <is>
          <t>OTROS/VERIFICAR</t>
        </is>
      </c>
    </row>
    <row r="203">
      <c r="A203" s="14" t="inlineStr">
        <is>
          <t>P-M-29002A</t>
        </is>
      </c>
      <c r="B203" s="14" t="inlineStr">
        <is>
          <t>102-CCM-005</t>
        </is>
      </c>
      <c r="C203" s="14" t="inlineStr">
        <is>
          <t>M-29002A</t>
        </is>
      </c>
      <c r="D203" s="14" t="inlineStr">
        <is>
          <t>380</t>
        </is>
      </c>
      <c r="E203" s="14" t="inlineStr">
        <is>
          <t>200</t>
        </is>
      </c>
      <c r="F203" s="14" t="inlineStr">
        <is>
          <t>1kV-XLPE-Arm-CU</t>
        </is>
      </c>
      <c r="G203" s="14" t="inlineStr">
        <is>
          <t>3x6</t>
        </is>
      </c>
      <c r="H203" s="14" t="inlineStr">
        <is>
          <t>CONDENSATE RECYCLE PUMP - Area 260</t>
        </is>
      </c>
      <c r="I203" s="14" t="inlineStr">
        <is>
          <t>Off Gas Common Suction Drum Pump A-Area 290</t>
        </is>
      </c>
      <c r="J203" s="14" t="inlineStr">
        <is>
          <t>POTENCIA_BT</t>
        </is>
      </c>
      <c r="K203" s="14" t="inlineStr">
        <is>
          <t>CPF2</t>
        </is>
      </c>
      <c r="L203" s="137" t="n">
        <v>3</v>
      </c>
      <c r="M203" s="144" t="inlineStr">
        <is>
          <t>SI</t>
        </is>
      </c>
      <c r="N203" s="139" t="n">
        <v>6</v>
      </c>
      <c r="O203" s="145" t="n">
        <v>2</v>
      </c>
      <c r="P203" s="141" t="n">
        <v>8</v>
      </c>
      <c r="Q203" s="136" t="inlineStr">
        <is>
          <t>POTENCIA BT MUY PEQ (&lt;10mm²)</t>
        </is>
      </c>
      <c r="R203" s="136" t="inlineStr">
        <is>
          <t>MOTOR/ACCIONAMIENTO</t>
        </is>
      </c>
    </row>
    <row r="204">
      <c r="A204" s="14" t="inlineStr">
        <is>
          <t>P-M-29002B</t>
        </is>
      </c>
      <c r="B204" s="14" t="inlineStr">
        <is>
          <t>102-CCM-005</t>
        </is>
      </c>
      <c r="C204" s="14" t="inlineStr">
        <is>
          <t>M-29002B</t>
        </is>
      </c>
      <c r="D204" s="14" t="inlineStr">
        <is>
          <t>380</t>
        </is>
      </c>
      <c r="E204" s="14" t="inlineStr">
        <is>
          <t>200</t>
        </is>
      </c>
      <c r="F204" s="14" t="inlineStr">
        <is>
          <t>1kV-XLPE-Arm-CU</t>
        </is>
      </c>
      <c r="G204" s="14" t="inlineStr">
        <is>
          <t>3x6</t>
        </is>
      </c>
      <c r="H204" s="14" t="inlineStr">
        <is>
          <t>CONDENSATE RECYCLE PUMP - Area 260</t>
        </is>
      </c>
      <c r="I204" s="14" t="inlineStr">
        <is>
          <t>Off Gas Common Suction Drum Pump B-Area 290</t>
        </is>
      </c>
      <c r="J204" s="14" t="inlineStr">
        <is>
          <t>POTENCIA_BT</t>
        </is>
      </c>
      <c r="K204" s="14" t="inlineStr">
        <is>
          <t>CPF2</t>
        </is>
      </c>
      <c r="L204" s="137" t="n">
        <v>3</v>
      </c>
      <c r="M204" s="144" t="inlineStr">
        <is>
          <t>SI</t>
        </is>
      </c>
      <c r="N204" s="139" t="n">
        <v>6</v>
      </c>
      <c r="O204" s="145" t="n">
        <v>2</v>
      </c>
      <c r="P204" s="141" t="n">
        <v>8</v>
      </c>
      <c r="Q204" s="136" t="inlineStr">
        <is>
          <t>POTENCIA BT MUY PEQ (&lt;10mm²)</t>
        </is>
      </c>
      <c r="R204" s="136" t="inlineStr">
        <is>
          <t>MOTOR/ACCIONAMIENTO</t>
        </is>
      </c>
    </row>
    <row r="205">
      <c r="A205" s="14" t="inlineStr">
        <is>
          <t>P-M-29112A</t>
        </is>
      </c>
      <c r="B205" s="14" t="inlineStr">
        <is>
          <t>102-CCM-005</t>
        </is>
      </c>
      <c r="C205" s="14" t="inlineStr">
        <is>
          <t>M-29112A</t>
        </is>
      </c>
      <c r="D205" s="14" t="inlineStr">
        <is>
          <t>380</t>
        </is>
      </c>
      <c r="E205" s="14" t="inlineStr">
        <is>
          <t>180</t>
        </is>
      </c>
      <c r="F205" s="14" t="inlineStr">
        <is>
          <t>1kV-XLPE-Arm-B-CU</t>
        </is>
      </c>
      <c r="G205" s="14" t="inlineStr">
        <is>
          <t>3x10</t>
        </is>
      </c>
      <c r="H205" s="14" t="inlineStr">
        <is>
          <t>CONDENSATE RECYCLE PUMP - Area 260</t>
        </is>
      </c>
      <c r="I205" s="14" t="inlineStr"/>
      <c r="J205" s="14" t="inlineStr">
        <is>
          <t>POTENCIA_BT</t>
        </is>
      </c>
      <c r="K205" s="14" t="inlineStr">
        <is>
          <t>CPF2</t>
        </is>
      </c>
      <c r="L205" s="137" t="n">
        <v>3</v>
      </c>
      <c r="M205" s="144" t="inlineStr">
        <is>
          <t>SI</t>
        </is>
      </c>
      <c r="N205" s="139" t="n">
        <v>6</v>
      </c>
      <c r="O205" s="145" t="n">
        <v>2</v>
      </c>
      <c r="P205" s="141" t="n">
        <v>8</v>
      </c>
      <c r="Q205" s="136" t="inlineStr">
        <is>
          <t>POTENCIA BT PEQUEÑA (10-25mm²)</t>
        </is>
      </c>
      <c r="R205" s="136" t="inlineStr">
        <is>
          <t>OTROS/VERIFICAR</t>
        </is>
      </c>
    </row>
    <row r="206">
      <c r="A206" s="14" t="inlineStr">
        <is>
          <t>P-M-29112B</t>
        </is>
      </c>
      <c r="B206" s="14" t="inlineStr">
        <is>
          <t>102-CCM-005</t>
        </is>
      </c>
      <c r="C206" s="14" t="inlineStr">
        <is>
          <t>M-29112B</t>
        </is>
      </c>
      <c r="D206" s="14" t="inlineStr">
        <is>
          <t>380</t>
        </is>
      </c>
      <c r="E206" s="14" t="inlineStr">
        <is>
          <t>180</t>
        </is>
      </c>
      <c r="F206" s="14" t="inlineStr">
        <is>
          <t>1kV-XLPE-Arm-B-CU</t>
        </is>
      </c>
      <c r="G206" s="14" t="inlineStr">
        <is>
          <t>3x10</t>
        </is>
      </c>
      <c r="H206" s="14" t="inlineStr">
        <is>
          <t>Off Gas 1St Stage intercooler - Área 291</t>
        </is>
      </c>
      <c r="I206" s="14" t="inlineStr"/>
      <c r="J206" s="14" t="inlineStr">
        <is>
          <t>POTENCIA_BT</t>
        </is>
      </c>
      <c r="K206" s="14" t="inlineStr">
        <is>
          <t>CPF2</t>
        </is>
      </c>
      <c r="L206" s="137" t="n">
        <v>3</v>
      </c>
      <c r="M206" s="144" t="inlineStr">
        <is>
          <t>SI</t>
        </is>
      </c>
      <c r="N206" s="139" t="n">
        <v>6</v>
      </c>
      <c r="O206" s="145" t="n">
        <v>2</v>
      </c>
      <c r="P206" s="141" t="n">
        <v>8</v>
      </c>
      <c r="Q206" s="136" t="inlineStr">
        <is>
          <t>POTENCIA BT PEQUEÑA (10-25mm²)</t>
        </is>
      </c>
      <c r="R206" s="136" t="inlineStr">
        <is>
          <t>OTROS/VERIFICAR</t>
        </is>
      </c>
    </row>
    <row r="207">
      <c r="A207" s="14" t="inlineStr">
        <is>
          <t>P-M-29132A</t>
        </is>
      </c>
      <c r="B207" s="14" t="inlineStr">
        <is>
          <t>102-CCM-005</t>
        </is>
      </c>
      <c r="C207" s="14" t="inlineStr">
        <is>
          <t>M-29132A</t>
        </is>
      </c>
      <c r="D207" s="14" t="inlineStr">
        <is>
          <t>380</t>
        </is>
      </c>
      <c r="E207" s="14" t="inlineStr">
        <is>
          <t>180</t>
        </is>
      </c>
      <c r="F207" s="14" t="inlineStr">
        <is>
          <t>1kV-XLPE-Arm-B-CU</t>
        </is>
      </c>
      <c r="G207" s="14" t="inlineStr">
        <is>
          <t>3x35</t>
        </is>
      </c>
      <c r="H207" s="14" t="inlineStr">
        <is>
          <t>Off Gas 2St Stage intercooler - Área 291</t>
        </is>
      </c>
      <c r="I207" s="14" t="inlineStr"/>
      <c r="J207" s="14" t="inlineStr">
        <is>
          <t>POTENCIA_BT</t>
        </is>
      </c>
      <c r="K207" s="14" t="inlineStr">
        <is>
          <t>CPF2</t>
        </is>
      </c>
      <c r="L207" s="137" t="n">
        <v>3</v>
      </c>
      <c r="M207" s="144" t="inlineStr">
        <is>
          <t>SI</t>
        </is>
      </c>
      <c r="N207" s="139" t="n">
        <v>6</v>
      </c>
      <c r="O207" s="145" t="n">
        <v>2</v>
      </c>
      <c r="P207" s="141" t="n">
        <v>8</v>
      </c>
      <c r="Q207" s="136" t="inlineStr">
        <is>
          <t>POTENCIA BT MEDIANA (35-70mm²)</t>
        </is>
      </c>
      <c r="R207" s="136" t="inlineStr">
        <is>
          <t>OTROS/VERIFICAR</t>
        </is>
      </c>
    </row>
    <row r="208">
      <c r="A208" s="14" t="inlineStr">
        <is>
          <t>P-M-29132B</t>
        </is>
      </c>
      <c r="B208" s="14" t="inlineStr">
        <is>
          <t>102-CCM-005</t>
        </is>
      </c>
      <c r="C208" s="14" t="inlineStr">
        <is>
          <t>M-29132B</t>
        </is>
      </c>
      <c r="D208" s="14" t="inlineStr">
        <is>
          <t>380</t>
        </is>
      </c>
      <c r="E208" s="14" t="inlineStr">
        <is>
          <t>180</t>
        </is>
      </c>
      <c r="F208" s="14" t="inlineStr">
        <is>
          <t>1kV-XLPE-Arm-B-CU</t>
        </is>
      </c>
      <c r="G208" s="14" t="inlineStr">
        <is>
          <t>3x35</t>
        </is>
      </c>
      <c r="H208" s="14" t="inlineStr">
        <is>
          <t>Sales Gas Compressor Cooler Fan A - Área 291</t>
        </is>
      </c>
      <c r="I208" s="14" t="inlineStr"/>
      <c r="J208" s="14" t="inlineStr">
        <is>
          <t>POTENCIA_BT</t>
        </is>
      </c>
      <c r="K208" s="14" t="inlineStr">
        <is>
          <t>CPF2</t>
        </is>
      </c>
      <c r="L208" s="137" t="n">
        <v>3</v>
      </c>
      <c r="M208" s="144" t="inlineStr">
        <is>
          <t>SI</t>
        </is>
      </c>
      <c r="N208" s="139" t="n">
        <v>6</v>
      </c>
      <c r="O208" s="145" t="n">
        <v>2</v>
      </c>
      <c r="P208" s="141" t="n">
        <v>8</v>
      </c>
      <c r="Q208" s="136" t="inlineStr">
        <is>
          <t>POTENCIA BT MEDIANA (35-70mm²)</t>
        </is>
      </c>
      <c r="R208" s="136" t="inlineStr">
        <is>
          <t>OTROS/VERIFICAR</t>
        </is>
      </c>
    </row>
    <row r="209">
      <c r="A209" s="14" t="inlineStr">
        <is>
          <t>P-M-29185</t>
        </is>
      </c>
      <c r="B209" s="14" t="inlineStr">
        <is>
          <t>102-CCM-005</t>
        </is>
      </c>
      <c r="C209" s="14" t="inlineStr">
        <is>
          <t>M-29185</t>
        </is>
      </c>
      <c r="D209" s="14" t="inlineStr">
        <is>
          <t>380</t>
        </is>
      </c>
      <c r="E209" s="14" t="inlineStr">
        <is>
          <t>180</t>
        </is>
      </c>
      <c r="F209" s="14" t="inlineStr">
        <is>
          <t>1kV-XLPE-Arm-CU</t>
        </is>
      </c>
      <c r="G209" s="14" t="inlineStr">
        <is>
          <t>3x35</t>
        </is>
      </c>
      <c r="H209" s="14" t="inlineStr">
        <is>
          <t>Sales Gas Compressor Cooler Fan B  - Área 291</t>
        </is>
      </c>
      <c r="I209" s="14" t="inlineStr"/>
      <c r="J209" s="14" t="inlineStr">
        <is>
          <t>POTENCIA_BT</t>
        </is>
      </c>
      <c r="K209" s="14" t="inlineStr">
        <is>
          <t>CPF2</t>
        </is>
      </c>
      <c r="L209" s="137" t="n">
        <v>3</v>
      </c>
      <c r="M209" s="144" t="inlineStr">
        <is>
          <t>SI</t>
        </is>
      </c>
      <c r="N209" s="139" t="n">
        <v>6</v>
      </c>
      <c r="O209" s="145" t="n">
        <v>2</v>
      </c>
      <c r="P209" s="141" t="n">
        <v>8</v>
      </c>
      <c r="Q209" s="136" t="inlineStr">
        <is>
          <t>POTENCIA BT MEDIANA (35-70mm²)</t>
        </is>
      </c>
      <c r="R209" s="136" t="inlineStr">
        <is>
          <t>OTROS/VERIFICAR</t>
        </is>
      </c>
    </row>
    <row r="210">
      <c r="A210" s="14" t="inlineStr">
        <is>
          <t>P-M-29186</t>
        </is>
      </c>
      <c r="B210" s="14" t="inlineStr">
        <is>
          <t>102-CCM-005</t>
        </is>
      </c>
      <c r="C210" s="14" t="inlineStr">
        <is>
          <t>M-29186</t>
        </is>
      </c>
      <c r="D210" s="14" t="inlineStr">
        <is>
          <t>380</t>
        </is>
      </c>
      <c r="E210" s="14" t="inlineStr">
        <is>
          <t>180</t>
        </is>
      </c>
      <c r="F210" s="14" t="inlineStr">
        <is>
          <t>1kV-XLPE-Arm-CU</t>
        </is>
      </c>
      <c r="G210" s="14" t="inlineStr">
        <is>
          <t>3x35</t>
        </is>
      </c>
      <c r="H210" s="14" t="inlineStr">
        <is>
          <t>Engine Aux Water Cooler Fan  - Área 291</t>
        </is>
      </c>
      <c r="I210" s="14" t="inlineStr"/>
      <c r="J210" s="14" t="inlineStr">
        <is>
          <t>POTENCIA_BT</t>
        </is>
      </c>
      <c r="K210" s="14" t="inlineStr">
        <is>
          <t>CPF2</t>
        </is>
      </c>
      <c r="L210" s="137" t="n">
        <v>3</v>
      </c>
      <c r="M210" s="144" t="inlineStr">
        <is>
          <t>SI</t>
        </is>
      </c>
      <c r="N210" s="139" t="n">
        <v>6</v>
      </c>
      <c r="O210" s="145" t="n">
        <v>2</v>
      </c>
      <c r="P210" s="141" t="n">
        <v>8</v>
      </c>
      <c r="Q210" s="136" t="inlineStr">
        <is>
          <t>POTENCIA BT MEDIANA (35-70mm²)</t>
        </is>
      </c>
      <c r="R210" s="136" t="inlineStr">
        <is>
          <t>OTROS/VERIFICAR</t>
        </is>
      </c>
    </row>
    <row r="211">
      <c r="A211" s="14" t="inlineStr">
        <is>
          <t>P-M-29212A</t>
        </is>
      </c>
      <c r="B211" s="14" t="inlineStr">
        <is>
          <t>102-CCM-005</t>
        </is>
      </c>
      <c r="C211" s="14" t="inlineStr">
        <is>
          <t>M-29212A</t>
        </is>
      </c>
      <c r="D211" s="14" t="inlineStr">
        <is>
          <t>380</t>
        </is>
      </c>
      <c r="E211" s="14" t="inlineStr">
        <is>
          <t>160</t>
        </is>
      </c>
      <c r="F211" s="14" t="inlineStr">
        <is>
          <t>1kV-XLPE-Arm-B-CU</t>
        </is>
      </c>
      <c r="G211" s="14" t="inlineStr">
        <is>
          <t>3x10</t>
        </is>
      </c>
      <c r="H211" s="14" t="inlineStr">
        <is>
          <t>Engine Jacket Water Cooler Fan - Área 291</t>
        </is>
      </c>
      <c r="I211" s="14" t="inlineStr"/>
      <c r="J211" s="14" t="inlineStr">
        <is>
          <t>POTENCIA_BT</t>
        </is>
      </c>
      <c r="K211" s="14" t="inlineStr">
        <is>
          <t>CPF2</t>
        </is>
      </c>
      <c r="L211" s="137" t="n">
        <v>3</v>
      </c>
      <c r="M211" s="144" t="inlineStr">
        <is>
          <t>SI</t>
        </is>
      </c>
      <c r="N211" s="139" t="n">
        <v>6</v>
      </c>
      <c r="O211" s="145" t="n">
        <v>2</v>
      </c>
      <c r="P211" s="141" t="n">
        <v>8</v>
      </c>
      <c r="Q211" s="136" t="inlineStr">
        <is>
          <t>POTENCIA BT PEQUEÑA (10-25mm²)</t>
        </is>
      </c>
      <c r="R211" s="136" t="inlineStr">
        <is>
          <t>OTROS/VERIFICAR</t>
        </is>
      </c>
    </row>
    <row r="212">
      <c r="A212" s="14" t="inlineStr">
        <is>
          <t>P-M-29212B</t>
        </is>
      </c>
      <c r="B212" s="14" t="inlineStr">
        <is>
          <t>102-CCM-005</t>
        </is>
      </c>
      <c r="C212" s="14" t="inlineStr">
        <is>
          <t>M-29212B</t>
        </is>
      </c>
      <c r="D212" s="14" t="inlineStr">
        <is>
          <t>380</t>
        </is>
      </c>
      <c r="E212" s="14" t="inlineStr">
        <is>
          <t>160</t>
        </is>
      </c>
      <c r="F212" s="14" t="inlineStr">
        <is>
          <t>1kV-XLPE-Arm-B-CU</t>
        </is>
      </c>
      <c r="G212" s="14" t="inlineStr">
        <is>
          <t>3x10</t>
        </is>
      </c>
      <c r="H212" s="14" t="inlineStr">
        <is>
          <t>Off Gas 1St Stage intercooler - Área 292</t>
        </is>
      </c>
      <c r="I212" s="14" t="inlineStr"/>
      <c r="J212" s="14" t="inlineStr">
        <is>
          <t>POTENCIA_BT</t>
        </is>
      </c>
      <c r="K212" s="14" t="inlineStr">
        <is>
          <t>CPF2</t>
        </is>
      </c>
      <c r="L212" s="137" t="n">
        <v>3</v>
      </c>
      <c r="M212" s="144" t="inlineStr">
        <is>
          <t>SI</t>
        </is>
      </c>
      <c r="N212" s="139" t="n">
        <v>6</v>
      </c>
      <c r="O212" s="145" t="n">
        <v>2</v>
      </c>
      <c r="P212" s="141" t="n">
        <v>8</v>
      </c>
      <c r="Q212" s="136" t="inlineStr">
        <is>
          <t>POTENCIA BT PEQUEÑA (10-25mm²)</t>
        </is>
      </c>
      <c r="R212" s="136" t="inlineStr">
        <is>
          <t>OTROS/VERIFICAR</t>
        </is>
      </c>
    </row>
    <row r="213">
      <c r="A213" s="14" t="inlineStr">
        <is>
          <t>P-M-29232A</t>
        </is>
      </c>
      <c r="B213" s="14" t="inlineStr">
        <is>
          <t>102-CCM-005</t>
        </is>
      </c>
      <c r="C213" s="14" t="inlineStr">
        <is>
          <t>M-29232A</t>
        </is>
      </c>
      <c r="D213" s="14" t="inlineStr">
        <is>
          <t>380</t>
        </is>
      </c>
      <c r="E213" s="14" t="inlineStr">
        <is>
          <t>160</t>
        </is>
      </c>
      <c r="F213" s="14" t="inlineStr">
        <is>
          <t>1kV-XLPE-Arm-B-CU</t>
        </is>
      </c>
      <c r="G213" s="14" t="inlineStr">
        <is>
          <t>3x35</t>
        </is>
      </c>
      <c r="H213" s="14" t="inlineStr">
        <is>
          <t>Off Gas 2St Stage intercooler - Área 292</t>
        </is>
      </c>
      <c r="I213" s="14" t="inlineStr"/>
      <c r="J213" s="14" t="inlineStr">
        <is>
          <t>POTENCIA_BT</t>
        </is>
      </c>
      <c r="K213" s="14" t="inlineStr">
        <is>
          <t>CPF2</t>
        </is>
      </c>
      <c r="L213" s="137" t="n">
        <v>3</v>
      </c>
      <c r="M213" s="144" t="inlineStr">
        <is>
          <t>SI</t>
        </is>
      </c>
      <c r="N213" s="139" t="n">
        <v>6</v>
      </c>
      <c r="O213" s="145" t="n">
        <v>2</v>
      </c>
      <c r="P213" s="141" t="n">
        <v>8</v>
      </c>
      <c r="Q213" s="136" t="inlineStr">
        <is>
          <t>POTENCIA BT MEDIANA (35-70mm²)</t>
        </is>
      </c>
      <c r="R213" s="136" t="inlineStr">
        <is>
          <t>OTROS/VERIFICAR</t>
        </is>
      </c>
    </row>
    <row r="214">
      <c r="A214" s="14" t="inlineStr">
        <is>
          <t>P-M-29232B</t>
        </is>
      </c>
      <c r="B214" s="14" t="inlineStr">
        <is>
          <t>102-CCM-005</t>
        </is>
      </c>
      <c r="C214" s="14" t="inlineStr">
        <is>
          <t>M-29232B</t>
        </is>
      </c>
      <c r="D214" s="14" t="inlineStr">
        <is>
          <t>380</t>
        </is>
      </c>
      <c r="E214" s="14" t="inlineStr">
        <is>
          <t>160</t>
        </is>
      </c>
      <c r="F214" s="14" t="inlineStr">
        <is>
          <t>1kV-XLPE-Arm-B-CU</t>
        </is>
      </c>
      <c r="G214" s="14" t="inlineStr">
        <is>
          <t>3x35</t>
        </is>
      </c>
      <c r="H214" s="14" t="inlineStr">
        <is>
          <t>Sales Gas Compressor Cooler Fan A - Área 292</t>
        </is>
      </c>
      <c r="I214" s="14" t="inlineStr"/>
      <c r="J214" s="14" t="inlineStr">
        <is>
          <t>POTENCIA_BT</t>
        </is>
      </c>
      <c r="K214" s="14" t="inlineStr">
        <is>
          <t>CPF2</t>
        </is>
      </c>
      <c r="L214" s="137" t="n">
        <v>3</v>
      </c>
      <c r="M214" s="144" t="inlineStr">
        <is>
          <t>SI</t>
        </is>
      </c>
      <c r="N214" s="139" t="n">
        <v>6</v>
      </c>
      <c r="O214" s="145" t="n">
        <v>2</v>
      </c>
      <c r="P214" s="141" t="n">
        <v>8</v>
      </c>
      <c r="Q214" s="136" t="inlineStr">
        <is>
          <t>POTENCIA BT MEDIANA (35-70mm²)</t>
        </is>
      </c>
      <c r="R214" s="136" t="inlineStr">
        <is>
          <t>OTROS/VERIFICAR</t>
        </is>
      </c>
    </row>
    <row r="215">
      <c r="A215" s="14" t="inlineStr">
        <is>
          <t>P-M-29285</t>
        </is>
      </c>
      <c r="B215" s="14" t="inlineStr">
        <is>
          <t>102-CCM-005</t>
        </is>
      </c>
      <c r="C215" s="14" t="inlineStr">
        <is>
          <t>M-29285</t>
        </is>
      </c>
      <c r="D215" s="14" t="inlineStr">
        <is>
          <t>380</t>
        </is>
      </c>
      <c r="E215" s="14" t="inlineStr">
        <is>
          <t>160</t>
        </is>
      </c>
      <c r="F215" s="14" t="inlineStr">
        <is>
          <t>1kV-XLPE-Arm-CU</t>
        </is>
      </c>
      <c r="G215" s="14" t="inlineStr">
        <is>
          <t>3x35</t>
        </is>
      </c>
      <c r="H215" s="14" t="inlineStr">
        <is>
          <t>Sales Gas Compressor Cooler Fan B  - Área 292</t>
        </is>
      </c>
      <c r="I215" s="14" t="inlineStr"/>
      <c r="J215" s="14" t="inlineStr">
        <is>
          <t>POTENCIA_BT</t>
        </is>
      </c>
      <c r="K215" s="14" t="inlineStr">
        <is>
          <t>CPF2</t>
        </is>
      </c>
      <c r="L215" s="137" t="n">
        <v>3</v>
      </c>
      <c r="M215" s="144" t="inlineStr">
        <is>
          <t>SI</t>
        </is>
      </c>
      <c r="N215" s="139" t="n">
        <v>6</v>
      </c>
      <c r="O215" s="145" t="n">
        <v>2</v>
      </c>
      <c r="P215" s="141" t="n">
        <v>8</v>
      </c>
      <c r="Q215" s="136" t="inlineStr">
        <is>
          <t>POTENCIA BT MEDIANA (35-70mm²)</t>
        </is>
      </c>
      <c r="R215" s="136" t="inlineStr">
        <is>
          <t>OTROS/VERIFICAR</t>
        </is>
      </c>
    </row>
    <row r="216">
      <c r="A216" s="14" t="inlineStr">
        <is>
          <t>P-M-29286</t>
        </is>
      </c>
      <c r="B216" s="14" t="inlineStr">
        <is>
          <t>102-CCM-005</t>
        </is>
      </c>
      <c r="C216" s="14" t="inlineStr">
        <is>
          <t>M-29286</t>
        </is>
      </c>
      <c r="D216" s="14" t="inlineStr">
        <is>
          <t>380</t>
        </is>
      </c>
      <c r="E216" s="14" t="inlineStr">
        <is>
          <t>160</t>
        </is>
      </c>
      <c r="F216" s="14" t="inlineStr">
        <is>
          <t>1kV-XLPE-Arm-CU</t>
        </is>
      </c>
      <c r="G216" s="14" t="inlineStr">
        <is>
          <t>3x35</t>
        </is>
      </c>
      <c r="H216" s="14" t="inlineStr">
        <is>
          <t>Engine Aux Water Cooler Fan  - Área 292</t>
        </is>
      </c>
      <c r="I216" s="14" t="inlineStr"/>
      <c r="J216" s="14" t="inlineStr">
        <is>
          <t>POTENCIA_BT</t>
        </is>
      </c>
      <c r="K216" s="14" t="inlineStr">
        <is>
          <t>CPF2</t>
        </is>
      </c>
      <c r="L216" s="137" t="n">
        <v>3</v>
      </c>
      <c r="M216" s="144" t="inlineStr">
        <is>
          <t>SI</t>
        </is>
      </c>
      <c r="N216" s="139" t="n">
        <v>6</v>
      </c>
      <c r="O216" s="145" t="n">
        <v>2</v>
      </c>
      <c r="P216" s="141" t="n">
        <v>8</v>
      </c>
      <c r="Q216" s="136" t="inlineStr">
        <is>
          <t>POTENCIA BT MEDIANA (35-70mm²)</t>
        </is>
      </c>
      <c r="R216" s="136" t="inlineStr">
        <is>
          <t>OTROS/VERIFICAR</t>
        </is>
      </c>
    </row>
    <row r="217">
      <c r="A217" s="14" t="inlineStr">
        <is>
          <t>P-M-29312A</t>
        </is>
      </c>
      <c r="B217" s="14" t="inlineStr">
        <is>
          <t>102-CCM-005</t>
        </is>
      </c>
      <c r="C217" s="14" t="inlineStr">
        <is>
          <t>M-29312A</t>
        </is>
      </c>
      <c r="D217" s="14" t="inlineStr">
        <is>
          <t>380</t>
        </is>
      </c>
      <c r="E217" s="14" t="inlineStr">
        <is>
          <t>140</t>
        </is>
      </c>
      <c r="F217" s="14" t="inlineStr">
        <is>
          <t>1kV-XLPE-Arm-B-CU</t>
        </is>
      </c>
      <c r="G217" s="14" t="inlineStr">
        <is>
          <t>3x10</t>
        </is>
      </c>
      <c r="H217" s="14" t="inlineStr">
        <is>
          <t>Engine Jacket Water Cooler Fan - Área 292</t>
        </is>
      </c>
      <c r="I217" s="14" t="inlineStr"/>
      <c r="J217" s="14" t="inlineStr">
        <is>
          <t>POTENCIA_BT</t>
        </is>
      </c>
      <c r="K217" s="14" t="inlineStr">
        <is>
          <t>CPF2</t>
        </is>
      </c>
      <c r="L217" s="137" t="n">
        <v>3</v>
      </c>
      <c r="M217" s="144" t="inlineStr">
        <is>
          <t>SI</t>
        </is>
      </c>
      <c r="N217" s="139" t="n">
        <v>6</v>
      </c>
      <c r="O217" s="145" t="n">
        <v>2</v>
      </c>
      <c r="P217" s="141" t="n">
        <v>8</v>
      </c>
      <c r="Q217" s="136" t="inlineStr">
        <is>
          <t>POTENCIA BT PEQUEÑA (10-25mm²)</t>
        </is>
      </c>
      <c r="R217" s="136" t="inlineStr">
        <is>
          <t>OTROS/VERIFICAR</t>
        </is>
      </c>
    </row>
    <row r="218">
      <c r="A218" s="14" t="inlineStr">
        <is>
          <t>P-M-29312B</t>
        </is>
      </c>
      <c r="B218" s="14" t="inlineStr">
        <is>
          <t>102-CCM-005</t>
        </is>
      </c>
      <c r="C218" s="14" t="inlineStr">
        <is>
          <t>M-29312B</t>
        </is>
      </c>
      <c r="D218" s="14" t="inlineStr">
        <is>
          <t>380</t>
        </is>
      </c>
      <c r="E218" s="14" t="inlineStr">
        <is>
          <t>140</t>
        </is>
      </c>
      <c r="F218" s="14" t="inlineStr">
        <is>
          <t>1kV-XLPE-Arm-B-CU</t>
        </is>
      </c>
      <c r="G218" s="14" t="inlineStr">
        <is>
          <t>3x10</t>
        </is>
      </c>
      <c r="H218" s="14" t="inlineStr">
        <is>
          <t>Off Gas 1St Stage intercooler - Área 293</t>
        </is>
      </c>
      <c r="I218" s="14" t="inlineStr"/>
      <c r="J218" s="14" t="inlineStr">
        <is>
          <t>POTENCIA_BT</t>
        </is>
      </c>
      <c r="K218" s="14" t="inlineStr">
        <is>
          <t>CPF2</t>
        </is>
      </c>
      <c r="L218" s="137" t="n">
        <v>3</v>
      </c>
      <c r="M218" s="144" t="inlineStr">
        <is>
          <t>SI</t>
        </is>
      </c>
      <c r="N218" s="139" t="n">
        <v>6</v>
      </c>
      <c r="O218" s="145" t="n">
        <v>2</v>
      </c>
      <c r="P218" s="141" t="n">
        <v>8</v>
      </c>
      <c r="Q218" s="136" t="inlineStr">
        <is>
          <t>POTENCIA BT PEQUEÑA (10-25mm²)</t>
        </is>
      </c>
      <c r="R218" s="136" t="inlineStr">
        <is>
          <t>OTROS/VERIFICAR</t>
        </is>
      </c>
    </row>
    <row r="219">
      <c r="A219" s="14" t="inlineStr">
        <is>
          <t>P-M-29332A</t>
        </is>
      </c>
      <c r="B219" s="14" t="inlineStr">
        <is>
          <t>102-CCM-005</t>
        </is>
      </c>
      <c r="C219" s="14" t="inlineStr">
        <is>
          <t>M-29332A</t>
        </is>
      </c>
      <c r="D219" s="14" t="inlineStr">
        <is>
          <t>380</t>
        </is>
      </c>
      <c r="E219" s="14" t="inlineStr">
        <is>
          <t>140</t>
        </is>
      </c>
      <c r="F219" s="14" t="inlineStr">
        <is>
          <t>1kV-XLPE-Arm-B-CU</t>
        </is>
      </c>
      <c r="G219" s="14" t="inlineStr">
        <is>
          <t>3x35</t>
        </is>
      </c>
      <c r="H219" s="14" t="inlineStr">
        <is>
          <t>Off Gas 2St Stage intercooler - Área 293</t>
        </is>
      </c>
      <c r="I219" s="14" t="inlineStr"/>
      <c r="J219" s="14" t="inlineStr">
        <is>
          <t>POTENCIA_BT</t>
        </is>
      </c>
      <c r="K219" s="14" t="inlineStr">
        <is>
          <t>CPF2</t>
        </is>
      </c>
      <c r="L219" s="137" t="n">
        <v>3</v>
      </c>
      <c r="M219" s="144" t="inlineStr">
        <is>
          <t>SI</t>
        </is>
      </c>
      <c r="N219" s="139" t="n">
        <v>6</v>
      </c>
      <c r="O219" s="145" t="n">
        <v>2</v>
      </c>
      <c r="P219" s="141" t="n">
        <v>8</v>
      </c>
      <c r="Q219" s="136" t="inlineStr">
        <is>
          <t>POTENCIA BT MEDIANA (35-70mm²)</t>
        </is>
      </c>
      <c r="R219" s="136" t="inlineStr">
        <is>
          <t>OTROS/VERIFICAR</t>
        </is>
      </c>
    </row>
    <row r="220">
      <c r="A220" s="14" t="inlineStr">
        <is>
          <t>P-M-29332B</t>
        </is>
      </c>
      <c r="B220" s="14" t="inlineStr">
        <is>
          <t>102-CCM-005</t>
        </is>
      </c>
      <c r="C220" s="14" t="inlineStr">
        <is>
          <t>M-29332B</t>
        </is>
      </c>
      <c r="D220" s="14" t="inlineStr">
        <is>
          <t>380</t>
        </is>
      </c>
      <c r="E220" s="14" t="inlineStr">
        <is>
          <t>140</t>
        </is>
      </c>
      <c r="F220" s="14" t="inlineStr">
        <is>
          <t>1kV-XLPE-Arm-B-CU</t>
        </is>
      </c>
      <c r="G220" s="14" t="inlineStr">
        <is>
          <t>3x35</t>
        </is>
      </c>
      <c r="H220" s="14" t="inlineStr">
        <is>
          <t>Sales Gas Compressor Cooler Fan A - Área 293</t>
        </is>
      </c>
      <c r="I220" s="14" t="inlineStr"/>
      <c r="J220" s="14" t="inlineStr">
        <is>
          <t>POTENCIA_BT</t>
        </is>
      </c>
      <c r="K220" s="14" t="inlineStr">
        <is>
          <t>CPF2</t>
        </is>
      </c>
      <c r="L220" s="137" t="n">
        <v>3</v>
      </c>
      <c r="M220" s="144" t="inlineStr">
        <is>
          <t>SI</t>
        </is>
      </c>
      <c r="N220" s="139" t="n">
        <v>6</v>
      </c>
      <c r="O220" s="145" t="n">
        <v>2</v>
      </c>
      <c r="P220" s="141" t="n">
        <v>8</v>
      </c>
      <c r="Q220" s="136" t="inlineStr">
        <is>
          <t>POTENCIA BT MEDIANA (35-70mm²)</t>
        </is>
      </c>
      <c r="R220" s="136" t="inlineStr">
        <is>
          <t>OTROS/VERIFICAR</t>
        </is>
      </c>
    </row>
    <row r="221">
      <c r="A221" s="14" t="inlineStr">
        <is>
          <t>P-M-29385</t>
        </is>
      </c>
      <c r="B221" s="14" t="inlineStr">
        <is>
          <t>102-CCM-005</t>
        </is>
      </c>
      <c r="C221" s="14" t="inlineStr">
        <is>
          <t>M-29385</t>
        </is>
      </c>
      <c r="D221" s="14" t="inlineStr">
        <is>
          <t>380</t>
        </is>
      </c>
      <c r="E221" s="14" t="inlineStr">
        <is>
          <t>140</t>
        </is>
      </c>
      <c r="F221" s="14" t="inlineStr">
        <is>
          <t>1kV-XLPE-Arm-CU</t>
        </is>
      </c>
      <c r="G221" s="14" t="inlineStr">
        <is>
          <t>3x35</t>
        </is>
      </c>
      <c r="H221" s="14" t="inlineStr">
        <is>
          <t>Sales Gas Compressor Cooler Fan B  - Área 293</t>
        </is>
      </c>
      <c r="I221" s="14" t="inlineStr"/>
      <c r="J221" s="14" t="inlineStr">
        <is>
          <t>POTENCIA_BT</t>
        </is>
      </c>
      <c r="K221" s="14" t="inlineStr">
        <is>
          <t>CPF2</t>
        </is>
      </c>
      <c r="L221" s="137" t="n">
        <v>3</v>
      </c>
      <c r="M221" s="144" t="inlineStr">
        <is>
          <t>SI</t>
        </is>
      </c>
      <c r="N221" s="139" t="n">
        <v>6</v>
      </c>
      <c r="O221" s="145" t="n">
        <v>2</v>
      </c>
      <c r="P221" s="141" t="n">
        <v>8</v>
      </c>
      <c r="Q221" s="136" t="inlineStr">
        <is>
          <t>POTENCIA BT MEDIANA (35-70mm²)</t>
        </is>
      </c>
      <c r="R221" s="136" t="inlineStr">
        <is>
          <t>OTROS/VERIFICAR</t>
        </is>
      </c>
    </row>
    <row r="222">
      <c r="A222" s="14" t="inlineStr">
        <is>
          <t>P-M-29386</t>
        </is>
      </c>
      <c r="B222" s="14" t="inlineStr">
        <is>
          <t>102-CCM-005</t>
        </is>
      </c>
      <c r="C222" s="14" t="inlineStr">
        <is>
          <t>M-29386</t>
        </is>
      </c>
      <c r="D222" s="14" t="inlineStr">
        <is>
          <t>380</t>
        </is>
      </c>
      <c r="E222" s="14" t="inlineStr">
        <is>
          <t>140</t>
        </is>
      </c>
      <c r="F222" s="14" t="inlineStr">
        <is>
          <t>1kV-XLPE-Arm-CU</t>
        </is>
      </c>
      <c r="G222" s="14" t="inlineStr">
        <is>
          <t>3x35</t>
        </is>
      </c>
      <c r="H222" s="14" t="inlineStr">
        <is>
          <t>Engine Aux Water Cooler Fan  - Área 293</t>
        </is>
      </c>
      <c r="I222" s="14" t="inlineStr"/>
      <c r="J222" s="14" t="inlineStr">
        <is>
          <t>POTENCIA_BT</t>
        </is>
      </c>
      <c r="K222" s="14" t="inlineStr">
        <is>
          <t>CPF2</t>
        </is>
      </c>
      <c r="L222" s="137" t="n">
        <v>3</v>
      </c>
      <c r="M222" s="144" t="inlineStr">
        <is>
          <t>SI</t>
        </is>
      </c>
      <c r="N222" s="139" t="n">
        <v>6</v>
      </c>
      <c r="O222" s="145" t="n">
        <v>2</v>
      </c>
      <c r="P222" s="141" t="n">
        <v>8</v>
      </c>
      <c r="Q222" s="136" t="inlineStr">
        <is>
          <t>POTENCIA BT MEDIANA (35-70mm²)</t>
        </is>
      </c>
      <c r="R222" s="136" t="inlineStr">
        <is>
          <t>OTROS/VERIFICAR</t>
        </is>
      </c>
    </row>
    <row r="223">
      <c r="A223" s="14" t="inlineStr">
        <is>
          <t>P-M-94204-A1</t>
        </is>
      </c>
      <c r="B223" s="14" t="inlineStr">
        <is>
          <t>102-CCM-005</t>
        </is>
      </c>
      <c r="C223" s="14" t="inlineStr">
        <is>
          <t>M-94204-A</t>
        </is>
      </c>
      <c r="D223" s="14" t="inlineStr">
        <is>
          <t>380</t>
        </is>
      </c>
      <c r="E223" s="14" t="inlineStr">
        <is>
          <t>450</t>
        </is>
      </c>
      <c r="F223" s="14" t="inlineStr">
        <is>
          <t>1kV-XLPE-Arm-CU</t>
        </is>
      </c>
      <c r="G223" s="14" t="inlineStr">
        <is>
          <t>3x240</t>
        </is>
      </c>
      <c r="H223" s="14" t="inlineStr">
        <is>
          <t>Engine Jacket Water Cooler Fan - Área 293</t>
        </is>
      </c>
      <c r="I223" s="14" t="inlineStr"/>
      <c r="J223" s="14" t="inlineStr">
        <is>
          <t>POTENCIA_BT</t>
        </is>
      </c>
      <c r="K223" s="14" t="inlineStr">
        <is>
          <t>CPF2</t>
        </is>
      </c>
      <c r="L223" s="137" t="n">
        <v>3</v>
      </c>
      <c r="M223" s="144" t="inlineStr">
        <is>
          <t>SI</t>
        </is>
      </c>
      <c r="N223" s="139" t="n">
        <v>6</v>
      </c>
      <c r="O223" s="145" t="n">
        <v>2</v>
      </c>
      <c r="P223" s="141" t="n">
        <v>8</v>
      </c>
      <c r="Q223" s="136" t="inlineStr">
        <is>
          <t>POTENCIA BT GRANDE (≥95mm²)</t>
        </is>
      </c>
      <c r="R223" s="136" t="inlineStr">
        <is>
          <t>OTROS/VERIFICAR</t>
        </is>
      </c>
    </row>
    <row r="224">
      <c r="A224" s="14" t="inlineStr">
        <is>
          <t>P-M-94204-A2</t>
        </is>
      </c>
      <c r="B224" s="14" t="inlineStr">
        <is>
          <t>102-CCM-005</t>
        </is>
      </c>
      <c r="C224" s="14" t="inlineStr">
        <is>
          <t>M-94204-A</t>
        </is>
      </c>
      <c r="D224" s="14" t="inlineStr">
        <is>
          <t>380</t>
        </is>
      </c>
      <c r="E224" s="14" t="inlineStr">
        <is>
          <t>450</t>
        </is>
      </c>
      <c r="F224" s="14" t="inlineStr">
        <is>
          <t>1kV-XLPE-Arm-CU</t>
        </is>
      </c>
      <c r="G224" s="14" t="inlineStr">
        <is>
          <t>3x240</t>
        </is>
      </c>
      <c r="H224" s="14" t="inlineStr">
        <is>
          <t>PROCESS HEAT MEDIUM PUMP A - Área 942</t>
        </is>
      </c>
      <c r="I224" s="14" t="inlineStr"/>
      <c r="J224" s="14" t="inlineStr">
        <is>
          <t>POTENCIA_BT</t>
        </is>
      </c>
      <c r="K224" s="14" t="inlineStr">
        <is>
          <t>CPF2</t>
        </is>
      </c>
      <c r="L224" s="137" t="n">
        <v>3</v>
      </c>
      <c r="M224" s="144" t="inlineStr">
        <is>
          <t>SI</t>
        </is>
      </c>
      <c r="N224" s="139" t="n">
        <v>6</v>
      </c>
      <c r="O224" s="145" t="n">
        <v>2</v>
      </c>
      <c r="P224" s="141" t="n">
        <v>8</v>
      </c>
      <c r="Q224" s="136" t="inlineStr">
        <is>
          <t>POTENCIA BT GRANDE (≥95mm²)</t>
        </is>
      </c>
      <c r="R224" s="136" t="inlineStr">
        <is>
          <t>OTROS/VERIFICAR</t>
        </is>
      </c>
    </row>
    <row r="225">
      <c r="A225" s="14" t="inlineStr">
        <is>
          <t>P-M-94204-B1</t>
        </is>
      </c>
      <c r="B225" s="14" t="inlineStr">
        <is>
          <t>102-CCM-005</t>
        </is>
      </c>
      <c r="C225" s="14" t="inlineStr">
        <is>
          <t>M-94204-B</t>
        </is>
      </c>
      <c r="D225" s="14" t="inlineStr">
        <is>
          <t>380</t>
        </is>
      </c>
      <c r="E225" s="14" t="inlineStr">
        <is>
          <t>450</t>
        </is>
      </c>
      <c r="F225" s="14" t="inlineStr">
        <is>
          <t>1kV-XLPE-Arm-CU</t>
        </is>
      </c>
      <c r="G225" s="14" t="inlineStr">
        <is>
          <t>3x240</t>
        </is>
      </c>
      <c r="H225" s="14" t="inlineStr">
        <is>
          <t>PROCESS HEAT MEDIUM PUMP A - Área 942</t>
        </is>
      </c>
      <c r="I225" s="14" t="inlineStr"/>
      <c r="J225" s="14" t="inlineStr">
        <is>
          <t>POTENCIA_BT</t>
        </is>
      </c>
      <c r="K225" s="14" t="inlineStr">
        <is>
          <t>CPF2</t>
        </is>
      </c>
      <c r="L225" s="137" t="n">
        <v>3</v>
      </c>
      <c r="M225" s="144" t="inlineStr">
        <is>
          <t>SI</t>
        </is>
      </c>
      <c r="N225" s="139" t="n">
        <v>6</v>
      </c>
      <c r="O225" s="145" t="n">
        <v>2</v>
      </c>
      <c r="P225" s="141" t="n">
        <v>8</v>
      </c>
      <c r="Q225" s="136" t="inlineStr">
        <is>
          <t>POTENCIA BT GRANDE (≥95mm²)</t>
        </is>
      </c>
      <c r="R225" s="136" t="inlineStr">
        <is>
          <t>OTROS/VERIFICAR</t>
        </is>
      </c>
    </row>
    <row r="226">
      <c r="A226" s="14" t="inlineStr">
        <is>
          <t>P-M-94204-B2</t>
        </is>
      </c>
      <c r="B226" s="14" t="inlineStr">
        <is>
          <t>102-CCM-005</t>
        </is>
      </c>
      <c r="C226" s="14" t="inlineStr">
        <is>
          <t>M-94204-B</t>
        </is>
      </c>
      <c r="D226" s="14" t="inlineStr">
        <is>
          <t>380</t>
        </is>
      </c>
      <c r="E226" s="14" t="inlineStr">
        <is>
          <t>450</t>
        </is>
      </c>
      <c r="F226" s="14" t="inlineStr">
        <is>
          <t>1kV-XLPE-Arm-CU</t>
        </is>
      </c>
      <c r="G226" s="14" t="inlineStr">
        <is>
          <t>3x240</t>
        </is>
      </c>
      <c r="H226" s="14" t="inlineStr">
        <is>
          <t>PROCESS HEAT MEDIUM PUMP B - Área 942</t>
        </is>
      </c>
      <c r="I226" s="14" t="inlineStr"/>
      <c r="J226" s="14" t="inlineStr">
        <is>
          <t>POTENCIA_BT</t>
        </is>
      </c>
      <c r="K226" s="14" t="inlineStr">
        <is>
          <t>CPF2</t>
        </is>
      </c>
      <c r="L226" s="137" t="n">
        <v>3</v>
      </c>
      <c r="M226" s="144" t="inlineStr">
        <is>
          <t>SI</t>
        </is>
      </c>
      <c r="N226" s="139" t="n">
        <v>6</v>
      </c>
      <c r="O226" s="145" t="n">
        <v>2</v>
      </c>
      <c r="P226" s="141" t="n">
        <v>8</v>
      </c>
      <c r="Q226" s="136" t="inlineStr">
        <is>
          <t>POTENCIA BT GRANDE (≥95mm²)</t>
        </is>
      </c>
      <c r="R226" s="136" t="inlineStr">
        <is>
          <t>OTROS/VERIFICAR</t>
        </is>
      </c>
    </row>
    <row r="227">
      <c r="A227" s="14" t="inlineStr">
        <is>
          <t>P-M-94213A</t>
        </is>
      </c>
      <c r="B227" s="14" t="inlineStr">
        <is>
          <t>102-CCM-005</t>
        </is>
      </c>
      <c r="C227" s="14" t="inlineStr">
        <is>
          <t>M-94213A</t>
        </is>
      </c>
      <c r="D227" s="14" t="inlineStr">
        <is>
          <t>380</t>
        </is>
      </c>
      <c r="E227" s="14" t="inlineStr">
        <is>
          <t>450</t>
        </is>
      </c>
      <c r="F227" s="14" t="inlineStr">
        <is>
          <t>1kV-XLPE-Arm-CU</t>
        </is>
      </c>
      <c r="G227" s="14" t="inlineStr">
        <is>
          <t>3x240</t>
        </is>
      </c>
      <c r="H227" s="14" t="inlineStr">
        <is>
          <t>PROCESS HEAT MEDIUM PUMP B - Área 942</t>
        </is>
      </c>
      <c r="I227" s="14" t="inlineStr"/>
      <c r="J227" s="14" t="inlineStr">
        <is>
          <t>POTENCIA_BT</t>
        </is>
      </c>
      <c r="K227" s="14" t="inlineStr">
        <is>
          <t>CPF2</t>
        </is>
      </c>
      <c r="L227" s="137" t="n">
        <v>3</v>
      </c>
      <c r="M227" s="144" t="inlineStr">
        <is>
          <t>SI</t>
        </is>
      </c>
      <c r="N227" s="139" t="n">
        <v>6</v>
      </c>
      <c r="O227" s="145" t="n">
        <v>2</v>
      </c>
      <c r="P227" s="141" t="n">
        <v>8</v>
      </c>
      <c r="Q227" s="136" t="inlineStr">
        <is>
          <t>POTENCIA BT GRANDE (≥95mm²)</t>
        </is>
      </c>
      <c r="R227" s="136" t="inlineStr">
        <is>
          <t>OTROS/VERIFICAR</t>
        </is>
      </c>
    </row>
    <row r="228">
      <c r="A228" s="14" t="inlineStr">
        <is>
          <t>P-M-EAL-94270A</t>
        </is>
      </c>
      <c r="B228" s="14" t="inlineStr">
        <is>
          <t>102-CCM-005</t>
        </is>
      </c>
      <c r="C228" s="14" t="inlineStr">
        <is>
          <t>M-EAL-94270A</t>
        </is>
      </c>
      <c r="D228" s="14" t="inlineStr">
        <is>
          <t>380</t>
        </is>
      </c>
      <c r="E228" s="14" t="inlineStr">
        <is>
          <t>450</t>
        </is>
      </c>
      <c r="F228" s="14" t="inlineStr">
        <is>
          <t>1kV-XLPE-Arm-CU</t>
        </is>
      </c>
      <c r="G228" s="14" t="inlineStr">
        <is>
          <t>3x16</t>
        </is>
      </c>
      <c r="H228" s="14" t="inlineStr">
        <is>
          <t>Heat Medium Combustion Air Blower - Área 942</t>
        </is>
      </c>
      <c r="I228" s="14" t="inlineStr"/>
      <c r="J228" s="14" t="inlineStr">
        <is>
          <t>POTENCIA_BT</t>
        </is>
      </c>
      <c r="K228" s="14" t="inlineStr">
        <is>
          <t>CPF2</t>
        </is>
      </c>
      <c r="L228" s="137" t="n">
        <v>3</v>
      </c>
      <c r="M228" s="144" t="inlineStr">
        <is>
          <t>SI</t>
        </is>
      </c>
      <c r="N228" s="139" t="n">
        <v>6</v>
      </c>
      <c r="O228" s="145" t="n">
        <v>2</v>
      </c>
      <c r="P228" s="141" t="n">
        <v>8</v>
      </c>
      <c r="Q228" s="136" t="inlineStr">
        <is>
          <t>POTENCIA BT PEQUEÑA (10-25mm²)</t>
        </is>
      </c>
      <c r="R228" s="136" t="inlineStr">
        <is>
          <t>OTROS/VERIFICAR</t>
        </is>
      </c>
    </row>
    <row r="229">
      <c r="A229" s="14" t="inlineStr">
        <is>
          <t>P-M-EAL-94270B</t>
        </is>
      </c>
      <c r="B229" s="14" t="inlineStr">
        <is>
          <t>102-CCM-005</t>
        </is>
      </c>
      <c r="C229" s="14" t="inlineStr">
        <is>
          <t>M-EAL-94270B</t>
        </is>
      </c>
      <c r="D229" s="14" t="inlineStr">
        <is>
          <t>380</t>
        </is>
      </c>
      <c r="E229" s="14" t="inlineStr">
        <is>
          <t>450</t>
        </is>
      </c>
      <c r="F229" s="14" t="inlineStr">
        <is>
          <t>1kV-XLPE-Arm-CU</t>
        </is>
      </c>
      <c r="G229" s="14" t="inlineStr">
        <is>
          <t>3x16</t>
        </is>
      </c>
      <c r="H229" s="14" t="inlineStr">
        <is>
          <t>Aeroenfriador de Hot Oil- Área 942</t>
        </is>
      </c>
      <c r="I229" s="14" t="inlineStr"/>
      <c r="J229" s="14" t="inlineStr">
        <is>
          <t>POTENCIA_BT</t>
        </is>
      </c>
      <c r="K229" s="14" t="inlineStr">
        <is>
          <t>CPF2</t>
        </is>
      </c>
      <c r="L229" s="137" t="n">
        <v>3</v>
      </c>
      <c r="M229" s="144" t="inlineStr">
        <is>
          <t>SI</t>
        </is>
      </c>
      <c r="N229" s="139" t="n">
        <v>6</v>
      </c>
      <c r="O229" s="145" t="n">
        <v>2</v>
      </c>
      <c r="P229" s="141" t="n">
        <v>8</v>
      </c>
      <c r="Q229" s="136" t="inlineStr">
        <is>
          <t>POTENCIA BT PEQUEÑA (10-25mm²)</t>
        </is>
      </c>
      <c r="R229" s="136" t="inlineStr">
        <is>
          <t>OTROS/VERIFICAR</t>
        </is>
      </c>
    </row>
    <row r="230">
      <c r="A230" s="14" t="inlineStr">
        <is>
          <t>P-M-PAZ-24430 A</t>
        </is>
      </c>
      <c r="B230" s="14" t="inlineStr">
        <is>
          <t>102-CCM-006</t>
        </is>
      </c>
      <c r="C230" s="14" t="inlineStr">
        <is>
          <t>M-PAZ-24430 A</t>
        </is>
      </c>
      <c r="D230" s="14" t="inlineStr">
        <is>
          <t>380</t>
        </is>
      </c>
      <c r="E230" s="14" t="inlineStr">
        <is>
          <t>280</t>
        </is>
      </c>
      <c r="F230" s="14" t="inlineStr">
        <is>
          <t>1kV-XLPE-Arm-CU</t>
        </is>
      </c>
      <c r="G230" s="14" t="inlineStr">
        <is>
          <t>3x16</t>
        </is>
      </c>
      <c r="H230" s="14" t="inlineStr">
        <is>
          <t>Aeroenfriador de Hot Oil- Área 942</t>
        </is>
      </c>
      <c r="I230" s="14" t="inlineStr">
        <is>
          <t>BOMBA DE TANQUE DE EFLUENTES</t>
        </is>
      </c>
      <c r="J230" s="14" t="inlineStr">
        <is>
          <t>POTENCIA_BT</t>
        </is>
      </c>
      <c r="K230" s="14" t="inlineStr">
        <is>
          <t>CPF2</t>
        </is>
      </c>
      <c r="L230" s="137" t="n">
        <v>3</v>
      </c>
      <c r="M230" s="144" t="inlineStr">
        <is>
          <t>SI</t>
        </is>
      </c>
      <c r="N230" s="139" t="n">
        <v>6</v>
      </c>
      <c r="O230" s="145" t="n">
        <v>2</v>
      </c>
      <c r="P230" s="141" t="n">
        <v>8</v>
      </c>
      <c r="Q230" s="136" t="inlineStr">
        <is>
          <t>POTENCIA BT PEQUEÑA (10-25mm²)</t>
        </is>
      </c>
      <c r="R230" s="136" t="inlineStr">
        <is>
          <t>MOTOR/ACCIONAMIENTO</t>
        </is>
      </c>
    </row>
    <row r="231">
      <c r="A231" s="14" t="inlineStr">
        <is>
          <t>P-M-PAZ-24430 B</t>
        </is>
      </c>
      <c r="B231" s="14" t="inlineStr">
        <is>
          <t>102-CCM-006</t>
        </is>
      </c>
      <c r="C231" s="14" t="inlineStr">
        <is>
          <t>M-PAZ-24430 B</t>
        </is>
      </c>
      <c r="D231" s="14" t="inlineStr">
        <is>
          <t>380</t>
        </is>
      </c>
      <c r="E231" s="14" t="inlineStr">
        <is>
          <t>280</t>
        </is>
      </c>
      <c r="F231" s="14" t="inlineStr">
        <is>
          <t>1kV-XLPE-Arm-CU</t>
        </is>
      </c>
      <c r="G231" s="14" t="inlineStr">
        <is>
          <t>3x16</t>
        </is>
      </c>
      <c r="H231" s="14" t="inlineStr">
        <is>
          <t>Aeroenfriador de Hot Oil- Área 942</t>
        </is>
      </c>
      <c r="I231" s="14" t="inlineStr">
        <is>
          <t>BOMBA DE TANQUE DE EFLUENTES</t>
        </is>
      </c>
      <c r="J231" s="14" t="inlineStr">
        <is>
          <t>POTENCIA_BT</t>
        </is>
      </c>
      <c r="K231" s="14" t="inlineStr">
        <is>
          <t>CPF2</t>
        </is>
      </c>
      <c r="L231" s="137" t="n">
        <v>3</v>
      </c>
      <c r="M231" s="144" t="inlineStr">
        <is>
          <t>SI</t>
        </is>
      </c>
      <c r="N231" s="139" t="n">
        <v>6</v>
      </c>
      <c r="O231" s="145" t="n">
        <v>2</v>
      </c>
      <c r="P231" s="141" t="n">
        <v>8</v>
      </c>
      <c r="Q231" s="136" t="inlineStr">
        <is>
          <t>POTENCIA BT PEQUEÑA (10-25mm²)</t>
        </is>
      </c>
      <c r="R231" s="136" t="inlineStr">
        <is>
          <t>MOTOR/ACCIONAMIENTO</t>
        </is>
      </c>
    </row>
    <row r="232">
      <c r="A232" s="14" t="inlineStr">
        <is>
          <t>P-M-PAY-97110 A</t>
        </is>
      </c>
      <c r="B232" s="14" t="inlineStr">
        <is>
          <t>102-CCM-006</t>
        </is>
      </c>
      <c r="C232" s="14" t="inlineStr">
        <is>
          <t>M-PAY-97110 A</t>
        </is>
      </c>
      <c r="D232" s="14" t="inlineStr">
        <is>
          <t>380</t>
        </is>
      </c>
      <c r="E232" s="14" t="inlineStr">
        <is>
          <t>270</t>
        </is>
      </c>
      <c r="F232" s="14" t="inlineStr">
        <is>
          <t>1kV-XLPE-Arm-CU</t>
        </is>
      </c>
      <c r="G232" s="14" t="inlineStr">
        <is>
          <t>3x10</t>
        </is>
      </c>
      <c r="H232" s="14" t="inlineStr">
        <is>
          <t>Aeroenfriador de Hot Oil- Área 942</t>
        </is>
      </c>
      <c r="I232" s="14" t="inlineStr">
        <is>
          <t>BOMBAS SUMIDEROS DE DRENAJES ABIERTOS</t>
        </is>
      </c>
      <c r="J232" s="14" t="inlineStr">
        <is>
          <t>POTENCIA_BT</t>
        </is>
      </c>
      <c r="K232" s="14" t="inlineStr">
        <is>
          <t>CPF2</t>
        </is>
      </c>
      <c r="L232" s="137" t="n">
        <v>3</v>
      </c>
      <c r="M232" s="144" t="inlineStr">
        <is>
          <t>SI</t>
        </is>
      </c>
      <c r="N232" s="139" t="n">
        <v>6</v>
      </c>
      <c r="O232" s="145" t="n">
        <v>2</v>
      </c>
      <c r="P232" s="141" t="n">
        <v>8</v>
      </c>
      <c r="Q232" s="136" t="inlineStr">
        <is>
          <t>POTENCIA BT PEQUEÑA (10-25mm²)</t>
        </is>
      </c>
      <c r="R232" s="136" t="inlineStr">
        <is>
          <t>MOTOR/ACCIONAMIENTO</t>
        </is>
      </c>
    </row>
    <row r="233">
      <c r="A233" s="14" t="inlineStr">
        <is>
          <t>P-M-PAY-97110 B</t>
        </is>
      </c>
      <c r="B233" s="14" t="inlineStr">
        <is>
          <t>102-CCM-006</t>
        </is>
      </c>
      <c r="C233" s="14" t="inlineStr">
        <is>
          <t>M-PAY-97110 B</t>
        </is>
      </c>
      <c r="D233" s="14" t="inlineStr">
        <is>
          <t>380</t>
        </is>
      </c>
      <c r="E233" s="14" t="inlineStr">
        <is>
          <t>270</t>
        </is>
      </c>
      <c r="F233" s="14" t="inlineStr">
        <is>
          <t>1kV-XLPE-Arm-CU</t>
        </is>
      </c>
      <c r="G233" s="14" t="inlineStr">
        <is>
          <t>3x10</t>
        </is>
      </c>
      <c r="H233" s="14" t="inlineStr">
        <is>
          <t>Aeroenfriador de Hot Oil- Área 942</t>
        </is>
      </c>
      <c r="I233" s="14" t="inlineStr">
        <is>
          <t>BOMBAS SUMIDEROS DE DRENAJES ABIERTOS</t>
        </is>
      </c>
      <c r="J233" s="14" t="inlineStr">
        <is>
          <t>POTENCIA_BT</t>
        </is>
      </c>
      <c r="K233" s="14" t="inlineStr">
        <is>
          <t>CPF2</t>
        </is>
      </c>
      <c r="L233" s="137" t="n">
        <v>3</v>
      </c>
      <c r="M233" s="144" t="inlineStr">
        <is>
          <t>SI</t>
        </is>
      </c>
      <c r="N233" s="139" t="n">
        <v>6</v>
      </c>
      <c r="O233" s="145" t="n">
        <v>2</v>
      </c>
      <c r="P233" s="141" t="n">
        <v>8</v>
      </c>
      <c r="Q233" s="136" t="inlineStr">
        <is>
          <t>POTENCIA BT PEQUEÑA (10-25mm²)</t>
        </is>
      </c>
      <c r="R233" s="136" t="inlineStr">
        <is>
          <t>MOTOR/ACCIONAMIENTO</t>
        </is>
      </c>
    </row>
    <row r="234">
      <c r="A234" s="14" t="inlineStr">
        <is>
          <t>P-M-PAY-95140 A</t>
        </is>
      </c>
      <c r="B234" s="14" t="inlineStr">
        <is>
          <t>102-CCM-006</t>
        </is>
      </c>
      <c r="C234" s="14" t="inlineStr">
        <is>
          <t>M-PAY-95140 A</t>
        </is>
      </c>
      <c r="D234" s="14" t="inlineStr">
        <is>
          <t>380</t>
        </is>
      </c>
      <c r="E234" s="14" t="inlineStr">
        <is>
          <t>370</t>
        </is>
      </c>
      <c r="F234" s="14" t="inlineStr">
        <is>
          <t>1kV-XLPE-Arm-CU</t>
        </is>
      </c>
      <c r="G234" s="14" t="inlineStr">
        <is>
          <t>3x35</t>
        </is>
      </c>
      <c r="H234" s="14" t="inlineStr">
        <is>
          <t>Aeroenfriador de Hot Oil- Área 942</t>
        </is>
      </c>
      <c r="I234" s="14" t="inlineStr">
        <is>
          <t>BOMBA KOD 0</t>
        </is>
      </c>
      <c r="J234" s="14" t="inlineStr">
        <is>
          <t>POTENCIA_BT</t>
        </is>
      </c>
      <c r="K234" s="14" t="inlineStr">
        <is>
          <t>CPF2</t>
        </is>
      </c>
      <c r="L234" s="137" t="n">
        <v>3</v>
      </c>
      <c r="M234" s="144" t="inlineStr">
        <is>
          <t>SI</t>
        </is>
      </c>
      <c r="N234" s="139" t="n">
        <v>6</v>
      </c>
      <c r="O234" s="145" t="n">
        <v>2</v>
      </c>
      <c r="P234" s="141" t="n">
        <v>8</v>
      </c>
      <c r="Q234" s="136" t="inlineStr">
        <is>
          <t>POTENCIA BT MEDIANA (35-70mm²)</t>
        </is>
      </c>
      <c r="R234" s="136" t="inlineStr">
        <is>
          <t>MOTOR/ACCIONAMIENTO</t>
        </is>
      </c>
    </row>
    <row r="235">
      <c r="A235" s="14" t="inlineStr">
        <is>
          <t>P-M-PAY-95140 B</t>
        </is>
      </c>
      <c r="B235" s="14" t="inlineStr">
        <is>
          <t>102-CCM-006</t>
        </is>
      </c>
      <c r="C235" s="14" t="inlineStr">
        <is>
          <t>M-PAY-95140 B</t>
        </is>
      </c>
      <c r="D235" s="14" t="inlineStr">
        <is>
          <t>380</t>
        </is>
      </c>
      <c r="E235" s="14" t="inlineStr">
        <is>
          <t>370</t>
        </is>
      </c>
      <c r="F235" s="14" t="inlineStr">
        <is>
          <t>1kV-XLPE-Arm-CU</t>
        </is>
      </c>
      <c r="G235" s="14" t="inlineStr">
        <is>
          <t>3x35</t>
        </is>
      </c>
      <c r="H235" s="14" t="inlineStr">
        <is>
          <t>Aeroenfriador de Hot Oil- Área 942</t>
        </is>
      </c>
      <c r="I235" s="14" t="inlineStr">
        <is>
          <t>BOMBA KOD 0</t>
        </is>
      </c>
      <c r="J235" s="14" t="inlineStr">
        <is>
          <t>POTENCIA_BT</t>
        </is>
      </c>
      <c r="K235" s="14" t="inlineStr">
        <is>
          <t>CPF2</t>
        </is>
      </c>
      <c r="L235" s="137" t="n">
        <v>3</v>
      </c>
      <c r="M235" s="144" t="inlineStr">
        <is>
          <t>SI</t>
        </is>
      </c>
      <c r="N235" s="139" t="n">
        <v>6</v>
      </c>
      <c r="O235" s="145" t="n">
        <v>2</v>
      </c>
      <c r="P235" s="141" t="n">
        <v>8</v>
      </c>
      <c r="Q235" s="136" t="inlineStr">
        <is>
          <t>POTENCIA BT MEDIANA (35-70mm²)</t>
        </is>
      </c>
      <c r="R235" s="136" t="inlineStr">
        <is>
          <t>MOTOR/ACCIONAMIENTO</t>
        </is>
      </c>
    </row>
    <row r="236">
      <c r="A236" s="14" t="inlineStr">
        <is>
          <t>P-EAP-95130 A</t>
        </is>
      </c>
      <c r="B236" s="14" t="inlineStr">
        <is>
          <t>102-CCM-006</t>
        </is>
      </c>
      <c r="C236" s="14" t="inlineStr">
        <is>
          <t>EAP-95130 A</t>
        </is>
      </c>
      <c r="D236" s="14" t="inlineStr">
        <is>
          <t>380</t>
        </is>
      </c>
      <c r="E236" s="14" t="inlineStr">
        <is>
          <t>370</t>
        </is>
      </c>
      <c r="F236" s="14" t="inlineStr">
        <is>
          <t>1kV-XLPE-Arm-CU</t>
        </is>
      </c>
      <c r="G236" s="14" t="inlineStr">
        <is>
          <t>3x95</t>
        </is>
      </c>
      <c r="H236" s="14" t="inlineStr">
        <is>
          <t>Aeroenfriador de Hot Oil- Área 942</t>
        </is>
      </c>
      <c r="I236" s="14" t="inlineStr">
        <is>
          <t>CALENTADOR ELÉCTRICO KOD 0</t>
        </is>
      </c>
      <c r="J236" s="14" t="inlineStr">
        <is>
          <t>POTENCIA_BT</t>
        </is>
      </c>
      <c r="K236" s="14" t="inlineStr">
        <is>
          <t>CPF2</t>
        </is>
      </c>
      <c r="L236" s="137" t="n">
        <v>3</v>
      </c>
      <c r="M236" s="144" t="inlineStr">
        <is>
          <t>SI</t>
        </is>
      </c>
      <c r="N236" s="139" t="n">
        <v>6</v>
      </c>
      <c r="O236" s="145" t="n">
        <v>2</v>
      </c>
      <c r="P236" s="141" t="n">
        <v>8</v>
      </c>
      <c r="Q236" s="136" t="inlineStr">
        <is>
          <t>POTENCIA BT GRANDE (≥95mm²)</t>
        </is>
      </c>
      <c r="R236" s="136" t="inlineStr">
        <is>
          <t>OTROS/VERIFICAR</t>
        </is>
      </c>
    </row>
    <row r="237">
      <c r="A237" s="14" t="inlineStr">
        <is>
          <t>P-EAP-95130 B</t>
        </is>
      </c>
      <c r="B237" s="14" t="inlineStr">
        <is>
          <t>102-CCM-006</t>
        </is>
      </c>
      <c r="C237" s="14" t="inlineStr">
        <is>
          <t>EAP-95130 B</t>
        </is>
      </c>
      <c r="D237" s="14" t="inlineStr">
        <is>
          <t>380</t>
        </is>
      </c>
      <c r="E237" s="14" t="inlineStr">
        <is>
          <t>370</t>
        </is>
      </c>
      <c r="F237" s="14" t="inlineStr">
        <is>
          <t>1kV-XLPE-Arm-CU</t>
        </is>
      </c>
      <c r="G237" s="14" t="inlineStr">
        <is>
          <t>3x95</t>
        </is>
      </c>
      <c r="H237" s="14" t="inlineStr">
        <is>
          <t>Aeroenfriador de Hot Oil- Área 942</t>
        </is>
      </c>
      <c r="I237" s="14" t="inlineStr">
        <is>
          <t>CALENTADOR ELÉCTRICO KOD 0</t>
        </is>
      </c>
      <c r="J237" s="14" t="inlineStr">
        <is>
          <t>POTENCIA_BT</t>
        </is>
      </c>
      <c r="K237" s="14" t="inlineStr">
        <is>
          <t>CPF2</t>
        </is>
      </c>
      <c r="L237" s="137" t="n">
        <v>3</v>
      </c>
      <c r="M237" s="144" t="inlineStr">
        <is>
          <t>SI</t>
        </is>
      </c>
      <c r="N237" s="139" t="n">
        <v>6</v>
      </c>
      <c r="O237" s="145" t="n">
        <v>2</v>
      </c>
      <c r="P237" s="141" t="n">
        <v>8</v>
      </c>
      <c r="Q237" s="136" t="inlineStr">
        <is>
          <t>POTENCIA BT GRANDE (≥95mm²)</t>
        </is>
      </c>
      <c r="R237" s="136" t="inlineStr">
        <is>
          <t>OTROS/VERIFICAR</t>
        </is>
      </c>
    </row>
    <row r="238">
      <c r="A238" s="14" t="inlineStr">
        <is>
          <t>P-EAP-93110 A</t>
        </is>
      </c>
      <c r="B238" s="14" t="inlineStr">
        <is>
          <t>102-CCM-006</t>
        </is>
      </c>
      <c r="C238" s="14" t="inlineStr">
        <is>
          <t>EAP-93110 A</t>
        </is>
      </c>
      <c r="D238" s="14" t="inlineStr">
        <is>
          <t>380</t>
        </is>
      </c>
      <c r="E238" s="14" t="inlineStr">
        <is>
          <t>200</t>
        </is>
      </c>
      <c r="F238" s="14" t="inlineStr">
        <is>
          <t>1kV-XLPE-Arm-CU</t>
        </is>
      </c>
      <c r="G238" s="14" t="inlineStr">
        <is>
          <t>3x70</t>
        </is>
      </c>
      <c r="H238" s="14" t="inlineStr">
        <is>
          <t>Aeroenfriador de Hot Oil- Área 942</t>
        </is>
      </c>
      <c r="I238" s="14" t="inlineStr">
        <is>
          <t>CALENTADOR GAS COMBUSTIBLE AP 0</t>
        </is>
      </c>
      <c r="J238" s="14" t="inlineStr">
        <is>
          <t>POTENCIA_BT</t>
        </is>
      </c>
      <c r="K238" s="14" t="inlineStr">
        <is>
          <t>CPF2</t>
        </is>
      </c>
      <c r="L238" s="137" t="n">
        <v>3</v>
      </c>
      <c r="M238" s="144" t="inlineStr">
        <is>
          <t>SI</t>
        </is>
      </c>
      <c r="N238" s="139" t="n">
        <v>6</v>
      </c>
      <c r="O238" s="145" t="n">
        <v>2</v>
      </c>
      <c r="P238" s="141" t="n">
        <v>8</v>
      </c>
      <c r="Q238" s="136" t="inlineStr">
        <is>
          <t>POTENCIA BT MEDIANA (35-70mm²)</t>
        </is>
      </c>
      <c r="R238" s="136" t="inlineStr">
        <is>
          <t>OTROS/VERIFICAR</t>
        </is>
      </c>
    </row>
    <row r="239">
      <c r="A239" s="14" t="inlineStr">
        <is>
          <t>P-EAP-93110 B</t>
        </is>
      </c>
      <c r="B239" s="14" t="inlineStr">
        <is>
          <t>102-CCM-006</t>
        </is>
      </c>
      <c r="C239" s="14" t="inlineStr">
        <is>
          <t>EAP-93110 B</t>
        </is>
      </c>
      <c r="D239" s="14" t="inlineStr">
        <is>
          <t>380</t>
        </is>
      </c>
      <c r="E239" s="14" t="inlineStr">
        <is>
          <t>200</t>
        </is>
      </c>
      <c r="F239" s="14" t="inlineStr">
        <is>
          <t>1kV-XLPE-Arm-CU</t>
        </is>
      </c>
      <c r="G239" s="14" t="inlineStr">
        <is>
          <t>3x70</t>
        </is>
      </c>
      <c r="H239" s="14" t="inlineStr">
        <is>
          <t>Aeroenfriador de Hot Oil- Área 942</t>
        </is>
      </c>
      <c r="I239" s="14" t="inlineStr">
        <is>
          <t>CALENTADOR GAS COMBUSTIBLE AP 0</t>
        </is>
      </c>
      <c r="J239" s="14" t="inlineStr">
        <is>
          <t>POTENCIA_BT</t>
        </is>
      </c>
      <c r="K239" s="14" t="inlineStr">
        <is>
          <t>CPF2</t>
        </is>
      </c>
      <c r="L239" s="137" t="n">
        <v>3</v>
      </c>
      <c r="M239" s="144" t="inlineStr">
        <is>
          <t>SI</t>
        </is>
      </c>
      <c r="N239" s="139" t="n">
        <v>6</v>
      </c>
      <c r="O239" s="145" t="n">
        <v>2</v>
      </c>
      <c r="P239" s="141" t="n">
        <v>8</v>
      </c>
      <c r="Q239" s="136" t="inlineStr">
        <is>
          <t>POTENCIA BT MEDIANA (35-70mm²)</t>
        </is>
      </c>
      <c r="R239" s="136" t="inlineStr">
        <is>
          <t>OTROS/VERIFICAR</t>
        </is>
      </c>
    </row>
    <row r="240">
      <c r="A240" s="14" t="inlineStr">
        <is>
          <t>P-M-PAY-97320 A</t>
        </is>
      </c>
      <c r="B240" s="14" t="inlineStr">
        <is>
          <t>102-CCM-006</t>
        </is>
      </c>
      <c r="C240" s="14" t="inlineStr">
        <is>
          <t>M-PAY-97320 A</t>
        </is>
      </c>
      <c r="D240" s="14" t="inlineStr">
        <is>
          <t>380</t>
        </is>
      </c>
      <c r="E240" s="14" t="inlineStr">
        <is>
          <t>120</t>
        </is>
      </c>
      <c r="F240" s="14" t="inlineStr">
        <is>
          <t>1kV-XLPE-Arm-CU</t>
        </is>
      </c>
      <c r="G240" s="14" t="inlineStr">
        <is>
          <t>3x10</t>
        </is>
      </c>
      <c r="H240" s="14" t="inlineStr">
        <is>
          <t>Aeroenfriador de Hot Oil- Área 942</t>
        </is>
      </c>
      <c r="I240" s="14" t="inlineStr">
        <is>
          <t>BOMBA DE SUMIDERO DE DRENAJES CERRADOS 0</t>
        </is>
      </c>
      <c r="J240" s="14" t="inlineStr">
        <is>
          <t>POTENCIA_BT</t>
        </is>
      </c>
      <c r="K240" s="14" t="inlineStr">
        <is>
          <t>CPF2</t>
        </is>
      </c>
      <c r="L240" s="137" t="n">
        <v>3</v>
      </c>
      <c r="M240" s="144" t="inlineStr">
        <is>
          <t>SI</t>
        </is>
      </c>
      <c r="N240" s="139" t="n">
        <v>6</v>
      </c>
      <c r="O240" s="145" t="n">
        <v>2</v>
      </c>
      <c r="P240" s="141" t="n">
        <v>8</v>
      </c>
      <c r="Q240" s="136" t="inlineStr">
        <is>
          <t>POTENCIA BT PEQUEÑA (10-25mm²)</t>
        </is>
      </c>
      <c r="R240" s="136" t="inlineStr">
        <is>
          <t>MOTOR/ACCIONAMIENTO</t>
        </is>
      </c>
    </row>
    <row r="241">
      <c r="A241" s="14" t="inlineStr">
        <is>
          <t>P-M-PAY-97320 B</t>
        </is>
      </c>
      <c r="B241" s="14" t="inlineStr">
        <is>
          <t>102-CCM-006</t>
        </is>
      </c>
      <c r="C241" s="14" t="inlineStr">
        <is>
          <t>M-PAY-97320 B</t>
        </is>
      </c>
      <c r="D241" s="14" t="inlineStr">
        <is>
          <t>380</t>
        </is>
      </c>
      <c r="E241" s="14" t="inlineStr">
        <is>
          <t>120</t>
        </is>
      </c>
      <c r="F241" s="14" t="inlineStr">
        <is>
          <t>1kV-XLPE-Arm-CU</t>
        </is>
      </c>
      <c r="G241" s="14" t="inlineStr">
        <is>
          <t>3x10</t>
        </is>
      </c>
      <c r="H241" s="14" t="inlineStr">
        <is>
          <t>Aeroenfriador de Hot Oil- Área 942</t>
        </is>
      </c>
      <c r="I241" s="14" t="inlineStr">
        <is>
          <t>BOMBA DE SUMIDERO DE DRENAJES CERRADOS 0</t>
        </is>
      </c>
      <c r="J241" s="14" t="inlineStr">
        <is>
          <t>POTENCIA_BT</t>
        </is>
      </c>
      <c r="K241" s="14" t="inlineStr">
        <is>
          <t>CPF2</t>
        </is>
      </c>
      <c r="L241" s="137" t="n">
        <v>3</v>
      </c>
      <c r="M241" s="144" t="inlineStr">
        <is>
          <t>SI</t>
        </is>
      </c>
      <c r="N241" s="139" t="n">
        <v>6</v>
      </c>
      <c r="O241" s="145" t="n">
        <v>2</v>
      </c>
      <c r="P241" s="141" t="n">
        <v>8</v>
      </c>
      <c r="Q241" s="136" t="inlineStr">
        <is>
          <t>POTENCIA BT PEQUEÑA (10-25mm²)</t>
        </is>
      </c>
      <c r="R241" s="136" t="inlineStr">
        <is>
          <t>MOTOR/ACCIONAMIENTO</t>
        </is>
      </c>
    </row>
    <row r="242">
      <c r="A242" s="14" t="inlineStr">
        <is>
          <t>P-SKZZ-91040-1</t>
        </is>
      </c>
      <c r="B242" s="14" t="inlineStr">
        <is>
          <t>102-CCM-006</t>
        </is>
      </c>
      <c r="C242" s="14" t="inlineStr">
        <is>
          <t>SKZZ-91040</t>
        </is>
      </c>
      <c r="D242" s="14" t="inlineStr">
        <is>
          <t>380</t>
        </is>
      </c>
      <c r="E242" s="14" t="inlineStr">
        <is>
          <t>500</t>
        </is>
      </c>
      <c r="F242" s="14" t="inlineStr">
        <is>
          <t>1kV-XLPE-Arm-CU</t>
        </is>
      </c>
      <c r="G242" s="14" t="inlineStr">
        <is>
          <t>3x120/70</t>
        </is>
      </c>
      <c r="H242" s="14" t="inlineStr">
        <is>
          <t>Aeroenfriador de Hot Oil- Área 942</t>
        </is>
      </c>
      <c r="I242" s="14" t="inlineStr">
        <is>
          <t>SKID DE COMPRESIÓN Y SECADO DE AIRE 0</t>
        </is>
      </c>
      <c r="J242" s="14" t="inlineStr">
        <is>
          <t>POTENCIA_BT</t>
        </is>
      </c>
      <c r="K242" s="14" t="inlineStr">
        <is>
          <t>CPF2</t>
        </is>
      </c>
      <c r="L242" s="137" t="n">
        <v>4</v>
      </c>
      <c r="M242" s="144" t="inlineStr">
        <is>
          <t>SI</t>
        </is>
      </c>
      <c r="N242" s="139" t="n">
        <v>8</v>
      </c>
      <c r="O242" s="145" t="n">
        <v>2</v>
      </c>
      <c r="P242" s="141" t="n">
        <v>10</v>
      </c>
      <c r="Q242" s="136" t="inlineStr">
        <is>
          <t>POTENCIA BT GRANDE (≥95mm²)</t>
        </is>
      </c>
      <c r="R242" s="136" t="inlineStr">
        <is>
          <t>OTROS/VERIFICAR</t>
        </is>
      </c>
    </row>
    <row r="243">
      <c r="A243" s="14" t="inlineStr">
        <is>
          <t>P-SKZZ-91040-2</t>
        </is>
      </c>
      <c r="B243" s="14" t="inlineStr">
        <is>
          <t>102-CCM-006</t>
        </is>
      </c>
      <c r="C243" s="14" t="inlineStr">
        <is>
          <t>SKZZ-91040</t>
        </is>
      </c>
      <c r="D243" s="14" t="inlineStr">
        <is>
          <t>380</t>
        </is>
      </c>
      <c r="E243" s="14" t="inlineStr">
        <is>
          <t>500</t>
        </is>
      </c>
      <c r="F243" s="14" t="inlineStr">
        <is>
          <t>1kV-XLPE-Arm-CU</t>
        </is>
      </c>
      <c r="G243" s="14" t="inlineStr">
        <is>
          <t>3x120/70</t>
        </is>
      </c>
      <c r="H243" s="14" t="inlineStr">
        <is>
          <t>Aeroenfriador de Hot Oil- Área 942</t>
        </is>
      </c>
      <c r="I243" s="14" t="inlineStr">
        <is>
          <t>SKID DE COMPRESIÓN Y SECADO DE AIRE 0</t>
        </is>
      </c>
      <c r="J243" s="14" t="inlineStr">
        <is>
          <t>POTENCIA_BT</t>
        </is>
      </c>
      <c r="K243" s="14" t="inlineStr">
        <is>
          <t>CPF2</t>
        </is>
      </c>
      <c r="L243" s="137" t="n">
        <v>4</v>
      </c>
      <c r="M243" s="144" t="inlineStr">
        <is>
          <t>SI</t>
        </is>
      </c>
      <c r="N243" s="139" t="n">
        <v>8</v>
      </c>
      <c r="O243" s="145" t="n">
        <v>2</v>
      </c>
      <c r="P243" s="141" t="n">
        <v>10</v>
      </c>
      <c r="Q243" s="136" t="inlineStr">
        <is>
          <t>POTENCIA BT GRANDE (≥95mm²)</t>
        </is>
      </c>
      <c r="R243" s="136" t="inlineStr">
        <is>
          <t>OTROS/VERIFICAR</t>
        </is>
      </c>
    </row>
    <row r="244">
      <c r="A244" s="14" t="inlineStr">
        <is>
          <t>P-SKZZ-91040-3</t>
        </is>
      </c>
      <c r="B244" s="14" t="inlineStr">
        <is>
          <t>102-CCM-006</t>
        </is>
      </c>
      <c r="C244" s="14" t="inlineStr">
        <is>
          <t>SKZZ-91040</t>
        </is>
      </c>
      <c r="D244" s="14" t="inlineStr">
        <is>
          <t>380</t>
        </is>
      </c>
      <c r="E244" s="14" t="inlineStr">
        <is>
          <t>500</t>
        </is>
      </c>
      <c r="F244" s="14" t="inlineStr">
        <is>
          <t>1kV-XLPE-Arm-CU</t>
        </is>
      </c>
      <c r="G244" s="14" t="inlineStr">
        <is>
          <t>3x120/70</t>
        </is>
      </c>
      <c r="H244" s="14" t="inlineStr">
        <is>
          <t>Aeroenfriador de Hot Oil- Área 942</t>
        </is>
      </c>
      <c r="I244" s="14" t="inlineStr">
        <is>
          <t>SKID DE COMPRESIÓN Y SECADO DE AIRE 0</t>
        </is>
      </c>
      <c r="J244" s="14" t="inlineStr">
        <is>
          <t>POTENCIA_BT</t>
        </is>
      </c>
      <c r="K244" s="14" t="inlineStr">
        <is>
          <t>CPF2</t>
        </is>
      </c>
      <c r="L244" s="137" t="n">
        <v>4</v>
      </c>
      <c r="M244" s="144" t="inlineStr">
        <is>
          <t>SI</t>
        </is>
      </c>
      <c r="N244" s="139" t="n">
        <v>8</v>
      </c>
      <c r="O244" s="145" t="n">
        <v>2</v>
      </c>
      <c r="P244" s="141" t="n">
        <v>10</v>
      </c>
      <c r="Q244" s="136" t="inlineStr">
        <is>
          <t>POTENCIA BT GRANDE (≥95mm²)</t>
        </is>
      </c>
      <c r="R244" s="136" t="inlineStr">
        <is>
          <t>OTROS/VERIFICAR</t>
        </is>
      </c>
    </row>
    <row r="245">
      <c r="A245" s="14" t="inlineStr">
        <is>
          <t>P-SKZZ-91040-4</t>
        </is>
      </c>
      <c r="B245" s="14" t="inlineStr">
        <is>
          <t>102-CCM-006</t>
        </is>
      </c>
      <c r="C245" s="14" t="inlineStr">
        <is>
          <t>SKZZ-91040</t>
        </is>
      </c>
      <c r="D245" s="14" t="inlineStr">
        <is>
          <t>380</t>
        </is>
      </c>
      <c r="E245" s="14" t="inlineStr">
        <is>
          <t>500</t>
        </is>
      </c>
      <c r="F245" s="14" t="inlineStr">
        <is>
          <t>1kV-XLPE-Arm-CU</t>
        </is>
      </c>
      <c r="G245" s="14" t="inlineStr">
        <is>
          <t>3x120/70</t>
        </is>
      </c>
      <c r="H245" s="14" t="inlineStr">
        <is>
          <t>Aeroenfriador de Hot Oil- Área 942</t>
        </is>
      </c>
      <c r="I245" s="14" t="inlineStr">
        <is>
          <t>SKID DE COMPRESIÓN Y SECADO DE AIRE 0</t>
        </is>
      </c>
      <c r="J245" s="14" t="inlineStr">
        <is>
          <t>POTENCIA_BT</t>
        </is>
      </c>
      <c r="K245" s="14" t="inlineStr">
        <is>
          <t>CPF2</t>
        </is>
      </c>
      <c r="L245" s="137" t="n">
        <v>4</v>
      </c>
      <c r="M245" s="144" t="inlineStr">
        <is>
          <t>SI</t>
        </is>
      </c>
      <c r="N245" s="139" t="n">
        <v>8</v>
      </c>
      <c r="O245" s="145" t="n">
        <v>2</v>
      </c>
      <c r="P245" s="141" t="n">
        <v>10</v>
      </c>
      <c r="Q245" s="136" t="inlineStr">
        <is>
          <t>POTENCIA BT GRANDE (≥95mm²)</t>
        </is>
      </c>
      <c r="R245" s="136" t="inlineStr">
        <is>
          <t>OTROS/VERIFICAR</t>
        </is>
      </c>
    </row>
    <row r="246">
      <c r="A246" s="14" t="inlineStr">
        <is>
          <t>P-SKZZ-91050-1</t>
        </is>
      </c>
      <c r="B246" s="14" t="inlineStr">
        <is>
          <t>102-CCM-006</t>
        </is>
      </c>
      <c r="C246" s="14" t="inlineStr">
        <is>
          <t>SKZZ-91050</t>
        </is>
      </c>
      <c r="D246" s="14" t="inlineStr">
        <is>
          <t>380</t>
        </is>
      </c>
      <c r="E246" s="14" t="inlineStr">
        <is>
          <t>500</t>
        </is>
      </c>
      <c r="F246" s="14" t="inlineStr">
        <is>
          <t>1kV-XLPE-Arm-CU</t>
        </is>
      </c>
      <c r="G246" s="14" t="inlineStr">
        <is>
          <t>3x120/70</t>
        </is>
      </c>
      <c r="H246" s="14" t="inlineStr">
        <is>
          <t>Aeroenfriador de Hot Oil- Área 942</t>
        </is>
      </c>
      <c r="I246" s="14" t="inlineStr">
        <is>
          <t>SKID DE COMPRESIÓN Y SECADO DE AIRE 0</t>
        </is>
      </c>
      <c r="J246" s="14" t="inlineStr">
        <is>
          <t>POTENCIA_BT</t>
        </is>
      </c>
      <c r="K246" s="14" t="inlineStr">
        <is>
          <t>CPF2</t>
        </is>
      </c>
      <c r="L246" s="137" t="n">
        <v>4</v>
      </c>
      <c r="M246" s="144" t="inlineStr">
        <is>
          <t>SI</t>
        </is>
      </c>
      <c r="N246" s="139" t="n">
        <v>8</v>
      </c>
      <c r="O246" s="145" t="n">
        <v>2</v>
      </c>
      <c r="P246" s="141" t="n">
        <v>10</v>
      </c>
      <c r="Q246" s="136" t="inlineStr">
        <is>
          <t>POTENCIA BT GRANDE (≥95mm²)</t>
        </is>
      </c>
      <c r="R246" s="136" t="inlineStr">
        <is>
          <t>OTROS/VERIFICAR</t>
        </is>
      </c>
    </row>
    <row r="247">
      <c r="A247" s="14" t="inlineStr">
        <is>
          <t>P-SKZZ-91050-2</t>
        </is>
      </c>
      <c r="B247" s="14" t="inlineStr">
        <is>
          <t>102-CCM-006</t>
        </is>
      </c>
      <c r="C247" s="14" t="inlineStr">
        <is>
          <t>SKZZ-91050</t>
        </is>
      </c>
      <c r="D247" s="14" t="inlineStr">
        <is>
          <t>380</t>
        </is>
      </c>
      <c r="E247" s="14" t="inlineStr">
        <is>
          <t>500</t>
        </is>
      </c>
      <c r="F247" s="14" t="inlineStr">
        <is>
          <t>1kV-XLPE-Arm-CU</t>
        </is>
      </c>
      <c r="G247" s="14" t="inlineStr">
        <is>
          <t>3x120/70</t>
        </is>
      </c>
      <c r="H247" s="14" t="inlineStr">
        <is>
          <t>Aeroenfriador de Hot Oil- Área 942</t>
        </is>
      </c>
      <c r="I247" s="14" t="inlineStr">
        <is>
          <t>SKID DE COMPRESIÓN Y SECADO DE AIRE 0</t>
        </is>
      </c>
      <c r="J247" s="14" t="inlineStr">
        <is>
          <t>POTENCIA_BT</t>
        </is>
      </c>
      <c r="K247" s="14" t="inlineStr">
        <is>
          <t>CPF2</t>
        </is>
      </c>
      <c r="L247" s="137" t="n">
        <v>4</v>
      </c>
      <c r="M247" s="144" t="inlineStr">
        <is>
          <t>SI</t>
        </is>
      </c>
      <c r="N247" s="139" t="n">
        <v>8</v>
      </c>
      <c r="O247" s="145" t="n">
        <v>2</v>
      </c>
      <c r="P247" s="141" t="n">
        <v>10</v>
      </c>
      <c r="Q247" s="136" t="inlineStr">
        <is>
          <t>POTENCIA BT GRANDE (≥95mm²)</t>
        </is>
      </c>
      <c r="R247" s="136" t="inlineStr">
        <is>
          <t>OTROS/VERIFICAR</t>
        </is>
      </c>
    </row>
    <row r="248">
      <c r="A248" s="14" t="inlineStr">
        <is>
          <t>P-SKZZ-91050-3</t>
        </is>
      </c>
      <c r="B248" s="14" t="inlineStr">
        <is>
          <t>102-CCM-006</t>
        </is>
      </c>
      <c r="C248" s="14" t="inlineStr">
        <is>
          <t>SKZZ-91050</t>
        </is>
      </c>
      <c r="D248" s="14" t="inlineStr">
        <is>
          <t>380</t>
        </is>
      </c>
      <c r="E248" s="14" t="inlineStr">
        <is>
          <t>500</t>
        </is>
      </c>
      <c r="F248" s="14" t="inlineStr">
        <is>
          <t>1kV-XLPE-Arm-CU</t>
        </is>
      </c>
      <c r="G248" s="14" t="inlineStr">
        <is>
          <t>3x120/70</t>
        </is>
      </c>
      <c r="H248" s="14" t="inlineStr">
        <is>
          <t>Aeroenfriador de Hot Oil- Área 942</t>
        </is>
      </c>
      <c r="I248" s="14" t="inlineStr">
        <is>
          <t>SKID DE COMPRESIÓN Y SECADO DE AIRE 0</t>
        </is>
      </c>
      <c r="J248" s="14" t="inlineStr">
        <is>
          <t>POTENCIA_BT</t>
        </is>
      </c>
      <c r="K248" s="14" t="inlineStr">
        <is>
          <t>CPF2</t>
        </is>
      </c>
      <c r="L248" s="137" t="n">
        <v>4</v>
      </c>
      <c r="M248" s="144" t="inlineStr">
        <is>
          <t>SI</t>
        </is>
      </c>
      <c r="N248" s="139" t="n">
        <v>8</v>
      </c>
      <c r="O248" s="145" t="n">
        <v>2</v>
      </c>
      <c r="P248" s="141" t="n">
        <v>10</v>
      </c>
      <c r="Q248" s="136" t="inlineStr">
        <is>
          <t>POTENCIA BT GRANDE (≥95mm²)</t>
        </is>
      </c>
      <c r="R248" s="136" t="inlineStr">
        <is>
          <t>OTROS/VERIFICAR</t>
        </is>
      </c>
    </row>
    <row r="249">
      <c r="A249" s="14" t="inlineStr">
        <is>
          <t>P-SKZZ-91050-4</t>
        </is>
      </c>
      <c r="B249" s="14" t="inlineStr">
        <is>
          <t>102-CCM-006</t>
        </is>
      </c>
      <c r="C249" s="14" t="inlineStr">
        <is>
          <t>SKZZ-91050</t>
        </is>
      </c>
      <c r="D249" s="14" t="inlineStr">
        <is>
          <t>380</t>
        </is>
      </c>
      <c r="E249" s="14" t="inlineStr">
        <is>
          <t>500</t>
        </is>
      </c>
      <c r="F249" s="14" t="inlineStr">
        <is>
          <t>1kV-XLPE-Arm-CU</t>
        </is>
      </c>
      <c r="G249" s="14" t="inlineStr">
        <is>
          <t>3x120/70</t>
        </is>
      </c>
      <c r="H249" s="14" t="inlineStr">
        <is>
          <t>Aeroenfriador de Hot Oil- Área 942</t>
        </is>
      </c>
      <c r="I249" s="14" t="inlineStr">
        <is>
          <t>SKID DE COMPRESIÓN Y SECADO DE AIRE 0</t>
        </is>
      </c>
      <c r="J249" s="14" t="inlineStr">
        <is>
          <t>POTENCIA_BT</t>
        </is>
      </c>
      <c r="K249" s="14" t="inlineStr">
        <is>
          <t>CPF2</t>
        </is>
      </c>
      <c r="L249" s="137" t="n">
        <v>4</v>
      </c>
      <c r="M249" s="144" t="inlineStr">
        <is>
          <t>SI</t>
        </is>
      </c>
      <c r="N249" s="139" t="n">
        <v>8</v>
      </c>
      <c r="O249" s="145" t="n">
        <v>2</v>
      </c>
      <c r="P249" s="141" t="n">
        <v>10</v>
      </c>
      <c r="Q249" s="136" t="inlineStr">
        <is>
          <t>POTENCIA BT GRANDE (≥95mm²)</t>
        </is>
      </c>
      <c r="R249" s="136" t="inlineStr">
        <is>
          <t>OTROS/VERIFICAR</t>
        </is>
      </c>
    </row>
    <row r="250">
      <c r="A250" s="14" t="inlineStr">
        <is>
          <t>P-SKZZ-90206 A</t>
        </is>
      </c>
      <c r="B250" s="14" t="inlineStr">
        <is>
          <t>102-CCM-006</t>
        </is>
      </c>
      <c r="C250" s="14" t="inlineStr">
        <is>
          <t>SKZZ-90206 A</t>
        </is>
      </c>
      <c r="D250" s="14" t="inlineStr">
        <is>
          <t>380</t>
        </is>
      </c>
      <c r="E250" s="14" t="inlineStr">
        <is>
          <t>250</t>
        </is>
      </c>
      <c r="F250" s="14" t="inlineStr">
        <is>
          <t>1kV-XLPE-Arm-CU</t>
        </is>
      </c>
      <c r="G250" s="14" t="inlineStr">
        <is>
          <t>4x4</t>
        </is>
      </c>
      <c r="H250" s="14" t="inlineStr">
        <is>
          <t>Aeroenfriador de Hot Oil- Área 942</t>
        </is>
      </c>
      <c r="I250" s="14" t="inlineStr">
        <is>
          <t>SKID QUÍMICO DE DESEMULSIONANTE 0</t>
        </is>
      </c>
      <c r="J250" s="14" t="inlineStr">
        <is>
          <t>POTENCIA_BT</t>
        </is>
      </c>
      <c r="K250" s="14" t="inlineStr">
        <is>
          <t>CPF2</t>
        </is>
      </c>
      <c r="L250" s="137" t="n">
        <v>4</v>
      </c>
      <c r="M250" s="144" t="inlineStr">
        <is>
          <t>SI</t>
        </is>
      </c>
      <c r="N250" s="139" t="n">
        <v>8</v>
      </c>
      <c r="O250" s="145" t="n">
        <v>2</v>
      </c>
      <c r="P250" s="141" t="n">
        <v>10</v>
      </c>
      <c r="Q250" s="136" t="inlineStr">
        <is>
          <t>POTENCIA BT MUY PEQ (&lt;10mm²)</t>
        </is>
      </c>
      <c r="R250" s="136" t="inlineStr">
        <is>
          <t>OTROS/VERIFICAR</t>
        </is>
      </c>
    </row>
    <row r="251">
      <c r="A251" s="14" t="inlineStr">
        <is>
          <t>P-SKZZ-90207 A</t>
        </is>
      </c>
      <c r="B251" s="14" t="inlineStr">
        <is>
          <t>102-CCM-006</t>
        </is>
      </c>
      <c r="C251" s="14" t="inlineStr">
        <is>
          <t>SKZZ-90207 A</t>
        </is>
      </c>
      <c r="D251" s="14" t="inlineStr">
        <is>
          <t>380</t>
        </is>
      </c>
      <c r="E251" s="14" t="inlineStr">
        <is>
          <t>250</t>
        </is>
      </c>
      <c r="F251" s="14" t="inlineStr">
        <is>
          <t>1kV-XLPE-Arm-CU</t>
        </is>
      </c>
      <c r="G251" s="14" t="inlineStr">
        <is>
          <t>4x4</t>
        </is>
      </c>
      <c r="H251" s="14" t="inlineStr">
        <is>
          <t>Aeroenfriador de Hot Oil- Área 942</t>
        </is>
      </c>
      <c r="I251" s="14" t="inlineStr">
        <is>
          <t>SKID QUÍMICO DE INHIBIDOR DE INCRUSTACIONES 0</t>
        </is>
      </c>
      <c r="J251" s="14" t="inlineStr">
        <is>
          <t>POTENCIA_BT</t>
        </is>
      </c>
      <c r="K251" s="14" t="inlineStr">
        <is>
          <t>CPF2</t>
        </is>
      </c>
      <c r="L251" s="137" t="n">
        <v>4</v>
      </c>
      <c r="M251" s="144" t="inlineStr">
        <is>
          <t>SI</t>
        </is>
      </c>
      <c r="N251" s="139" t="n">
        <v>8</v>
      </c>
      <c r="O251" s="145" t="n">
        <v>2</v>
      </c>
      <c r="P251" s="141" t="n">
        <v>10</v>
      </c>
      <c r="Q251" s="136" t="inlineStr">
        <is>
          <t>POTENCIA BT MUY PEQ (&lt;10mm²)</t>
        </is>
      </c>
      <c r="R251" s="136" t="inlineStr">
        <is>
          <t>OTROS/VERIFICAR</t>
        </is>
      </c>
    </row>
    <row r="252">
      <c r="A252" s="14" t="inlineStr">
        <is>
          <t>P-SKZZ-90208 A</t>
        </is>
      </c>
      <c r="B252" s="14" t="inlineStr">
        <is>
          <t>102-CCM-006</t>
        </is>
      </c>
      <c r="C252" s="14" t="inlineStr">
        <is>
          <t>SKZZ-90208 A</t>
        </is>
      </c>
      <c r="D252" s="14" t="inlineStr">
        <is>
          <t>380</t>
        </is>
      </c>
      <c r="E252" s="14" t="inlineStr">
        <is>
          <t>250</t>
        </is>
      </c>
      <c r="F252" s="14" t="inlineStr">
        <is>
          <t>1kV-XLPE-Arm-CU</t>
        </is>
      </c>
      <c r="G252" s="14" t="inlineStr">
        <is>
          <t>4x4</t>
        </is>
      </c>
      <c r="H252" s="14" t="inlineStr">
        <is>
          <t>Aeroenfriador de Hot Oil- Área 942</t>
        </is>
      </c>
      <c r="I252" s="14" t="inlineStr">
        <is>
          <t>SKID QUÍMICO DE INHIBIDOR DE CORROSIÓN 0</t>
        </is>
      </c>
      <c r="J252" s="14" t="inlineStr">
        <is>
          <t>POTENCIA_BT</t>
        </is>
      </c>
      <c r="K252" s="14" t="inlineStr">
        <is>
          <t>CPF2</t>
        </is>
      </c>
      <c r="L252" s="137" t="n">
        <v>4</v>
      </c>
      <c r="M252" s="144" t="inlineStr">
        <is>
          <t>SI</t>
        </is>
      </c>
      <c r="N252" s="139" t="n">
        <v>8</v>
      </c>
      <c r="O252" s="145" t="n">
        <v>2</v>
      </c>
      <c r="P252" s="141" t="n">
        <v>10</v>
      </c>
      <c r="Q252" s="136" t="inlineStr">
        <is>
          <t>POTENCIA BT MUY PEQ (&lt;10mm²)</t>
        </is>
      </c>
      <c r="R252" s="136" t="inlineStr">
        <is>
          <t>OTROS/VERIFICAR</t>
        </is>
      </c>
    </row>
    <row r="253">
      <c r="A253" s="14" t="inlineStr">
        <is>
          <t>P-SKZZ-90209 A</t>
        </is>
      </c>
      <c r="B253" s="14" t="inlineStr">
        <is>
          <t>102-CCM-006</t>
        </is>
      </c>
      <c r="C253" s="14" t="inlineStr">
        <is>
          <t>SKZZ-90209 A</t>
        </is>
      </c>
      <c r="D253" s="14" t="inlineStr">
        <is>
          <t>380</t>
        </is>
      </c>
      <c r="E253" s="14" t="inlineStr">
        <is>
          <t>250</t>
        </is>
      </c>
      <c r="F253" s="14" t="inlineStr">
        <is>
          <t>1kV-XLPE-Arm-CU</t>
        </is>
      </c>
      <c r="G253" s="14" t="inlineStr">
        <is>
          <t>4x4</t>
        </is>
      </c>
      <c r="H253" s="14" t="inlineStr">
        <is>
          <t>Aeroenfriador de Hot Oil- Área 942</t>
        </is>
      </c>
      <c r="I253" s="14" t="inlineStr">
        <is>
          <t>SKID QUÍMICO DE INHIBIDOR DE HALITA 0</t>
        </is>
      </c>
      <c r="J253" s="14" t="inlineStr">
        <is>
          <t>POTENCIA_BT</t>
        </is>
      </c>
      <c r="K253" s="14" t="inlineStr">
        <is>
          <t>CPF2</t>
        </is>
      </c>
      <c r="L253" s="137" t="n">
        <v>4</v>
      </c>
      <c r="M253" s="144" t="inlineStr">
        <is>
          <t>SI</t>
        </is>
      </c>
      <c r="N253" s="139" t="n">
        <v>8</v>
      </c>
      <c r="O253" s="145" t="n">
        <v>2</v>
      </c>
      <c r="P253" s="141" t="n">
        <v>10</v>
      </c>
      <c r="Q253" s="136" t="inlineStr">
        <is>
          <t>POTENCIA BT MUY PEQ (&lt;10mm²)</t>
        </is>
      </c>
      <c r="R253" s="136" t="inlineStr">
        <is>
          <t>OTROS/VERIFICAR</t>
        </is>
      </c>
    </row>
    <row r="254">
      <c r="A254" s="14" t="inlineStr">
        <is>
          <t>P-SKZZ-90212 A</t>
        </is>
      </c>
      <c r="B254" s="14" t="inlineStr">
        <is>
          <t>102-CCM-006</t>
        </is>
      </c>
      <c r="C254" s="14" t="inlineStr">
        <is>
          <t>SKZZ-90212 A</t>
        </is>
      </c>
      <c r="D254" s="14" t="inlineStr">
        <is>
          <t>380</t>
        </is>
      </c>
      <c r="E254" s="14" t="inlineStr">
        <is>
          <t>220</t>
        </is>
      </c>
      <c r="F254" s="14" t="inlineStr">
        <is>
          <t>1kV-XLPE-Arm-CU</t>
        </is>
      </c>
      <c r="G254" s="14" t="inlineStr">
        <is>
          <t>4x4</t>
        </is>
      </c>
      <c r="H254" s="14" t="inlineStr">
        <is>
          <t>Aeroenfriador de Hot Oil- Área 942</t>
        </is>
      </c>
      <c r="I254" s="14" t="inlineStr">
        <is>
          <t>SKID QUÍMICO DE INHIBIDOR DE HIDRATOS 0</t>
        </is>
      </c>
      <c r="J254" s="14" t="inlineStr">
        <is>
          <t>POTENCIA_BT</t>
        </is>
      </c>
      <c r="K254" s="14" t="inlineStr">
        <is>
          <t>CPF2</t>
        </is>
      </c>
      <c r="L254" s="137" t="n">
        <v>4</v>
      </c>
      <c r="M254" s="144" t="inlineStr">
        <is>
          <t>SI</t>
        </is>
      </c>
      <c r="N254" s="139" t="n">
        <v>8</v>
      </c>
      <c r="O254" s="145" t="n">
        <v>2</v>
      </c>
      <c r="P254" s="141" t="n">
        <v>10</v>
      </c>
      <c r="Q254" s="136" t="inlineStr">
        <is>
          <t>POTENCIA BT MUY PEQ (&lt;10mm²)</t>
        </is>
      </c>
      <c r="R254" s="136" t="inlineStr">
        <is>
          <t>OTROS/VERIFICAR</t>
        </is>
      </c>
    </row>
    <row r="255">
      <c r="A255" s="14" t="inlineStr">
        <is>
          <t>P-SKZZ-90213</t>
        </is>
      </c>
      <c r="B255" s="14" t="inlineStr">
        <is>
          <t>102-CCM-006</t>
        </is>
      </c>
      <c r="C255" s="14" t="inlineStr">
        <is>
          <t>SKZZ-90213</t>
        </is>
      </c>
      <c r="D255" s="14" t="inlineStr">
        <is>
          <t>380</t>
        </is>
      </c>
      <c r="E255" s="14" t="inlineStr">
        <is>
          <t>220</t>
        </is>
      </c>
      <c r="F255" s="14" t="inlineStr">
        <is>
          <t>1kV-XLPE-Arm-CU</t>
        </is>
      </c>
      <c r="G255" s="14" t="inlineStr">
        <is>
          <t>4x4</t>
        </is>
      </c>
      <c r="H255" s="14" t="inlineStr">
        <is>
          <t>Aeroenfriador de Hot Oil- Área 942</t>
        </is>
      </c>
      <c r="I255" s="14" t="inlineStr">
        <is>
          <t>SKID QUÍMICO DE INHIBIDOR DE HIDRATOS 0</t>
        </is>
      </c>
      <c r="J255" s="14" t="inlineStr">
        <is>
          <t>POTENCIA_BT</t>
        </is>
      </c>
      <c r="K255" s="14" t="inlineStr">
        <is>
          <t>CPF2</t>
        </is>
      </c>
      <c r="L255" s="137" t="n">
        <v>4</v>
      </c>
      <c r="M255" s="144" t="inlineStr">
        <is>
          <t>SI</t>
        </is>
      </c>
      <c r="N255" s="139" t="n">
        <v>8</v>
      </c>
      <c r="O255" s="145" t="n">
        <v>2</v>
      </c>
      <c r="P255" s="141" t="n">
        <v>10</v>
      </c>
      <c r="Q255" s="136" t="inlineStr">
        <is>
          <t>POTENCIA BT MUY PEQ (&lt;10mm²)</t>
        </is>
      </c>
      <c r="R255" s="136" t="inlineStr">
        <is>
          <t>OTROS/VERIFICAR</t>
        </is>
      </c>
    </row>
    <row r="256">
      <c r="A256" s="14" t="inlineStr">
        <is>
          <t>P-SKZZ-90216</t>
        </is>
      </c>
      <c r="B256" s="14" t="inlineStr">
        <is>
          <t>102-CCM-006</t>
        </is>
      </c>
      <c r="C256" s="14" t="inlineStr">
        <is>
          <t>SKZZ-90216</t>
        </is>
      </c>
      <c r="D256" s="14" t="inlineStr">
        <is>
          <t>380</t>
        </is>
      </c>
      <c r="E256" s="14" t="inlineStr">
        <is>
          <t>250</t>
        </is>
      </c>
      <c r="F256" s="14" t="inlineStr">
        <is>
          <t>1kV-XLPE-Arm-CU</t>
        </is>
      </c>
      <c r="G256" s="14" t="inlineStr">
        <is>
          <t>4x4</t>
        </is>
      </c>
      <c r="H256" s="14" t="inlineStr">
        <is>
          <t>Aeroenfriador de Hot Oil- Área 942</t>
        </is>
      </c>
      <c r="I256" s="14" t="inlineStr">
        <is>
          <t>SKID QUÍMICO DE SECUESTRANTE DE SULFURO DE HIDRÓGENO 0</t>
        </is>
      </c>
      <c r="J256" s="14" t="inlineStr">
        <is>
          <t>POTENCIA_BT</t>
        </is>
      </c>
      <c r="K256" s="14" t="inlineStr">
        <is>
          <t>CPF2</t>
        </is>
      </c>
      <c r="L256" s="137" t="n">
        <v>4</v>
      </c>
      <c r="M256" s="144" t="inlineStr">
        <is>
          <t>SI</t>
        </is>
      </c>
      <c r="N256" s="139" t="n">
        <v>8</v>
      </c>
      <c r="O256" s="145" t="n">
        <v>2</v>
      </c>
      <c r="P256" s="141" t="n">
        <v>10</v>
      </c>
      <c r="Q256" s="136" t="inlineStr">
        <is>
          <t>POTENCIA BT MUY PEQ (&lt;10mm²)</t>
        </is>
      </c>
      <c r="R256" s="136" t="inlineStr">
        <is>
          <t>OTROS/VERIFICAR</t>
        </is>
      </c>
    </row>
    <row r="257">
      <c r="A257" s="14" t="inlineStr">
        <is>
          <t>P-HTR-29183</t>
        </is>
      </c>
      <c r="B257" s="14" t="inlineStr">
        <is>
          <t>102-CCM-006</t>
        </is>
      </c>
      <c r="C257" s="14" t="inlineStr">
        <is>
          <t>HTR-29183</t>
        </is>
      </c>
      <c r="D257" s="14" t="inlineStr">
        <is>
          <t>380</t>
        </is>
      </c>
      <c r="E257" s="14" t="inlineStr">
        <is>
          <t>200</t>
        </is>
      </c>
      <c r="F257" s="14" t="inlineStr">
        <is>
          <t>1kV-XLPE-Arm-CU</t>
        </is>
      </c>
      <c r="G257" s="14" t="inlineStr">
        <is>
          <t>3x50+T</t>
        </is>
      </c>
      <c r="H257" s="14" t="inlineStr">
        <is>
          <t>Aeroenfriador de Hot Oil- Área 942</t>
        </is>
      </c>
      <c r="I257" s="14" t="inlineStr"/>
      <c r="J257" s="14" t="inlineStr">
        <is>
          <t>POTENCIA_BT</t>
        </is>
      </c>
      <c r="K257" s="14" t="inlineStr">
        <is>
          <t>CPF2</t>
        </is>
      </c>
      <c r="L257" s="137" t="n">
        <v>4</v>
      </c>
      <c r="M257" s="144" t="inlineStr">
        <is>
          <t>SI</t>
        </is>
      </c>
      <c r="N257" s="139" t="n">
        <v>8</v>
      </c>
      <c r="O257" s="145" t="n">
        <v>2</v>
      </c>
      <c r="P257" s="141" t="n">
        <v>10</v>
      </c>
      <c r="Q257" s="136" t="inlineStr">
        <is>
          <t>POTENCIA BT MEDIANA (35-70mm²)</t>
        </is>
      </c>
      <c r="R257" s="136" t="inlineStr">
        <is>
          <t>OTROS/VERIFICAR</t>
        </is>
      </c>
    </row>
    <row r="258">
      <c r="A258" s="14" t="inlineStr">
        <is>
          <t>P-HTR-29167</t>
        </is>
      </c>
      <c r="B258" s="14" t="inlineStr">
        <is>
          <t>102-CCM-006</t>
        </is>
      </c>
      <c r="C258" s="14" t="inlineStr">
        <is>
          <t>HTR-29167</t>
        </is>
      </c>
      <c r="D258" s="14" t="inlineStr">
        <is>
          <t>380</t>
        </is>
      </c>
      <c r="E258" s="14" t="inlineStr">
        <is>
          <t>200</t>
        </is>
      </c>
      <c r="F258" s="14" t="inlineStr">
        <is>
          <t>1kV-XLPE-Arm-CU</t>
        </is>
      </c>
      <c r="G258" s="14" t="inlineStr">
        <is>
          <t>3x25+T</t>
        </is>
      </c>
      <c r="H258" s="14" t="inlineStr">
        <is>
          <t>Engine KIM HS Glycol Heater - Área 291</t>
        </is>
      </c>
      <c r="I258" s="14" t="inlineStr"/>
      <c r="J258" s="14" t="inlineStr">
        <is>
          <t>POTENCIA_BT</t>
        </is>
      </c>
      <c r="K258" s="14" t="inlineStr">
        <is>
          <t>CPF2</t>
        </is>
      </c>
      <c r="L258" s="137" t="n">
        <v>4</v>
      </c>
      <c r="M258" s="144" t="inlineStr">
        <is>
          <t>SI</t>
        </is>
      </c>
      <c r="N258" s="139" t="n">
        <v>8</v>
      </c>
      <c r="O258" s="145" t="n">
        <v>2</v>
      </c>
      <c r="P258" s="141" t="n">
        <v>10</v>
      </c>
      <c r="Q258" s="136" t="inlineStr">
        <is>
          <t>POTENCIA BT PEQUEÑA (10-25mm²)</t>
        </is>
      </c>
      <c r="R258" s="136" t="inlineStr">
        <is>
          <t>OTROS/VERIFICAR</t>
        </is>
      </c>
    </row>
    <row r="259">
      <c r="A259" s="14" t="inlineStr">
        <is>
          <t>P-HTR-29283</t>
        </is>
      </c>
      <c r="B259" s="14" t="inlineStr">
        <is>
          <t>102-CCM-006</t>
        </is>
      </c>
      <c r="C259" s="14" t="inlineStr">
        <is>
          <t>HTR-29283</t>
        </is>
      </c>
      <c r="D259" s="14" t="inlineStr">
        <is>
          <t>380</t>
        </is>
      </c>
      <c r="E259" s="14" t="inlineStr">
        <is>
          <t>190</t>
        </is>
      </c>
      <c r="F259" s="14" t="inlineStr">
        <is>
          <t>1kV-XLPE-Arm-CU</t>
        </is>
      </c>
      <c r="G259" s="14" t="inlineStr">
        <is>
          <t>3x50+T</t>
        </is>
      </c>
      <c r="H259" s="14" t="inlineStr">
        <is>
          <t>Compressor KIM HS Prelube Heater - Área 291</t>
        </is>
      </c>
      <c r="I259" s="14" t="inlineStr"/>
      <c r="J259" s="14" t="inlineStr">
        <is>
          <t>POTENCIA_BT</t>
        </is>
      </c>
      <c r="K259" s="14" t="inlineStr">
        <is>
          <t>CPF2</t>
        </is>
      </c>
      <c r="L259" s="137" t="n">
        <v>4</v>
      </c>
      <c r="M259" s="144" t="inlineStr">
        <is>
          <t>SI</t>
        </is>
      </c>
      <c r="N259" s="139" t="n">
        <v>8</v>
      </c>
      <c r="O259" s="145" t="n">
        <v>2</v>
      </c>
      <c r="P259" s="141" t="n">
        <v>10</v>
      </c>
      <c r="Q259" s="136" t="inlineStr">
        <is>
          <t>POTENCIA BT MEDIANA (35-70mm²)</t>
        </is>
      </c>
      <c r="R259" s="136" t="inlineStr">
        <is>
          <t>OTROS/VERIFICAR</t>
        </is>
      </c>
    </row>
    <row r="260">
      <c r="A260" s="14" t="inlineStr">
        <is>
          <t>P-HTR-29267</t>
        </is>
      </c>
      <c r="B260" s="14" t="inlineStr">
        <is>
          <t>102-CCM-006</t>
        </is>
      </c>
      <c r="C260" s="14" t="inlineStr">
        <is>
          <t>HTR-29267</t>
        </is>
      </c>
      <c r="D260" s="14" t="inlineStr">
        <is>
          <t>380</t>
        </is>
      </c>
      <c r="E260" s="14" t="inlineStr">
        <is>
          <t>190</t>
        </is>
      </c>
      <c r="F260" s="14" t="inlineStr">
        <is>
          <t>1kV-XLPE-Arm-CU</t>
        </is>
      </c>
      <c r="G260" s="14" t="inlineStr">
        <is>
          <t>3x25+T</t>
        </is>
      </c>
      <c r="H260" s="14" t="inlineStr">
        <is>
          <t>Engine KIM HS Glycol Heater - Área 292</t>
        </is>
      </c>
      <c r="I260" s="14" t="inlineStr"/>
      <c r="J260" s="14" t="inlineStr">
        <is>
          <t>POTENCIA_BT</t>
        </is>
      </c>
      <c r="K260" s="14" t="inlineStr">
        <is>
          <t>CPF2</t>
        </is>
      </c>
      <c r="L260" s="137" t="n">
        <v>4</v>
      </c>
      <c r="M260" s="144" t="inlineStr">
        <is>
          <t>SI</t>
        </is>
      </c>
      <c r="N260" s="139" t="n">
        <v>8</v>
      </c>
      <c r="O260" s="145" t="n">
        <v>2</v>
      </c>
      <c r="P260" s="141" t="n">
        <v>10</v>
      </c>
      <c r="Q260" s="136" t="inlineStr">
        <is>
          <t>POTENCIA BT PEQUEÑA (10-25mm²)</t>
        </is>
      </c>
      <c r="R260" s="136" t="inlineStr">
        <is>
          <t>OTROS/VERIFICAR</t>
        </is>
      </c>
    </row>
    <row r="261">
      <c r="A261" s="14" t="inlineStr">
        <is>
          <t>P-HTR-29383</t>
        </is>
      </c>
      <c r="B261" s="14" t="inlineStr">
        <is>
          <t>102-CCM-006</t>
        </is>
      </c>
      <c r="C261" s="14" t="inlineStr">
        <is>
          <t>HTR-29383</t>
        </is>
      </c>
      <c r="D261" s="14" t="inlineStr">
        <is>
          <t>380</t>
        </is>
      </c>
      <c r="E261" s="14" t="inlineStr">
        <is>
          <t>180</t>
        </is>
      </c>
      <c r="F261" s="14" t="inlineStr">
        <is>
          <t>1kV-XLPE-Arm-CU</t>
        </is>
      </c>
      <c r="G261" s="14" t="inlineStr">
        <is>
          <t>3x50+T</t>
        </is>
      </c>
      <c r="H261" s="14" t="inlineStr">
        <is>
          <t>Compressor KIM HS Prelube Heater - Área 292</t>
        </is>
      </c>
      <c r="I261" s="14" t="inlineStr"/>
      <c r="J261" s="14" t="inlineStr">
        <is>
          <t>POTENCIA_BT</t>
        </is>
      </c>
      <c r="K261" s="14" t="inlineStr">
        <is>
          <t>CPF2</t>
        </is>
      </c>
      <c r="L261" s="137" t="n">
        <v>4</v>
      </c>
      <c r="M261" s="144" t="inlineStr">
        <is>
          <t>SI</t>
        </is>
      </c>
      <c r="N261" s="139" t="n">
        <v>8</v>
      </c>
      <c r="O261" s="145" t="n">
        <v>2</v>
      </c>
      <c r="P261" s="141" t="n">
        <v>10</v>
      </c>
      <c r="Q261" s="136" t="inlineStr">
        <is>
          <t>POTENCIA BT MEDIANA (35-70mm²)</t>
        </is>
      </c>
      <c r="R261" s="136" t="inlineStr">
        <is>
          <t>OTROS/VERIFICAR</t>
        </is>
      </c>
    </row>
    <row r="262">
      <c r="A262" s="14" t="inlineStr">
        <is>
          <t>P-HTR-29367</t>
        </is>
      </c>
      <c r="B262" s="14" t="inlineStr">
        <is>
          <t>102-CCM-006</t>
        </is>
      </c>
      <c r="C262" s="14" t="inlineStr">
        <is>
          <t>HTR-29367</t>
        </is>
      </c>
      <c r="D262" s="14" t="inlineStr">
        <is>
          <t>380</t>
        </is>
      </c>
      <c r="E262" s="14" t="inlineStr">
        <is>
          <t>180</t>
        </is>
      </c>
      <c r="F262" s="14" t="inlineStr">
        <is>
          <t>1kV-XLPE-Arm-CU</t>
        </is>
      </c>
      <c r="G262" s="14" t="inlineStr">
        <is>
          <t>3x25+T</t>
        </is>
      </c>
      <c r="H262" s="14" t="inlineStr">
        <is>
          <t>Engine KIM HS Glycol Heater - Área 293</t>
        </is>
      </c>
      <c r="I262" s="14" t="inlineStr"/>
      <c r="J262" s="14" t="inlineStr">
        <is>
          <t>POTENCIA_BT</t>
        </is>
      </c>
      <c r="K262" s="14" t="inlineStr">
        <is>
          <t>CPF2</t>
        </is>
      </c>
      <c r="L262" s="137" t="n">
        <v>4</v>
      </c>
      <c r="M262" s="144" t="inlineStr">
        <is>
          <t>SI</t>
        </is>
      </c>
      <c r="N262" s="139" t="n">
        <v>8</v>
      </c>
      <c r="O262" s="145" t="n">
        <v>2</v>
      </c>
      <c r="P262" s="141" t="n">
        <v>10</v>
      </c>
      <c r="Q262" s="136" t="inlineStr">
        <is>
          <t>POTENCIA BT PEQUEÑA (10-25mm²)</t>
        </is>
      </c>
      <c r="R262" s="136" t="inlineStr">
        <is>
          <t>OTROS/VERIFICAR</t>
        </is>
      </c>
    </row>
    <row r="263">
      <c r="A263" s="14" t="inlineStr">
        <is>
          <t>P-102-DP-001-TRA</t>
        </is>
      </c>
      <c r="B263" s="14" t="inlineStr">
        <is>
          <t>102-CCM-006</t>
        </is>
      </c>
      <c r="C263" s="14" t="inlineStr">
        <is>
          <t>102-DP-001-TRA</t>
        </is>
      </c>
      <c r="D263" s="14" t="inlineStr">
        <is>
          <t>380</t>
        </is>
      </c>
      <c r="E263" s="14" t="inlineStr">
        <is>
          <t>20</t>
        </is>
      </c>
      <c r="F263" s="14" t="inlineStr">
        <is>
          <t>1kV-XLPE-CU</t>
        </is>
      </c>
      <c r="G263" s="14" t="inlineStr">
        <is>
          <t>3x240/120</t>
        </is>
      </c>
      <c r="H263" s="14" t="inlineStr">
        <is>
          <t>Compressor KIM HS Prelube Heater - Área 293</t>
        </is>
      </c>
      <c r="I263" s="14" t="inlineStr">
        <is>
          <t>TABLERO DE DISTRIBUCIÓN TRACING 0</t>
        </is>
      </c>
      <c r="J263" s="14" t="inlineStr">
        <is>
          <t>POTENCIA_BT</t>
        </is>
      </c>
      <c r="K263" s="14" t="inlineStr">
        <is>
          <t>CPF2</t>
        </is>
      </c>
      <c r="L263" s="137" t="n">
        <v>4</v>
      </c>
      <c r="M263" s="138" t="inlineStr">
        <is>
          <t>NO</t>
        </is>
      </c>
      <c r="N263" s="139" t="n">
        <v>8</v>
      </c>
      <c r="O263" s="140" t="n">
        <v>0</v>
      </c>
      <c r="P263" s="141" t="n">
        <v>8</v>
      </c>
      <c r="Q263" s="136" t="inlineStr">
        <is>
          <t>POTENCIA BT GRANDE (≥95mm²)</t>
        </is>
      </c>
      <c r="R263" s="136" t="inlineStr">
        <is>
          <t>CALEFACCION/TRAZADO</t>
        </is>
      </c>
    </row>
    <row r="264">
      <c r="A264" s="14" t="inlineStr">
        <is>
          <t>P-102-HVAC-001-1</t>
        </is>
      </c>
      <c r="B264" s="14" t="inlineStr">
        <is>
          <t>102-CCM-006</t>
        </is>
      </c>
      <c r="C264" s="14" t="inlineStr">
        <is>
          <t>102-HVAC-001</t>
        </is>
      </c>
      <c r="D264" s="14" t="inlineStr">
        <is>
          <t>380</t>
        </is>
      </c>
      <c r="E264" s="14" t="inlineStr">
        <is>
          <t>20</t>
        </is>
      </c>
      <c r="F264" s="14" t="inlineStr">
        <is>
          <t>1kV-XLPE-CU</t>
        </is>
      </c>
      <c r="G264" s="14" t="inlineStr">
        <is>
          <t>3x95/50</t>
        </is>
      </c>
      <c r="H264" s="14" t="inlineStr">
        <is>
          <t>Compressor KIM HS Prelube Heater - Área 293</t>
        </is>
      </c>
      <c r="I264" s="14" t="inlineStr"/>
      <c r="J264" s="14" t="inlineStr">
        <is>
          <t>POTENCIA_BT</t>
        </is>
      </c>
      <c r="K264" s="14" t="inlineStr">
        <is>
          <t>CPF2</t>
        </is>
      </c>
      <c r="L264" s="137" t="n">
        <v>4</v>
      </c>
      <c r="M264" s="138" t="inlineStr">
        <is>
          <t>NO</t>
        </is>
      </c>
      <c r="N264" s="139" t="n">
        <v>8</v>
      </c>
      <c r="O264" s="140" t="n">
        <v>0</v>
      </c>
      <c r="P264" s="141" t="n">
        <v>8</v>
      </c>
      <c r="Q264" s="136" t="inlineStr">
        <is>
          <t>POTENCIA BT GRANDE (≥95mm²)</t>
        </is>
      </c>
      <c r="R264" s="136" t="inlineStr">
        <is>
          <t>OTROS/VERIFICAR</t>
        </is>
      </c>
    </row>
    <row r="265">
      <c r="A265" s="14" t="inlineStr">
        <is>
          <t>P-102-HVAC-001-2</t>
        </is>
      </c>
      <c r="B265" s="14" t="inlineStr">
        <is>
          <t>102-CCM-006</t>
        </is>
      </c>
      <c r="C265" s="14" t="inlineStr">
        <is>
          <t>102-HVAC-001</t>
        </is>
      </c>
      <c r="D265" s="14" t="inlineStr">
        <is>
          <t>380</t>
        </is>
      </c>
      <c r="E265" s="14" t="inlineStr">
        <is>
          <t>20</t>
        </is>
      </c>
      <c r="F265" s="14" t="inlineStr">
        <is>
          <t>1kV-XLPE-CU</t>
        </is>
      </c>
      <c r="G265" s="14" t="inlineStr">
        <is>
          <t>3x95/50</t>
        </is>
      </c>
      <c r="H265" s="14" t="inlineStr">
        <is>
          <t>SALA ELÉCTRICA 3</t>
        </is>
      </c>
      <c r="I265" s="14" t="inlineStr"/>
      <c r="J265" s="14" t="inlineStr">
        <is>
          <t>POTENCIA_BT</t>
        </is>
      </c>
      <c r="K265" s="14" t="inlineStr">
        <is>
          <t>CPF2</t>
        </is>
      </c>
      <c r="L265" s="137" t="n">
        <v>4</v>
      </c>
      <c r="M265" s="138" t="inlineStr">
        <is>
          <t>NO</t>
        </is>
      </c>
      <c r="N265" s="139" t="n">
        <v>8</v>
      </c>
      <c r="O265" s="140" t="n">
        <v>0</v>
      </c>
      <c r="P265" s="141" t="n">
        <v>8</v>
      </c>
      <c r="Q265" s="136" t="inlineStr">
        <is>
          <t>POTENCIA BT GRANDE (≥95mm²)</t>
        </is>
      </c>
      <c r="R265" s="136" t="inlineStr">
        <is>
          <t>TABLERO/CCM</t>
        </is>
      </c>
    </row>
    <row r="266">
      <c r="A266" s="14" t="inlineStr">
        <is>
          <t>P-102-HVAC-101-1</t>
        </is>
      </c>
      <c r="B266" s="14" t="inlineStr">
        <is>
          <t>102-CCM-006</t>
        </is>
      </c>
      <c r="C266" s="14" t="inlineStr">
        <is>
          <t>102-HVAC-101</t>
        </is>
      </c>
      <c r="D266" s="14" t="inlineStr">
        <is>
          <t>380</t>
        </is>
      </c>
      <c r="E266" s="14" t="inlineStr">
        <is>
          <t>60</t>
        </is>
      </c>
      <c r="F266" s="14" t="inlineStr">
        <is>
          <t>1kV-XLPE-Arm-CU</t>
        </is>
      </c>
      <c r="G266" s="14" t="inlineStr">
        <is>
          <t>3x95/50</t>
        </is>
      </c>
      <c r="H266" s="14" t="inlineStr">
        <is>
          <t>SALA ELÉCTRICA 3</t>
        </is>
      </c>
      <c r="I266" s="14" t="inlineStr"/>
      <c r="J266" s="14" t="inlineStr">
        <is>
          <t>POTENCIA_BT</t>
        </is>
      </c>
      <c r="K266" s="14" t="inlineStr">
        <is>
          <t>CPF2</t>
        </is>
      </c>
      <c r="L266" s="137" t="n">
        <v>4</v>
      </c>
      <c r="M266" s="144" t="inlineStr">
        <is>
          <t>SI</t>
        </is>
      </c>
      <c r="N266" s="139" t="n">
        <v>8</v>
      </c>
      <c r="O266" s="145" t="n">
        <v>2</v>
      </c>
      <c r="P266" s="141" t="n">
        <v>10</v>
      </c>
      <c r="Q266" s="136" t="inlineStr">
        <is>
          <t>POTENCIA BT GRANDE (≥95mm²)</t>
        </is>
      </c>
      <c r="R266" s="136" t="inlineStr">
        <is>
          <t>TABLERO/CCM</t>
        </is>
      </c>
    </row>
    <row r="267">
      <c r="A267" s="14" t="inlineStr">
        <is>
          <t>P-102-HVAC-101-2</t>
        </is>
      </c>
      <c r="B267" s="14" t="inlineStr">
        <is>
          <t>102-CCM-006</t>
        </is>
      </c>
      <c r="C267" s="14" t="inlineStr">
        <is>
          <t>102-HVAC-101</t>
        </is>
      </c>
      <c r="D267" s="14" t="inlineStr">
        <is>
          <t>380</t>
        </is>
      </c>
      <c r="E267" s="14" t="inlineStr">
        <is>
          <t>60</t>
        </is>
      </c>
      <c r="F267" s="14" t="inlineStr">
        <is>
          <t>1kV-XLPE-Arm-CU</t>
        </is>
      </c>
      <c r="G267" s="14" t="inlineStr">
        <is>
          <t>3x95/50</t>
        </is>
      </c>
      <c r="H267" s="14" t="inlineStr">
        <is>
          <t>SALA ELÉCTRICA 4</t>
        </is>
      </c>
      <c r="I267" s="14" t="inlineStr"/>
      <c r="J267" s="14" t="inlineStr">
        <is>
          <t>POTENCIA_BT</t>
        </is>
      </c>
      <c r="K267" s="14" t="inlineStr">
        <is>
          <t>CPF2</t>
        </is>
      </c>
      <c r="L267" s="137" t="n">
        <v>4</v>
      </c>
      <c r="M267" s="144" t="inlineStr">
        <is>
          <t>SI</t>
        </is>
      </c>
      <c r="N267" s="139" t="n">
        <v>8</v>
      </c>
      <c r="O267" s="145" t="n">
        <v>2</v>
      </c>
      <c r="P267" s="141" t="n">
        <v>10</v>
      </c>
      <c r="Q267" s="136" t="inlineStr">
        <is>
          <t>POTENCIA BT GRANDE (≥95mm²)</t>
        </is>
      </c>
      <c r="R267" s="136" t="inlineStr">
        <is>
          <t>TABLERO/CCM</t>
        </is>
      </c>
    </row>
    <row r="268">
      <c r="A268" s="14" t="inlineStr">
        <is>
          <t>P-102-LP-001</t>
        </is>
      </c>
      <c r="B268" s="14" t="inlineStr">
        <is>
          <t>102-CCM-006</t>
        </is>
      </c>
      <c r="C268" s="14" t="inlineStr">
        <is>
          <t>102-LP-001</t>
        </is>
      </c>
      <c r="D268" s="14" t="inlineStr">
        <is>
          <t>380</t>
        </is>
      </c>
      <c r="E268" s="14" t="inlineStr">
        <is>
          <t>20</t>
        </is>
      </c>
      <c r="F268" s="14" t="inlineStr">
        <is>
          <t>1kV-XLPE-CU</t>
        </is>
      </c>
      <c r="G268" s="14" t="inlineStr">
        <is>
          <t>3x150/70</t>
        </is>
      </c>
      <c r="H268" s="14" t="inlineStr">
        <is>
          <t>SALA ELÉCTRICA 4</t>
        </is>
      </c>
      <c r="I268" s="14" t="inlineStr">
        <is>
          <t>TABLERO DE ILUMINACIÓN Y TOMAS CPF2 0</t>
        </is>
      </c>
      <c r="J268" s="14" t="inlineStr">
        <is>
          <t>POTENCIA_BT</t>
        </is>
      </c>
      <c r="K268" s="14" t="inlineStr">
        <is>
          <t>CPF2</t>
        </is>
      </c>
      <c r="L268" s="137" t="n">
        <v>4</v>
      </c>
      <c r="M268" s="138" t="inlineStr">
        <is>
          <t>NO</t>
        </is>
      </c>
      <c r="N268" s="139" t="n">
        <v>8</v>
      </c>
      <c r="O268" s="140" t="n">
        <v>0</v>
      </c>
      <c r="P268" s="141" t="n">
        <v>8</v>
      </c>
      <c r="Q268" s="136" t="inlineStr">
        <is>
          <t>POTENCIA BT GRANDE (≥95mm²)</t>
        </is>
      </c>
      <c r="R268" s="136" t="inlineStr">
        <is>
          <t>ILUMINACION</t>
        </is>
      </c>
    </row>
    <row r="269">
      <c r="A269" s="14" t="inlineStr">
        <is>
          <t>P-102-LP-002</t>
        </is>
      </c>
      <c r="B269" s="14" t="inlineStr">
        <is>
          <t>102-CCM-006</t>
        </is>
      </c>
      <c r="C269" s="14" t="inlineStr">
        <is>
          <t>102-LP-002</t>
        </is>
      </c>
      <c r="D269" s="14" t="inlineStr">
        <is>
          <t>380</t>
        </is>
      </c>
      <c r="E269" s="14" t="inlineStr">
        <is>
          <t>20</t>
        </is>
      </c>
      <c r="F269" s="14" t="inlineStr">
        <is>
          <t>1kV-XLPE-CU</t>
        </is>
      </c>
      <c r="G269" s="14" t="inlineStr">
        <is>
          <t>3x150/70</t>
        </is>
      </c>
      <c r="H269" s="14" t="inlineStr">
        <is>
          <t>SALA ELÉCTRICA 4</t>
        </is>
      </c>
      <c r="I269" s="14" t="inlineStr">
        <is>
          <t>TABLEROS DE ILUMINACION DE EMERGENCIA CPF2 0</t>
        </is>
      </c>
      <c r="J269" s="14" t="inlineStr">
        <is>
          <t>POTENCIA_BT</t>
        </is>
      </c>
      <c r="K269" s="14" t="inlineStr">
        <is>
          <t>CPF2</t>
        </is>
      </c>
      <c r="L269" s="137" t="n">
        <v>4</v>
      </c>
      <c r="M269" s="138" t="inlineStr">
        <is>
          <t>NO</t>
        </is>
      </c>
      <c r="N269" s="139" t="n">
        <v>8</v>
      </c>
      <c r="O269" s="140" t="n">
        <v>0</v>
      </c>
      <c r="P269" s="141" t="n">
        <v>8</v>
      </c>
      <c r="Q269" s="136" t="inlineStr">
        <is>
          <t>POTENCIA BT GRANDE (≥95mm²)</t>
        </is>
      </c>
      <c r="R269" s="136" t="inlineStr">
        <is>
          <t>ILUMINACION</t>
        </is>
      </c>
    </row>
    <row r="270">
      <c r="A270" s="14" t="inlineStr">
        <is>
          <t>P-102-DP-001</t>
        </is>
      </c>
      <c r="B270" s="14" t="inlineStr">
        <is>
          <t>102-CCM-006</t>
        </is>
      </c>
      <c r="C270" s="14" t="inlineStr">
        <is>
          <t>102-DP-001</t>
        </is>
      </c>
      <c r="D270" s="14" t="inlineStr">
        <is>
          <t>380</t>
        </is>
      </c>
      <c r="E270" s="14" t="inlineStr">
        <is>
          <t>20</t>
        </is>
      </c>
      <c r="F270" s="14" t="inlineStr">
        <is>
          <t>1kV-XLPE-CU</t>
        </is>
      </c>
      <c r="G270" s="14" t="inlineStr">
        <is>
          <t>3x150/70</t>
        </is>
      </c>
      <c r="H270" s="14" t="inlineStr">
        <is>
          <t>SALA ELÉCTRICA 4</t>
        </is>
      </c>
      <c r="I270" s="14" t="inlineStr"/>
      <c r="J270" s="14" t="inlineStr">
        <is>
          <t>POTENCIA_BT</t>
        </is>
      </c>
      <c r="K270" s="14" t="inlineStr">
        <is>
          <t>CPF2</t>
        </is>
      </c>
      <c r="L270" s="137" t="n">
        <v>4</v>
      </c>
      <c r="M270" s="138" t="inlineStr">
        <is>
          <t>NO</t>
        </is>
      </c>
      <c r="N270" s="139" t="n">
        <v>8</v>
      </c>
      <c r="O270" s="140" t="n">
        <v>0</v>
      </c>
      <c r="P270" s="141" t="n">
        <v>8</v>
      </c>
      <c r="Q270" s="136" t="inlineStr">
        <is>
          <t>POTENCIA BT GRANDE (≥95mm²)</t>
        </is>
      </c>
      <c r="R270" s="136" t="inlineStr">
        <is>
          <t>TABLERO/CCM</t>
        </is>
      </c>
    </row>
    <row r="271">
      <c r="A271" s="14" t="inlineStr">
        <is>
          <t>P-102-DP-101</t>
        </is>
      </c>
      <c r="B271" s="14" t="inlineStr">
        <is>
          <t>102-CCM-006</t>
        </is>
      </c>
      <c r="C271" s="14" t="inlineStr">
        <is>
          <t>102-DP-101</t>
        </is>
      </c>
      <c r="D271" s="14" t="inlineStr">
        <is>
          <t>380</t>
        </is>
      </c>
      <c r="E271" s="14" t="inlineStr">
        <is>
          <t>60</t>
        </is>
      </c>
      <c r="F271" s="14" t="inlineStr">
        <is>
          <t>1kV-XLPE-Arm-CU</t>
        </is>
      </c>
      <c r="G271" s="14" t="inlineStr">
        <is>
          <t>3x25/16</t>
        </is>
      </c>
      <c r="H271" s="14" t="inlineStr">
        <is>
          <t>SALA ELÉCTRICA 3</t>
        </is>
      </c>
      <c r="I271" s="14" t="inlineStr"/>
      <c r="J271" s="14" t="inlineStr">
        <is>
          <t>POTENCIA_BT</t>
        </is>
      </c>
      <c r="K271" s="14" t="inlineStr">
        <is>
          <t>CPF2</t>
        </is>
      </c>
      <c r="L271" s="137" t="n">
        <v>4</v>
      </c>
      <c r="M271" s="144" t="inlineStr">
        <is>
          <t>SI</t>
        </is>
      </c>
      <c r="N271" s="139" t="n">
        <v>8</v>
      </c>
      <c r="O271" s="145" t="n">
        <v>2</v>
      </c>
      <c r="P271" s="141" t="n">
        <v>10</v>
      </c>
      <c r="Q271" s="136" t="inlineStr">
        <is>
          <t>POTENCIA BT PEQUEÑA (10-25mm²)</t>
        </is>
      </c>
      <c r="R271" s="136" t="inlineStr">
        <is>
          <t>TABLERO/CCM</t>
        </is>
      </c>
    </row>
    <row r="272">
      <c r="A272" s="14" t="inlineStr">
        <is>
          <t>P-102-UPS-001-A</t>
        </is>
      </c>
      <c r="B272" s="14" t="inlineStr">
        <is>
          <t>102-CCM-006</t>
        </is>
      </c>
      <c r="C272" s="14" t="inlineStr">
        <is>
          <t>102-UPS-001-A</t>
        </is>
      </c>
      <c r="D272" s="14" t="inlineStr">
        <is>
          <t>380</t>
        </is>
      </c>
      <c r="E272" s="14" t="inlineStr">
        <is>
          <t>20</t>
        </is>
      </c>
      <c r="F272" s="14" t="inlineStr">
        <is>
          <t>1kV-XLPE-RF-CU</t>
        </is>
      </c>
      <c r="G272" s="14" t="inlineStr">
        <is>
          <t>3x150</t>
        </is>
      </c>
      <c r="H272" s="14" t="inlineStr">
        <is>
          <t>SALA ELÉCTRICA 4</t>
        </is>
      </c>
      <c r="I272" s="14" t="inlineStr"/>
      <c r="J272" s="14" t="inlineStr">
        <is>
          <t>POTENCIA_BT</t>
        </is>
      </c>
      <c r="K272" s="14" t="inlineStr">
        <is>
          <t>CPF2</t>
        </is>
      </c>
      <c r="L272" s="137" t="n">
        <v>3</v>
      </c>
      <c r="M272" s="138" t="inlineStr">
        <is>
          <t>NO</t>
        </is>
      </c>
      <c r="N272" s="139" t="n">
        <v>6</v>
      </c>
      <c r="O272" s="140" t="n">
        <v>0</v>
      </c>
      <c r="P272" s="141" t="n">
        <v>6</v>
      </c>
      <c r="Q272" s="136" t="inlineStr">
        <is>
          <t>POTENCIA BT GRANDE (≥95mm²)</t>
        </is>
      </c>
      <c r="R272" s="136" t="inlineStr">
        <is>
          <t>UPS/RECTIF/SSAA</t>
        </is>
      </c>
    </row>
    <row r="273">
      <c r="A273" s="14" t="inlineStr">
        <is>
          <t>P-102-UPS-001-B</t>
        </is>
      </c>
      <c r="B273" s="14" t="inlineStr">
        <is>
          <t>102-CCM-006</t>
        </is>
      </c>
      <c r="C273" s="14" t="inlineStr">
        <is>
          <t>102-UPS-001-B</t>
        </is>
      </c>
      <c r="D273" s="14" t="inlineStr">
        <is>
          <t>380</t>
        </is>
      </c>
      <c r="E273" s="14" t="inlineStr">
        <is>
          <t>20</t>
        </is>
      </c>
      <c r="F273" s="14" t="inlineStr">
        <is>
          <t>1kV-XLPE-RF-CU</t>
        </is>
      </c>
      <c r="G273" s="14" t="inlineStr">
        <is>
          <t>3x150</t>
        </is>
      </c>
      <c r="H273" s="14" t="inlineStr">
        <is>
          <t>SALA ELÉCTRICA 3</t>
        </is>
      </c>
      <c r="I273" s="14" t="inlineStr"/>
      <c r="J273" s="14" t="inlineStr">
        <is>
          <t>POTENCIA_BT</t>
        </is>
      </c>
      <c r="K273" s="14" t="inlineStr">
        <is>
          <t>CPF2</t>
        </is>
      </c>
      <c r="L273" s="137" t="n">
        <v>3</v>
      </c>
      <c r="M273" s="138" t="inlineStr">
        <is>
          <t>NO</t>
        </is>
      </c>
      <c r="N273" s="139" t="n">
        <v>6</v>
      </c>
      <c r="O273" s="140" t="n">
        <v>0</v>
      </c>
      <c r="P273" s="141" t="n">
        <v>6</v>
      </c>
      <c r="Q273" s="136" t="inlineStr">
        <is>
          <t>POTENCIA BT GRANDE (≥95mm²)</t>
        </is>
      </c>
      <c r="R273" s="136" t="inlineStr">
        <is>
          <t>UPS/RECTIF/SSAA</t>
        </is>
      </c>
    </row>
    <row r="274">
      <c r="A274" s="14" t="inlineStr">
        <is>
          <t>P-102-BY-001</t>
        </is>
      </c>
      <c r="B274" s="14" t="inlineStr">
        <is>
          <t>102-CCM-006</t>
        </is>
      </c>
      <c r="C274" s="14" t="inlineStr">
        <is>
          <t>102-BY-001</t>
        </is>
      </c>
      <c r="D274" s="14" t="inlineStr">
        <is>
          <t>380</t>
        </is>
      </c>
      <c r="E274" s="14" t="inlineStr">
        <is>
          <t>20</t>
        </is>
      </c>
      <c r="F274" s="14" t="inlineStr">
        <is>
          <t>1kV-XLPE-RF-CU</t>
        </is>
      </c>
      <c r="G274" s="14" t="inlineStr">
        <is>
          <t>3x150</t>
        </is>
      </c>
      <c r="H274" s="14" t="inlineStr">
        <is>
          <t>SALA ELÉCTRICA 3</t>
        </is>
      </c>
      <c r="I274" s="14" t="inlineStr"/>
      <c r="J274" s="14" t="inlineStr">
        <is>
          <t>POTENCIA_BT</t>
        </is>
      </c>
      <c r="K274" s="14" t="inlineStr">
        <is>
          <t>CPF2</t>
        </is>
      </c>
      <c r="L274" s="137" t="n">
        <v>3</v>
      </c>
      <c r="M274" s="138" t="inlineStr">
        <is>
          <t>NO</t>
        </is>
      </c>
      <c r="N274" s="139" t="n">
        <v>6</v>
      </c>
      <c r="O274" s="140" t="n">
        <v>0</v>
      </c>
      <c r="P274" s="141" t="n">
        <v>6</v>
      </c>
      <c r="Q274" s="136" t="inlineStr">
        <is>
          <t>POTENCIA BT GRANDE (≥95mm²)</t>
        </is>
      </c>
      <c r="R274" s="136" t="inlineStr">
        <is>
          <t>TABLERO/CCM</t>
        </is>
      </c>
    </row>
    <row r="275">
      <c r="A275" s="14" t="inlineStr">
        <is>
          <t>P-102-VCC-001-A</t>
        </is>
      </c>
      <c r="B275" s="14" t="inlineStr">
        <is>
          <t>102-CCM-006</t>
        </is>
      </c>
      <c r="C275" s="14" t="inlineStr">
        <is>
          <t>102-VCC-001-A</t>
        </is>
      </c>
      <c r="D275" s="14" t="inlineStr">
        <is>
          <t>380</t>
        </is>
      </c>
      <c r="E275" s="14" t="inlineStr">
        <is>
          <t>20</t>
        </is>
      </c>
      <c r="F275" s="14" t="inlineStr">
        <is>
          <t>1kV-XLPE-RF-CU</t>
        </is>
      </c>
      <c r="G275" s="14" t="inlineStr">
        <is>
          <t>3x150</t>
        </is>
      </c>
      <c r="H275" s="14" t="inlineStr">
        <is>
          <t>SALA ELÉCTRICA 3</t>
        </is>
      </c>
      <c r="I275" s="14" t="inlineStr"/>
      <c r="J275" s="14" t="inlineStr">
        <is>
          <t>POTENCIA_BT</t>
        </is>
      </c>
      <c r="K275" s="14" t="inlineStr">
        <is>
          <t>CPF2</t>
        </is>
      </c>
      <c r="L275" s="137" t="n">
        <v>3</v>
      </c>
      <c r="M275" s="138" t="inlineStr">
        <is>
          <t>NO</t>
        </is>
      </c>
      <c r="N275" s="139" t="n">
        <v>6</v>
      </c>
      <c r="O275" s="140" t="n">
        <v>0</v>
      </c>
      <c r="P275" s="141" t="n">
        <v>6</v>
      </c>
      <c r="Q275" s="136" t="inlineStr">
        <is>
          <t>POTENCIA BT GRANDE (≥95mm²)</t>
        </is>
      </c>
      <c r="R275" s="136" t="inlineStr">
        <is>
          <t>UPS/RECTIF/SSAA</t>
        </is>
      </c>
    </row>
    <row r="276">
      <c r="A276" s="14" t="inlineStr">
        <is>
          <t>P-102-VCC-001-B</t>
        </is>
      </c>
      <c r="B276" s="14" t="inlineStr">
        <is>
          <t>102-CCM-006</t>
        </is>
      </c>
      <c r="C276" s="14" t="inlineStr">
        <is>
          <t>102-VCC-001-B</t>
        </is>
      </c>
      <c r="D276" s="14" t="inlineStr">
        <is>
          <t>380</t>
        </is>
      </c>
      <c r="E276" s="14" t="inlineStr">
        <is>
          <t>20</t>
        </is>
      </c>
      <c r="F276" s="14" t="inlineStr">
        <is>
          <t>1kV-XLPE-RF-CU</t>
        </is>
      </c>
      <c r="G276" s="14" t="inlineStr">
        <is>
          <t>3x150</t>
        </is>
      </c>
      <c r="H276" s="14" t="inlineStr">
        <is>
          <t>SALA ELÉCTRICA 3</t>
        </is>
      </c>
      <c r="I276" s="14" t="inlineStr"/>
      <c r="J276" s="14" t="inlineStr">
        <is>
          <t>POTENCIA_BT</t>
        </is>
      </c>
      <c r="K276" s="14" t="inlineStr">
        <is>
          <t>CPF2</t>
        </is>
      </c>
      <c r="L276" s="137" t="n">
        <v>3</v>
      </c>
      <c r="M276" s="138" t="inlineStr">
        <is>
          <t>NO</t>
        </is>
      </c>
      <c r="N276" s="139" t="n">
        <v>6</v>
      </c>
      <c r="O276" s="140" t="n">
        <v>0</v>
      </c>
      <c r="P276" s="141" t="n">
        <v>6</v>
      </c>
      <c r="Q276" s="136" t="inlineStr">
        <is>
          <t>POTENCIA BT GRANDE (≥95mm²)</t>
        </is>
      </c>
      <c r="R276" s="136" t="inlineStr">
        <is>
          <t>UPS/RECTIF/SSAA</t>
        </is>
      </c>
    </row>
    <row r="277">
      <c r="A277" s="14" t="inlineStr">
        <is>
          <t>P-102-DP-472</t>
        </is>
      </c>
      <c r="B277" s="14" t="inlineStr">
        <is>
          <t>102-CCM-006</t>
        </is>
      </c>
      <c r="C277" s="14" t="inlineStr">
        <is>
          <t>102-DP-472</t>
        </is>
      </c>
      <c r="D277" s="14" t="inlineStr">
        <is>
          <t>380</t>
        </is>
      </c>
      <c r="E277" s="14" t="inlineStr">
        <is>
          <t>80</t>
        </is>
      </c>
      <c r="F277" s="14" t="inlineStr">
        <is>
          <t>1kV-XLPE-Arm-CU</t>
        </is>
      </c>
      <c r="G277" s="14" t="inlineStr">
        <is>
          <t>3x25/16</t>
        </is>
      </c>
      <c r="H277" s="14" t="inlineStr">
        <is>
          <t>SALA ELÉCTRICA 3</t>
        </is>
      </c>
      <c r="I277" s="14" t="inlineStr"/>
      <c r="J277" s="14" t="inlineStr">
        <is>
          <t>POTENCIA_BT</t>
        </is>
      </c>
      <c r="K277" s="14" t="inlineStr">
        <is>
          <t>CPF2</t>
        </is>
      </c>
      <c r="L277" s="137" t="n">
        <v>4</v>
      </c>
      <c r="M277" s="144" t="inlineStr">
        <is>
          <t>SI</t>
        </is>
      </c>
      <c r="N277" s="139" t="n">
        <v>8</v>
      </c>
      <c r="O277" s="145" t="n">
        <v>2</v>
      </c>
      <c r="P277" s="141" t="n">
        <v>10</v>
      </c>
      <c r="Q277" s="136" t="inlineStr">
        <is>
          <t>POTENCIA BT PEQUEÑA (10-25mm²)</t>
        </is>
      </c>
      <c r="R277" s="136" t="inlineStr">
        <is>
          <t>TABLERO/CCM</t>
        </is>
      </c>
    </row>
    <row r="278">
      <c r="A278" s="14" t="inlineStr">
        <is>
          <t>P-102-LP-102</t>
        </is>
      </c>
      <c r="B278" s="14" t="inlineStr">
        <is>
          <t>102-CCM-006</t>
        </is>
      </c>
      <c r="C278" s="14" t="inlineStr">
        <is>
          <t>102-LP-102</t>
        </is>
      </c>
      <c r="D278" s="14" t="inlineStr">
        <is>
          <t>380</t>
        </is>
      </c>
      <c r="E278" s="14" t="inlineStr">
        <is>
          <t>60</t>
        </is>
      </c>
      <c r="F278" s="14" t="inlineStr">
        <is>
          <t>1kV-XLPE-Arm-CU</t>
        </is>
      </c>
      <c r="G278" s="14" t="inlineStr">
        <is>
          <t>3x50/25</t>
        </is>
      </c>
      <c r="H278" s="14" t="inlineStr">
        <is>
          <t>SALA ELÉCTRICA 3</t>
        </is>
      </c>
      <c r="I278" s="14" t="inlineStr"/>
      <c r="J278" s="14" t="inlineStr">
        <is>
          <t>POTENCIA_BT</t>
        </is>
      </c>
      <c r="K278" s="14" t="inlineStr">
        <is>
          <t>CPF2</t>
        </is>
      </c>
      <c r="L278" s="137" t="n">
        <v>4</v>
      </c>
      <c r="M278" s="144" t="inlineStr">
        <is>
          <t>SI</t>
        </is>
      </c>
      <c r="N278" s="139" t="n">
        <v>8</v>
      </c>
      <c r="O278" s="145" t="n">
        <v>2</v>
      </c>
      <c r="P278" s="141" t="n">
        <v>10</v>
      </c>
      <c r="Q278" s="136" t="inlineStr">
        <is>
          <t>POTENCIA BT MEDIANA (35-70mm²)</t>
        </is>
      </c>
      <c r="R278" s="136" t="inlineStr">
        <is>
          <t>TABLERO/CCM</t>
        </is>
      </c>
    </row>
    <row r="279">
      <c r="A279" s="14" t="inlineStr">
        <is>
          <t>P-102-PC-001</t>
        </is>
      </c>
      <c r="B279" s="14" t="inlineStr">
        <is>
          <t>102-CCM-006</t>
        </is>
      </c>
      <c r="C279" s="14" t="inlineStr">
        <is>
          <t>102-PC-001</t>
        </is>
      </c>
      <c r="D279" s="14" t="inlineStr">
        <is>
          <t>380</t>
        </is>
      </c>
      <c r="E279" s="14" t="inlineStr">
        <is>
          <t>200</t>
        </is>
      </c>
      <c r="F279" s="14" t="inlineStr">
        <is>
          <t>1kV-XLPE-Arm-CU</t>
        </is>
      </c>
      <c r="G279" s="14" t="inlineStr">
        <is>
          <t>3x35/16</t>
        </is>
      </c>
      <c r="H279" s="14" t="inlineStr">
        <is>
          <t>SALA ELÉCTRICA 4</t>
        </is>
      </c>
      <c r="I279" s="14" t="inlineStr">
        <is>
          <t>TABLERO PROTECCION CATODICA 102-UPS-001</t>
        </is>
      </c>
      <c r="J279" s="14" t="inlineStr">
        <is>
          <t>POTENCIA_BT</t>
        </is>
      </c>
      <c r="K279" s="14" t="inlineStr">
        <is>
          <t>CPF2</t>
        </is>
      </c>
      <c r="L279" s="137" t="n">
        <v>4</v>
      </c>
      <c r="M279" s="144" t="inlineStr">
        <is>
          <t>SI</t>
        </is>
      </c>
      <c r="N279" s="139" t="n">
        <v>8</v>
      </c>
      <c r="O279" s="145" t="n">
        <v>2</v>
      </c>
      <c r="P279" s="141" t="n">
        <v>10</v>
      </c>
      <c r="Q279" s="136" t="inlineStr">
        <is>
          <t>POTENCIA BT MEDIANA (35-70mm²)</t>
        </is>
      </c>
      <c r="R279" s="136" t="inlineStr">
        <is>
          <t>TABLERO/CCM</t>
        </is>
      </c>
    </row>
    <row r="280">
      <c r="A280" s="14" t="inlineStr">
        <is>
          <t>P-102-DP-001UPS-A</t>
        </is>
      </c>
      <c r="B280" s="14" t="inlineStr">
        <is>
          <t>102-UPS-001-A</t>
        </is>
      </c>
      <c r="C280" s="14" t="inlineStr">
        <is>
          <t>102-DP-001UPS-A</t>
        </is>
      </c>
      <c r="D280" s="14" t="inlineStr">
        <is>
          <t>220</t>
        </is>
      </c>
      <c r="E280" s="14" t="inlineStr">
        <is>
          <t>10</t>
        </is>
      </c>
      <c r="F280" s="14" t="inlineStr">
        <is>
          <t>1kV-XLPE-RF-CU</t>
        </is>
      </c>
      <c r="G280" s="14" t="inlineStr">
        <is>
          <t>2x95</t>
        </is>
      </c>
      <c r="H280" s="14" t="inlineStr">
        <is>
          <t>SALA ELÉCTRICA 4</t>
        </is>
      </c>
      <c r="I280" s="14" t="inlineStr"/>
      <c r="J280" s="14" t="inlineStr">
        <is>
          <t>POTENCIA_BT</t>
        </is>
      </c>
      <c r="K280" s="14" t="inlineStr">
        <is>
          <t>CPF2</t>
        </is>
      </c>
      <c r="L280" s="137" t="n">
        <v>2</v>
      </c>
      <c r="M280" s="138" t="inlineStr">
        <is>
          <t>NO</t>
        </is>
      </c>
      <c r="N280" s="139" t="n">
        <v>4</v>
      </c>
      <c r="O280" s="140" t="n">
        <v>0</v>
      </c>
      <c r="P280" s="141" t="n">
        <v>4</v>
      </c>
      <c r="Q280" s="136" t="inlineStr">
        <is>
          <t>POTENCIA BT GRANDE (≥95mm²)</t>
        </is>
      </c>
      <c r="R280" s="136" t="inlineStr">
        <is>
          <t>UPS/RECTIF/SSAA</t>
        </is>
      </c>
    </row>
    <row r="281">
      <c r="A281" s="14" t="inlineStr">
        <is>
          <t>P-102-DP-001UPS-B</t>
        </is>
      </c>
      <c r="B281" s="14" t="inlineStr">
        <is>
          <t>102-UPS-001-B</t>
        </is>
      </c>
      <c r="C281" s="14" t="inlineStr">
        <is>
          <t>102-DP-001UPS-B</t>
        </is>
      </c>
      <c r="D281" s="14" t="inlineStr">
        <is>
          <t>220</t>
        </is>
      </c>
      <c r="E281" s="14" t="inlineStr">
        <is>
          <t>10</t>
        </is>
      </c>
      <c r="F281" s="14" t="inlineStr">
        <is>
          <t>1kV-XLPE-RF-CU</t>
        </is>
      </c>
      <c r="G281" s="14" t="inlineStr">
        <is>
          <t>2x95</t>
        </is>
      </c>
      <c r="H281" s="14" t="inlineStr">
        <is>
          <t>SALA ELÉCTRICA 3</t>
        </is>
      </c>
      <c r="I281" s="14" t="inlineStr"/>
      <c r="J281" s="14" t="inlineStr">
        <is>
          <t>POTENCIA_BT</t>
        </is>
      </c>
      <c r="K281" s="14" t="inlineStr">
        <is>
          <t>CPF2</t>
        </is>
      </c>
      <c r="L281" s="137" t="n">
        <v>2</v>
      </c>
      <c r="M281" s="138" t="inlineStr">
        <is>
          <t>NO</t>
        </is>
      </c>
      <c r="N281" s="139" t="n">
        <v>4</v>
      </c>
      <c r="O281" s="140" t="n">
        <v>0</v>
      </c>
      <c r="P281" s="141" t="n">
        <v>4</v>
      </c>
      <c r="Q281" s="136" t="inlineStr">
        <is>
          <t>POTENCIA BT GRANDE (≥95mm²)</t>
        </is>
      </c>
      <c r="R281" s="136" t="inlineStr">
        <is>
          <t>UPS/RECTIF/SSAA</t>
        </is>
      </c>
    </row>
    <row r="282">
      <c r="A282" s="14" t="inlineStr">
        <is>
          <t>P-102-DP-471-A</t>
        </is>
      </c>
      <c r="B282" s="14" t="inlineStr">
        <is>
          <t>102-DP-001UPS-A</t>
        </is>
      </c>
      <c r="C282" s="14" t="inlineStr">
        <is>
          <t>102-DP-471-A</t>
        </is>
      </c>
      <c r="D282" s="14" t="inlineStr">
        <is>
          <t>220</t>
        </is>
      </c>
      <c r="E282" s="14" t="inlineStr">
        <is>
          <t>80</t>
        </is>
      </c>
      <c r="F282" s="14" t="inlineStr">
        <is>
          <t>1kV-XLPE-Arm-RF-CU</t>
        </is>
      </c>
      <c r="G282" s="14" t="inlineStr">
        <is>
          <t>2x35</t>
        </is>
      </c>
      <c r="H282" s="14" t="inlineStr">
        <is>
          <t>SALA ELÉCTRICA 3</t>
        </is>
      </c>
      <c r="I282" s="14" t="inlineStr"/>
      <c r="J282" s="14" t="inlineStr">
        <is>
          <t>POTENCIA_BT</t>
        </is>
      </c>
      <c r="K282" s="14" t="inlineStr">
        <is>
          <t>CPF2</t>
        </is>
      </c>
      <c r="L282" s="137" t="n">
        <v>2</v>
      </c>
      <c r="M282" s="144" t="inlineStr">
        <is>
          <t>SI</t>
        </is>
      </c>
      <c r="N282" s="139" t="n">
        <v>4</v>
      </c>
      <c r="O282" s="145" t="n">
        <v>2</v>
      </c>
      <c r="P282" s="141" t="n">
        <v>6</v>
      </c>
      <c r="Q282" s="136" t="inlineStr">
        <is>
          <t>POTENCIA BT MEDIANA (35-70mm²)</t>
        </is>
      </c>
      <c r="R282" s="136" t="inlineStr">
        <is>
          <t>TABLERO/CCM</t>
        </is>
      </c>
    </row>
    <row r="283">
      <c r="A283" s="14" t="inlineStr">
        <is>
          <t>P-102-PMS-001-A</t>
        </is>
      </c>
      <c r="B283" s="14" t="inlineStr">
        <is>
          <t>102-DP-001UPS-A</t>
        </is>
      </c>
      <c r="C283" s="14" t="inlineStr">
        <is>
          <t>102-PMS-001-A</t>
        </is>
      </c>
      <c r="D283" s="14" t="inlineStr">
        <is>
          <t>220</t>
        </is>
      </c>
      <c r="E283" s="14" t="inlineStr">
        <is>
          <t>20</t>
        </is>
      </c>
      <c r="F283" s="14" t="inlineStr">
        <is>
          <t>1kV-XLPE-CU</t>
        </is>
      </c>
      <c r="G283" s="14" t="inlineStr">
        <is>
          <t>2x4</t>
        </is>
      </c>
      <c r="H283" s="14" t="inlineStr">
        <is>
          <t>SALA ELÉCTRICA 3</t>
        </is>
      </c>
      <c r="I283" s="14" t="inlineStr"/>
      <c r="J283" s="14" t="inlineStr">
        <is>
          <t>POTENCIA_BT</t>
        </is>
      </c>
      <c r="K283" s="14" t="inlineStr">
        <is>
          <t>CPF2</t>
        </is>
      </c>
      <c r="L283" s="137" t="n">
        <v>2</v>
      </c>
      <c r="M283" s="138" t="inlineStr">
        <is>
          <t>NO</t>
        </is>
      </c>
      <c r="N283" s="139" t="n">
        <v>4</v>
      </c>
      <c r="O283" s="140" t="n">
        <v>0</v>
      </c>
      <c r="P283" s="141" t="n">
        <v>4</v>
      </c>
      <c r="Q283" s="136" t="inlineStr">
        <is>
          <t>POTENCIA BT MUY PEQ (&lt;10mm²)</t>
        </is>
      </c>
      <c r="R283" s="136" t="inlineStr">
        <is>
          <t>TABLERO/CCM</t>
        </is>
      </c>
    </row>
    <row r="284">
      <c r="A284" s="14" t="inlineStr">
        <is>
          <t>P-102-DP-101UPS-A</t>
        </is>
      </c>
      <c r="B284" s="14" t="inlineStr">
        <is>
          <t>102-DP-001UPS-A</t>
        </is>
      </c>
      <c r="C284" s="14" t="inlineStr">
        <is>
          <t>102-DP-101UPS-A</t>
        </is>
      </c>
      <c r="D284" s="14" t="inlineStr">
        <is>
          <t>220</t>
        </is>
      </c>
      <c r="E284" s="14" t="inlineStr">
        <is>
          <t>60</t>
        </is>
      </c>
      <c r="F284" s="14" t="inlineStr">
        <is>
          <t>1kV-XLPE-Arm-RF-CU</t>
        </is>
      </c>
      <c r="G284" s="14" t="inlineStr">
        <is>
          <t>2x10</t>
        </is>
      </c>
      <c r="H284" s="14" t="inlineStr">
        <is>
          <t>SALA ELÉCTRICA 3</t>
        </is>
      </c>
      <c r="I284" s="14" t="inlineStr"/>
      <c r="J284" s="14" t="inlineStr">
        <is>
          <t>POTENCIA_BT</t>
        </is>
      </c>
      <c r="K284" s="14" t="inlineStr">
        <is>
          <t>CPF2</t>
        </is>
      </c>
      <c r="L284" s="137" t="n">
        <v>2</v>
      </c>
      <c r="M284" s="144" t="inlineStr">
        <is>
          <t>SI</t>
        </is>
      </c>
      <c r="N284" s="139" t="n">
        <v>4</v>
      </c>
      <c r="O284" s="145" t="n">
        <v>2</v>
      </c>
      <c r="P284" s="141" t="n">
        <v>6</v>
      </c>
      <c r="Q284" s="136" t="inlineStr">
        <is>
          <t>POTENCIA BT PEQUEÑA (10-25mm²)</t>
        </is>
      </c>
      <c r="R284" s="136" t="inlineStr">
        <is>
          <t>UPS/RECTIF/SSAA</t>
        </is>
      </c>
    </row>
    <row r="285">
      <c r="A285" s="14" t="inlineStr">
        <is>
          <t>P-102-PMS-101-A</t>
        </is>
      </c>
      <c r="B285" s="14" t="inlineStr">
        <is>
          <t>102-DP-101UPS-A</t>
        </is>
      </c>
      <c r="C285" s="14" t="inlineStr">
        <is>
          <t>102-PMS-101-A</t>
        </is>
      </c>
      <c r="D285" s="14" t="inlineStr">
        <is>
          <t>220</t>
        </is>
      </c>
      <c r="E285" s="14" t="inlineStr">
        <is>
          <t>60</t>
        </is>
      </c>
      <c r="F285" s="14" t="inlineStr">
        <is>
          <t>1kV-XLPE-CU</t>
        </is>
      </c>
      <c r="G285" s="14" t="inlineStr">
        <is>
          <t>2x4</t>
        </is>
      </c>
      <c r="H285" s="14" t="inlineStr">
        <is>
          <t>SALA ELÉCTRICA 4</t>
        </is>
      </c>
      <c r="I285" s="14" t="inlineStr"/>
      <c r="J285" s="14" t="inlineStr">
        <is>
          <t>POTENCIA_BT</t>
        </is>
      </c>
      <c r="K285" s="14" t="inlineStr">
        <is>
          <t>CPF2</t>
        </is>
      </c>
      <c r="L285" s="137" t="n">
        <v>2</v>
      </c>
      <c r="M285" s="138" t="inlineStr">
        <is>
          <t>NO</t>
        </is>
      </c>
      <c r="N285" s="139" t="n">
        <v>4</v>
      </c>
      <c r="O285" s="140" t="n">
        <v>0</v>
      </c>
      <c r="P285" s="141" t="n">
        <v>4</v>
      </c>
      <c r="Q285" s="136" t="inlineStr">
        <is>
          <t>POTENCIA BT MUY PEQ (&lt;10mm²)</t>
        </is>
      </c>
      <c r="R285" s="136" t="inlineStr">
        <is>
          <t>TABLERO/CCM</t>
        </is>
      </c>
    </row>
    <row r="286">
      <c r="A286" s="14" t="inlineStr">
        <is>
          <t>P-102-CCM-005AUX1</t>
        </is>
      </c>
      <c r="B286" s="14" t="inlineStr">
        <is>
          <t>102-DP-001UPS-A</t>
        </is>
      </c>
      <c r="C286" s="14" t="inlineStr">
        <is>
          <t>102-CCM-005AUX1</t>
        </is>
      </c>
      <c r="D286" s="14" t="inlineStr">
        <is>
          <t>220</t>
        </is>
      </c>
      <c r="E286" s="14" t="inlineStr">
        <is>
          <t>20</t>
        </is>
      </c>
      <c r="F286" s="14" t="inlineStr">
        <is>
          <t>1kV-XLPE-CU</t>
        </is>
      </c>
      <c r="G286" s="14" t="inlineStr">
        <is>
          <t>2x4</t>
        </is>
      </c>
      <c r="H286" s="14" t="inlineStr">
        <is>
          <t>SALA ELÉCTRICA 4</t>
        </is>
      </c>
      <c r="I286" s="14" t="inlineStr">
        <is>
          <t>ALIMENTACIÓN AUXILIAR CCM-005 0</t>
        </is>
      </c>
      <c r="J286" s="14" t="inlineStr">
        <is>
          <t>POTENCIA_BT</t>
        </is>
      </c>
      <c r="K286" s="14" t="inlineStr">
        <is>
          <t>CPF2</t>
        </is>
      </c>
      <c r="L286" s="137" t="n">
        <v>2</v>
      </c>
      <c r="M286" s="138" t="inlineStr">
        <is>
          <t>NO</t>
        </is>
      </c>
      <c r="N286" s="139" t="n">
        <v>4</v>
      </c>
      <c r="O286" s="140" t="n">
        <v>0</v>
      </c>
      <c r="P286" s="141" t="n">
        <v>4</v>
      </c>
      <c r="Q286" s="136" t="inlineStr">
        <is>
          <t>POTENCIA BT MUY PEQ (&lt;10mm²)</t>
        </is>
      </c>
      <c r="R286" s="136" t="inlineStr">
        <is>
          <t>TABLERO/CCM</t>
        </is>
      </c>
    </row>
    <row r="287">
      <c r="A287" s="14" t="inlineStr">
        <is>
          <t>P-102-CCM-005AUX3</t>
        </is>
      </c>
      <c r="B287" s="14" t="inlineStr">
        <is>
          <t>102-DP-001UPS-A</t>
        </is>
      </c>
      <c r="C287" s="14" t="inlineStr">
        <is>
          <t>102-CCM-005AUX3</t>
        </is>
      </c>
      <c r="D287" s="14" t="inlineStr">
        <is>
          <t>220</t>
        </is>
      </c>
      <c r="E287" s="14" t="inlineStr">
        <is>
          <t>20</t>
        </is>
      </c>
      <c r="F287" s="14" t="inlineStr">
        <is>
          <t>1kV-XLPE-CU</t>
        </is>
      </c>
      <c r="G287" s="14" t="inlineStr">
        <is>
          <t>2x4</t>
        </is>
      </c>
      <c r="H287" s="14" t="inlineStr">
        <is>
          <t>SALA ELÉCTRICA 4</t>
        </is>
      </c>
      <c r="I287" s="14" t="inlineStr">
        <is>
          <t>ALIMENTACIÓN AUXILIAR CCM-005 0</t>
        </is>
      </c>
      <c r="J287" s="14" t="inlineStr">
        <is>
          <t>POTENCIA_BT</t>
        </is>
      </c>
      <c r="K287" s="14" t="inlineStr">
        <is>
          <t>CPF2</t>
        </is>
      </c>
      <c r="L287" s="137" t="n">
        <v>2</v>
      </c>
      <c r="M287" s="138" t="inlineStr">
        <is>
          <t>NO</t>
        </is>
      </c>
      <c r="N287" s="139" t="n">
        <v>4</v>
      </c>
      <c r="O287" s="140" t="n">
        <v>0</v>
      </c>
      <c r="P287" s="141" t="n">
        <v>4</v>
      </c>
      <c r="Q287" s="136" t="inlineStr">
        <is>
          <t>POTENCIA BT MUY PEQ (&lt;10mm²)</t>
        </is>
      </c>
      <c r="R287" s="136" t="inlineStr">
        <is>
          <t>TABLERO/CCM</t>
        </is>
      </c>
    </row>
    <row r="288">
      <c r="A288" s="14" t="inlineStr">
        <is>
          <t>P-102-CCM-006AUX1</t>
        </is>
      </c>
      <c r="B288" s="14" t="inlineStr">
        <is>
          <t>102-DP-001UPS-A</t>
        </is>
      </c>
      <c r="C288" s="14" t="inlineStr">
        <is>
          <t>102-CCM-006AUX1</t>
        </is>
      </c>
      <c r="D288" s="14" t="inlineStr">
        <is>
          <t>220</t>
        </is>
      </c>
      <c r="E288" s="14" t="inlineStr">
        <is>
          <t>20</t>
        </is>
      </c>
      <c r="F288" s="14" t="inlineStr">
        <is>
          <t>1kV-XLPE-CU</t>
        </is>
      </c>
      <c r="G288" s="14" t="inlineStr">
        <is>
          <t>2x4</t>
        </is>
      </c>
      <c r="H288" s="14" t="inlineStr">
        <is>
          <t>SALA ELÉCTRICA 4</t>
        </is>
      </c>
      <c r="I288" s="14" t="inlineStr">
        <is>
          <t>ALIMENTACIÓN AUXILIAR CCM-006 0</t>
        </is>
      </c>
      <c r="J288" s="14" t="inlineStr">
        <is>
          <t>POTENCIA_BT</t>
        </is>
      </c>
      <c r="K288" s="14" t="inlineStr">
        <is>
          <t>CPF2</t>
        </is>
      </c>
      <c r="L288" s="137" t="n">
        <v>2</v>
      </c>
      <c r="M288" s="138" t="inlineStr">
        <is>
          <t>NO</t>
        </is>
      </c>
      <c r="N288" s="139" t="n">
        <v>4</v>
      </c>
      <c r="O288" s="140" t="n">
        <v>0</v>
      </c>
      <c r="P288" s="141" t="n">
        <v>4</v>
      </c>
      <c r="Q288" s="136" t="inlineStr">
        <is>
          <t>POTENCIA BT MUY PEQ (&lt;10mm²)</t>
        </is>
      </c>
      <c r="R288" s="136" t="inlineStr">
        <is>
          <t>TABLERO/CCM</t>
        </is>
      </c>
    </row>
    <row r="289">
      <c r="A289" s="14" t="inlineStr">
        <is>
          <t>P-102-CCM-006AUX3</t>
        </is>
      </c>
      <c r="B289" s="14" t="inlineStr">
        <is>
          <t>102-DP-001UPS-A</t>
        </is>
      </c>
      <c r="C289" s="14" t="inlineStr">
        <is>
          <t>102-CCM-006AUX3</t>
        </is>
      </c>
      <c r="D289" s="14" t="inlineStr">
        <is>
          <t>220</t>
        </is>
      </c>
      <c r="E289" s="14" t="inlineStr">
        <is>
          <t>20</t>
        </is>
      </c>
      <c r="F289" s="14" t="inlineStr">
        <is>
          <t>1kV-XLPE-CU</t>
        </is>
      </c>
      <c r="G289" s="14" t="inlineStr">
        <is>
          <t>2x4</t>
        </is>
      </c>
      <c r="H289" s="14" t="inlineStr">
        <is>
          <t>SALA ELÉCTRICA 4</t>
        </is>
      </c>
      <c r="I289" s="14" t="inlineStr">
        <is>
          <t>ALIMENTACIÓN AUXILIAR CCM-006 0</t>
        </is>
      </c>
      <c r="J289" s="14" t="inlineStr">
        <is>
          <t>POTENCIA_BT</t>
        </is>
      </c>
      <c r="K289" s="14" t="inlineStr">
        <is>
          <t>CPF2</t>
        </is>
      </c>
      <c r="L289" s="137" t="n">
        <v>2</v>
      </c>
      <c r="M289" s="138" t="inlineStr">
        <is>
          <t>NO</t>
        </is>
      </c>
      <c r="N289" s="139" t="n">
        <v>4</v>
      </c>
      <c r="O289" s="140" t="n">
        <v>0</v>
      </c>
      <c r="P289" s="141" t="n">
        <v>4</v>
      </c>
      <c r="Q289" s="136" t="inlineStr">
        <is>
          <t>POTENCIA BT MUY PEQ (&lt;10mm²)</t>
        </is>
      </c>
      <c r="R289" s="136" t="inlineStr">
        <is>
          <t>TABLERO/CCM</t>
        </is>
      </c>
    </row>
    <row r="290">
      <c r="A290" s="14" t="inlineStr">
        <is>
          <t>P-102-CCM-006AUX5</t>
        </is>
      </c>
      <c r="B290" s="14" t="inlineStr">
        <is>
          <t>102-DP-001UPS-A</t>
        </is>
      </c>
      <c r="C290" s="14" t="inlineStr">
        <is>
          <t>102-CCM-006AUX5</t>
        </is>
      </c>
      <c r="D290" s="14" t="inlineStr">
        <is>
          <t>220</t>
        </is>
      </c>
      <c r="E290" s="14" t="inlineStr">
        <is>
          <t>20</t>
        </is>
      </c>
      <c r="F290" s="14" t="inlineStr">
        <is>
          <t>1kV-XLPE-CU</t>
        </is>
      </c>
      <c r="G290" s="14" t="inlineStr">
        <is>
          <t>2x4</t>
        </is>
      </c>
      <c r="H290" s="14" t="inlineStr">
        <is>
          <t>SALA ELÉCTRICA 4</t>
        </is>
      </c>
      <c r="I290" s="14" t="inlineStr">
        <is>
          <t>ALIMENTACIÓN AUXILIAR CCM-006 0</t>
        </is>
      </c>
      <c r="J290" s="14" t="inlineStr">
        <is>
          <t>POTENCIA_BT</t>
        </is>
      </c>
      <c r="K290" s="14" t="inlineStr">
        <is>
          <t>CPF2</t>
        </is>
      </c>
      <c r="L290" s="137" t="n">
        <v>2</v>
      </c>
      <c r="M290" s="138" t="inlineStr">
        <is>
          <t>NO</t>
        </is>
      </c>
      <c r="N290" s="139" t="n">
        <v>4</v>
      </c>
      <c r="O290" s="140" t="n">
        <v>0</v>
      </c>
      <c r="P290" s="141" t="n">
        <v>4</v>
      </c>
      <c r="Q290" s="136" t="inlineStr">
        <is>
          <t>POTENCIA BT MUY PEQ (&lt;10mm²)</t>
        </is>
      </c>
      <c r="R290" s="136" t="inlineStr">
        <is>
          <t>TABLERO/CCM</t>
        </is>
      </c>
    </row>
    <row r="291">
      <c r="A291" s="14" t="inlineStr">
        <is>
          <t>P-CPF-CRE-XXX</t>
        </is>
      </c>
      <c r="B291" s="14" t="inlineStr">
        <is>
          <t>102-DP-001UPS-A</t>
        </is>
      </c>
      <c r="C291" s="14" t="inlineStr">
        <is>
          <t>CPF-CRE-XXX</t>
        </is>
      </c>
      <c r="D291" s="14" t="inlineStr">
        <is>
          <t>220</t>
        </is>
      </c>
      <c r="E291" s="14" t="inlineStr">
        <is>
          <t>20</t>
        </is>
      </c>
      <c r="F291" s="14" t="inlineStr">
        <is>
          <t>1kV-XLPE-CU</t>
        </is>
      </c>
      <c r="G291" s="14" t="inlineStr">
        <is>
          <t>2x4</t>
        </is>
      </c>
      <c r="H291" s="14" t="inlineStr">
        <is>
          <t>SALA ELÉCTRICA 4</t>
        </is>
      </c>
      <c r="I291" s="14" t="inlineStr">
        <is>
          <t>CÁMARA IP PARA EXTERIOR 0</t>
        </is>
      </c>
      <c r="J291" s="14" t="inlineStr">
        <is>
          <t>POTENCIA_BT</t>
        </is>
      </c>
      <c r="K291" s="14" t="inlineStr">
        <is>
          <t>CPF2</t>
        </is>
      </c>
      <c r="L291" s="137" t="n">
        <v>2</v>
      </c>
      <c r="M291" s="138" t="inlineStr">
        <is>
          <t>NO</t>
        </is>
      </c>
      <c r="N291" s="139" t="n">
        <v>4</v>
      </c>
      <c r="O291" s="140" t="n">
        <v>0</v>
      </c>
      <c r="P291" s="141" t="n">
        <v>4</v>
      </c>
      <c r="Q291" s="136" t="inlineStr">
        <is>
          <t>POTENCIA BT MUY PEQ (&lt;10mm²)</t>
        </is>
      </c>
      <c r="R291" s="136" t="inlineStr">
        <is>
          <t>TABLERO/CCM</t>
        </is>
      </c>
    </row>
    <row r="292">
      <c r="A292" s="14" t="inlineStr">
        <is>
          <t>P-102-CCM-007AUX1</t>
        </is>
      </c>
      <c r="B292" s="14" t="inlineStr">
        <is>
          <t>102-DP-001UPS-A</t>
        </is>
      </c>
      <c r="C292" s="14" t="inlineStr">
        <is>
          <t>102-CCM-007AUX1</t>
        </is>
      </c>
      <c r="D292" s="14" t="inlineStr">
        <is>
          <t>220</t>
        </is>
      </c>
      <c r="E292" s="14" t="inlineStr">
        <is>
          <t>20</t>
        </is>
      </c>
      <c r="F292" s="14" t="inlineStr">
        <is>
          <t>1kV-XLPE-CU</t>
        </is>
      </c>
      <c r="G292" s="14" t="inlineStr">
        <is>
          <t>2x4</t>
        </is>
      </c>
      <c r="H292" s="14" t="inlineStr">
        <is>
          <t>SALA ELÉCTRICA 4</t>
        </is>
      </c>
      <c r="I292" s="14" t="inlineStr">
        <is>
          <t>ALIMENTACIÓN AUXILIAR CCM-007 0</t>
        </is>
      </c>
      <c r="J292" s="14" t="inlineStr">
        <is>
          <t>POTENCIA_BT</t>
        </is>
      </c>
      <c r="K292" s="14" t="inlineStr">
        <is>
          <t>CPF2</t>
        </is>
      </c>
      <c r="L292" s="137" t="n">
        <v>2</v>
      </c>
      <c r="M292" s="138" t="inlineStr">
        <is>
          <t>NO</t>
        </is>
      </c>
      <c r="N292" s="139" t="n">
        <v>4</v>
      </c>
      <c r="O292" s="140" t="n">
        <v>0</v>
      </c>
      <c r="P292" s="141" t="n">
        <v>4</v>
      </c>
      <c r="Q292" s="136" t="inlineStr">
        <is>
          <t>POTENCIA BT MUY PEQ (&lt;10mm²)</t>
        </is>
      </c>
      <c r="R292" s="136" t="inlineStr">
        <is>
          <t>TABLERO/CCM</t>
        </is>
      </c>
    </row>
    <row r="293">
      <c r="A293" s="14" t="inlineStr">
        <is>
          <t>P-102-CCM-007AUX3</t>
        </is>
      </c>
      <c r="B293" s="14" t="inlineStr">
        <is>
          <t>102-DP-001UPS-A</t>
        </is>
      </c>
      <c r="C293" s="14" t="inlineStr">
        <is>
          <t>102-CCM-007AUX3</t>
        </is>
      </c>
      <c r="D293" s="14" t="inlineStr">
        <is>
          <t>220</t>
        </is>
      </c>
      <c r="E293" s="14" t="inlineStr">
        <is>
          <t>20</t>
        </is>
      </c>
      <c r="F293" s="14" t="inlineStr">
        <is>
          <t>1kV-XLPE-CU</t>
        </is>
      </c>
      <c r="G293" s="14" t="inlineStr">
        <is>
          <t>2x4</t>
        </is>
      </c>
      <c r="H293" s="14" t="inlineStr">
        <is>
          <t>SALA ELÉCTRICA 4</t>
        </is>
      </c>
      <c r="I293" s="14" t="inlineStr">
        <is>
          <t>ALIMENTACIÓN AUXILIAR CCM-007 0</t>
        </is>
      </c>
      <c r="J293" s="14" t="inlineStr">
        <is>
          <t>POTENCIA_BT</t>
        </is>
      </c>
      <c r="K293" s="14" t="inlineStr">
        <is>
          <t>CPF2</t>
        </is>
      </c>
      <c r="L293" s="137" t="n">
        <v>2</v>
      </c>
      <c r="M293" s="138" t="inlineStr">
        <is>
          <t>NO</t>
        </is>
      </c>
      <c r="N293" s="139" t="n">
        <v>4</v>
      </c>
      <c r="O293" s="140" t="n">
        <v>0</v>
      </c>
      <c r="P293" s="141" t="n">
        <v>4</v>
      </c>
      <c r="Q293" s="136" t="inlineStr">
        <is>
          <t>POTENCIA BT MUY PEQ (&lt;10mm²)</t>
        </is>
      </c>
      <c r="R293" s="136" t="inlineStr">
        <is>
          <t>TABLERO/CCM</t>
        </is>
      </c>
    </row>
    <row r="294">
      <c r="A294" s="14" t="inlineStr">
        <is>
          <t>P-102-DP-471-B</t>
        </is>
      </c>
      <c r="B294" s="14" t="inlineStr">
        <is>
          <t>102-DP-001UPS-B</t>
        </is>
      </c>
      <c r="C294" s="14" t="inlineStr">
        <is>
          <t>102-DP-471-B</t>
        </is>
      </c>
      <c r="D294" s="14" t="inlineStr">
        <is>
          <t>220</t>
        </is>
      </c>
      <c r="E294" s="14" t="inlineStr">
        <is>
          <t>80</t>
        </is>
      </c>
      <c r="F294" s="14" t="inlineStr">
        <is>
          <t>1kV-XLPE-Arm-RF-CU</t>
        </is>
      </c>
      <c r="G294" s="14" t="inlineStr">
        <is>
          <t>2x35</t>
        </is>
      </c>
      <c r="H294" s="14" t="inlineStr">
        <is>
          <t>SALA ELÉCTRICA 4</t>
        </is>
      </c>
      <c r="I294" s="14" t="inlineStr"/>
      <c r="J294" s="14" t="inlineStr">
        <is>
          <t>POTENCIA_BT</t>
        </is>
      </c>
      <c r="K294" s="14" t="inlineStr">
        <is>
          <t>CPF2</t>
        </is>
      </c>
      <c r="L294" s="137" t="n">
        <v>2</v>
      </c>
      <c r="M294" s="144" t="inlineStr">
        <is>
          <t>SI</t>
        </is>
      </c>
      <c r="N294" s="139" t="n">
        <v>4</v>
      </c>
      <c r="O294" s="145" t="n">
        <v>2</v>
      </c>
      <c r="P294" s="141" t="n">
        <v>6</v>
      </c>
      <c r="Q294" s="136" t="inlineStr">
        <is>
          <t>POTENCIA BT MEDIANA (35-70mm²)</t>
        </is>
      </c>
      <c r="R294" s="136" t="inlineStr">
        <is>
          <t>TABLERO/CCM</t>
        </is>
      </c>
    </row>
    <row r="295">
      <c r="A295" s="14" t="inlineStr">
        <is>
          <t>P-102-PMS-001-B</t>
        </is>
      </c>
      <c r="B295" s="14" t="inlineStr">
        <is>
          <t>102-DP-001UPS-B</t>
        </is>
      </c>
      <c r="C295" s="14" t="inlineStr">
        <is>
          <t>102-PMS-001-B</t>
        </is>
      </c>
      <c r="D295" s="14" t="inlineStr">
        <is>
          <t>220</t>
        </is>
      </c>
      <c r="E295" s="14" t="inlineStr">
        <is>
          <t>20</t>
        </is>
      </c>
      <c r="F295" s="14" t="inlineStr">
        <is>
          <t>1kV-XLPE-CU</t>
        </is>
      </c>
      <c r="G295" s="14" t="inlineStr">
        <is>
          <t>2x4</t>
        </is>
      </c>
      <c r="H295" s="14" t="inlineStr">
        <is>
          <t>SALA ELÉCTRICA 4</t>
        </is>
      </c>
      <c r="I295" s="14" t="inlineStr"/>
      <c r="J295" s="14" t="inlineStr">
        <is>
          <t>POTENCIA_BT</t>
        </is>
      </c>
      <c r="K295" s="14" t="inlineStr">
        <is>
          <t>CPF2</t>
        </is>
      </c>
      <c r="L295" s="137" t="n">
        <v>2</v>
      </c>
      <c r="M295" s="138" t="inlineStr">
        <is>
          <t>NO</t>
        </is>
      </c>
      <c r="N295" s="139" t="n">
        <v>4</v>
      </c>
      <c r="O295" s="140" t="n">
        <v>0</v>
      </c>
      <c r="P295" s="141" t="n">
        <v>4</v>
      </c>
      <c r="Q295" s="136" t="inlineStr">
        <is>
          <t>POTENCIA BT MUY PEQ (&lt;10mm²)</t>
        </is>
      </c>
      <c r="R295" s="136" t="inlineStr">
        <is>
          <t>TABLERO/CCM</t>
        </is>
      </c>
    </row>
    <row r="296">
      <c r="A296" s="14" t="inlineStr">
        <is>
          <t>P-102-DP-101UPS-B</t>
        </is>
      </c>
      <c r="B296" s="14" t="inlineStr">
        <is>
          <t>102-DP-001UPS-B</t>
        </is>
      </c>
      <c r="C296" s="14" t="inlineStr">
        <is>
          <t>102-DP-101UPS-B</t>
        </is>
      </c>
      <c r="D296" s="14" t="inlineStr">
        <is>
          <t>220</t>
        </is>
      </c>
      <c r="E296" s="14" t="inlineStr">
        <is>
          <t>60</t>
        </is>
      </c>
      <c r="F296" s="14" t="inlineStr">
        <is>
          <t>1kV-XLPE-Arm-RF-CU</t>
        </is>
      </c>
      <c r="G296" s="14" t="inlineStr">
        <is>
          <t>2x10</t>
        </is>
      </c>
      <c r="H296" s="14" t="inlineStr">
        <is>
          <t>SALA ELÉCTRICA 3</t>
        </is>
      </c>
      <c r="I296" s="14" t="inlineStr"/>
      <c r="J296" s="14" t="inlineStr">
        <is>
          <t>POTENCIA_BT</t>
        </is>
      </c>
      <c r="K296" s="14" t="inlineStr">
        <is>
          <t>CPF2</t>
        </is>
      </c>
      <c r="L296" s="137" t="n">
        <v>2</v>
      </c>
      <c r="M296" s="144" t="inlineStr">
        <is>
          <t>SI</t>
        </is>
      </c>
      <c r="N296" s="139" t="n">
        <v>4</v>
      </c>
      <c r="O296" s="145" t="n">
        <v>2</v>
      </c>
      <c r="P296" s="141" t="n">
        <v>6</v>
      </c>
      <c r="Q296" s="136" t="inlineStr">
        <is>
          <t>POTENCIA BT PEQUEÑA (10-25mm²)</t>
        </is>
      </c>
      <c r="R296" s="136" t="inlineStr">
        <is>
          <t>UPS/RECTIF/SSAA</t>
        </is>
      </c>
    </row>
    <row r="297">
      <c r="A297" s="14" t="inlineStr">
        <is>
          <t>P-102-PMS-101-B</t>
        </is>
      </c>
      <c r="B297" s="14" t="inlineStr">
        <is>
          <t>102-DP-101UPS-B</t>
        </is>
      </c>
      <c r="C297" s="14" t="inlineStr">
        <is>
          <t>102-PMS-101-B</t>
        </is>
      </c>
      <c r="D297" s="14" t="inlineStr">
        <is>
          <t>220</t>
        </is>
      </c>
      <c r="E297" s="14" t="inlineStr">
        <is>
          <t>20</t>
        </is>
      </c>
      <c r="F297" s="14" t="inlineStr">
        <is>
          <t>1kV-XLPE-CU</t>
        </is>
      </c>
      <c r="G297" s="14" t="inlineStr">
        <is>
          <t>2x4</t>
        </is>
      </c>
      <c r="H297" s="14" t="inlineStr">
        <is>
          <t>SALA ELÉCTRICA 4</t>
        </is>
      </c>
      <c r="I297" s="14" t="inlineStr"/>
      <c r="J297" s="14" t="inlineStr">
        <is>
          <t>POTENCIA_BT</t>
        </is>
      </c>
      <c r="K297" s="14" t="inlineStr">
        <is>
          <t>CPF2</t>
        </is>
      </c>
      <c r="L297" s="137" t="n">
        <v>2</v>
      </c>
      <c r="M297" s="138" t="inlineStr">
        <is>
          <t>NO</t>
        </is>
      </c>
      <c r="N297" s="139" t="n">
        <v>4</v>
      </c>
      <c r="O297" s="140" t="n">
        <v>0</v>
      </c>
      <c r="P297" s="141" t="n">
        <v>4</v>
      </c>
      <c r="Q297" s="136" t="inlineStr">
        <is>
          <t>POTENCIA BT MUY PEQ (&lt;10mm²)</t>
        </is>
      </c>
      <c r="R297" s="136" t="inlineStr">
        <is>
          <t>TABLERO/CCM</t>
        </is>
      </c>
    </row>
    <row r="298">
      <c r="A298" s="14" t="inlineStr">
        <is>
          <t>P-102-CCM-005AUX2</t>
        </is>
      </c>
      <c r="B298" s="14" t="inlineStr">
        <is>
          <t>102-DP-001UPS-B</t>
        </is>
      </c>
      <c r="C298" s="14" t="inlineStr">
        <is>
          <t>102-CCM-005AUX2</t>
        </is>
      </c>
      <c r="D298" s="14" t="inlineStr">
        <is>
          <t>220</t>
        </is>
      </c>
      <c r="E298" s="14" t="inlineStr">
        <is>
          <t>20</t>
        </is>
      </c>
      <c r="F298" s="14" t="inlineStr">
        <is>
          <t>1kV-XLPE-CU</t>
        </is>
      </c>
      <c r="G298" s="14" t="inlineStr">
        <is>
          <t>2x4</t>
        </is>
      </c>
      <c r="H298" s="14" t="inlineStr">
        <is>
          <t>SALA ELÉCTRICA 4</t>
        </is>
      </c>
      <c r="I298" s="14" t="inlineStr">
        <is>
          <t>ALIMENTACIÓN AUXILIAR CCM-005 0</t>
        </is>
      </c>
      <c r="J298" s="14" t="inlineStr">
        <is>
          <t>POTENCIA_BT</t>
        </is>
      </c>
      <c r="K298" s="14" t="inlineStr">
        <is>
          <t>CPF2</t>
        </is>
      </c>
      <c r="L298" s="137" t="n">
        <v>2</v>
      </c>
      <c r="M298" s="138" t="inlineStr">
        <is>
          <t>NO</t>
        </is>
      </c>
      <c r="N298" s="139" t="n">
        <v>4</v>
      </c>
      <c r="O298" s="140" t="n">
        <v>0</v>
      </c>
      <c r="P298" s="141" t="n">
        <v>4</v>
      </c>
      <c r="Q298" s="136" t="inlineStr">
        <is>
          <t>POTENCIA BT MUY PEQ (&lt;10mm²)</t>
        </is>
      </c>
      <c r="R298" s="136" t="inlineStr">
        <is>
          <t>TABLERO/CCM</t>
        </is>
      </c>
    </row>
    <row r="299">
      <c r="A299" s="14" t="inlineStr">
        <is>
          <t>P-102-CCM-005AUX4</t>
        </is>
      </c>
      <c r="B299" s="14" t="inlineStr">
        <is>
          <t>102-DP-001UPS-B</t>
        </is>
      </c>
      <c r="C299" s="14" t="inlineStr">
        <is>
          <t>102-CCM-005AUX4</t>
        </is>
      </c>
      <c r="D299" s="14" t="inlineStr">
        <is>
          <t>220</t>
        </is>
      </c>
      <c r="E299" s="14" t="inlineStr">
        <is>
          <t>20</t>
        </is>
      </c>
      <c r="F299" s="14" t="inlineStr">
        <is>
          <t>1kV-XLPE-CU</t>
        </is>
      </c>
      <c r="G299" s="14" t="inlineStr">
        <is>
          <t>2x4</t>
        </is>
      </c>
      <c r="H299" s="14" t="inlineStr">
        <is>
          <t>SALA ELÉCTRICA 4</t>
        </is>
      </c>
      <c r="I299" s="14" t="inlineStr">
        <is>
          <t>ALIMENTACIÓN AUXILIAR CCM-005 0</t>
        </is>
      </c>
      <c r="J299" s="14" t="inlineStr">
        <is>
          <t>POTENCIA_BT</t>
        </is>
      </c>
      <c r="K299" s="14" t="inlineStr">
        <is>
          <t>CPF2</t>
        </is>
      </c>
      <c r="L299" s="137" t="n">
        <v>2</v>
      </c>
      <c r="M299" s="138" t="inlineStr">
        <is>
          <t>NO</t>
        </is>
      </c>
      <c r="N299" s="139" t="n">
        <v>4</v>
      </c>
      <c r="O299" s="140" t="n">
        <v>0</v>
      </c>
      <c r="P299" s="141" t="n">
        <v>4</v>
      </c>
      <c r="Q299" s="136" t="inlineStr">
        <is>
          <t>POTENCIA BT MUY PEQ (&lt;10mm²)</t>
        </is>
      </c>
      <c r="R299" s="136" t="inlineStr">
        <is>
          <t>TABLERO/CCM</t>
        </is>
      </c>
    </row>
    <row r="300">
      <c r="A300" s="14" t="inlineStr">
        <is>
          <t>P-102-CCM-006AUX2</t>
        </is>
      </c>
      <c r="B300" s="14" t="inlineStr">
        <is>
          <t>102-DP-001UPS-B</t>
        </is>
      </c>
      <c r="C300" s="14" t="inlineStr">
        <is>
          <t>102-CCM-006AUX2</t>
        </is>
      </c>
      <c r="D300" s="14" t="inlineStr">
        <is>
          <t>220</t>
        </is>
      </c>
      <c r="E300" s="14" t="inlineStr">
        <is>
          <t>20</t>
        </is>
      </c>
      <c r="F300" s="14" t="inlineStr">
        <is>
          <t>1kV-XLPE-CU</t>
        </is>
      </c>
      <c r="G300" s="14" t="inlineStr">
        <is>
          <t>2x4</t>
        </is>
      </c>
      <c r="H300" s="14" t="inlineStr">
        <is>
          <t>SALA ELÉCTRICA 4</t>
        </is>
      </c>
      <c r="I300" s="14" t="inlineStr">
        <is>
          <t>ALIMENTACIÓN AUXILIAR CCM-006 0</t>
        </is>
      </c>
      <c r="J300" s="14" t="inlineStr">
        <is>
          <t>POTENCIA_BT</t>
        </is>
      </c>
      <c r="K300" s="14" t="inlineStr">
        <is>
          <t>CPF2</t>
        </is>
      </c>
      <c r="L300" s="137" t="n">
        <v>2</v>
      </c>
      <c r="M300" s="138" t="inlineStr">
        <is>
          <t>NO</t>
        </is>
      </c>
      <c r="N300" s="139" t="n">
        <v>4</v>
      </c>
      <c r="O300" s="140" t="n">
        <v>0</v>
      </c>
      <c r="P300" s="141" t="n">
        <v>4</v>
      </c>
      <c r="Q300" s="136" t="inlineStr">
        <is>
          <t>POTENCIA BT MUY PEQ (&lt;10mm²)</t>
        </is>
      </c>
      <c r="R300" s="136" t="inlineStr">
        <is>
          <t>TABLERO/CCM</t>
        </is>
      </c>
    </row>
    <row r="301">
      <c r="A301" s="14" t="inlineStr">
        <is>
          <t>P-102-CCM-006AUX4</t>
        </is>
      </c>
      <c r="B301" s="14" t="inlineStr">
        <is>
          <t>102-DP-001UPS-B</t>
        </is>
      </c>
      <c r="C301" s="14" t="inlineStr">
        <is>
          <t>102-CCM-006AUX4</t>
        </is>
      </c>
      <c r="D301" s="14" t="inlineStr">
        <is>
          <t>220</t>
        </is>
      </c>
      <c r="E301" s="14" t="inlineStr">
        <is>
          <t>20</t>
        </is>
      </c>
      <c r="F301" s="14" t="inlineStr">
        <is>
          <t>1kV-XLPE-CU</t>
        </is>
      </c>
      <c r="G301" s="14" t="inlineStr">
        <is>
          <t>2x4</t>
        </is>
      </c>
      <c r="H301" s="14" t="inlineStr">
        <is>
          <t>SALA ELÉCTRICA 4</t>
        </is>
      </c>
      <c r="I301" s="14" t="inlineStr">
        <is>
          <t>ALIMENTACIÓN AUXILIAR CCM-006 0</t>
        </is>
      </c>
      <c r="J301" s="14" t="inlineStr">
        <is>
          <t>POTENCIA_BT</t>
        </is>
      </c>
      <c r="K301" s="14" t="inlineStr">
        <is>
          <t>CPF2</t>
        </is>
      </c>
      <c r="L301" s="137" t="n">
        <v>2</v>
      </c>
      <c r="M301" s="138" t="inlineStr">
        <is>
          <t>NO</t>
        </is>
      </c>
      <c r="N301" s="139" t="n">
        <v>4</v>
      </c>
      <c r="O301" s="140" t="n">
        <v>0</v>
      </c>
      <c r="P301" s="141" t="n">
        <v>4</v>
      </c>
      <c r="Q301" s="136" t="inlineStr">
        <is>
          <t>POTENCIA BT MUY PEQ (&lt;10mm²)</t>
        </is>
      </c>
      <c r="R301" s="136" t="inlineStr">
        <is>
          <t>TABLERO/CCM</t>
        </is>
      </c>
    </row>
    <row r="302">
      <c r="A302" s="14" t="inlineStr">
        <is>
          <t>P-102-CCM-006AUX6</t>
        </is>
      </c>
      <c r="B302" s="14" t="inlineStr">
        <is>
          <t>102-DP-001UPS-B</t>
        </is>
      </c>
      <c r="C302" s="14" t="inlineStr">
        <is>
          <t>102-CCM-006AUX6</t>
        </is>
      </c>
      <c r="D302" s="14" t="inlineStr">
        <is>
          <t>220</t>
        </is>
      </c>
      <c r="E302" s="14" t="inlineStr">
        <is>
          <t>20</t>
        </is>
      </c>
      <c r="F302" s="14" t="inlineStr">
        <is>
          <t>1kV-XLPE-CU</t>
        </is>
      </c>
      <c r="G302" s="14" t="inlineStr">
        <is>
          <t>2x4</t>
        </is>
      </c>
      <c r="H302" s="14" t="inlineStr">
        <is>
          <t>SALA ELÉCTRICA 4</t>
        </is>
      </c>
      <c r="I302" s="14" t="inlineStr">
        <is>
          <t>ALIMENTACIÓN AUXILIAR CCM-006 0</t>
        </is>
      </c>
      <c r="J302" s="14" t="inlineStr">
        <is>
          <t>POTENCIA_BT</t>
        </is>
      </c>
      <c r="K302" s="14" t="inlineStr">
        <is>
          <t>CPF2</t>
        </is>
      </c>
      <c r="L302" s="137" t="n">
        <v>2</v>
      </c>
      <c r="M302" s="138" t="inlineStr">
        <is>
          <t>NO</t>
        </is>
      </c>
      <c r="N302" s="139" t="n">
        <v>4</v>
      </c>
      <c r="O302" s="140" t="n">
        <v>0</v>
      </c>
      <c r="P302" s="141" t="n">
        <v>4</v>
      </c>
      <c r="Q302" s="136" t="inlineStr">
        <is>
          <t>POTENCIA BT MUY PEQ (&lt;10mm²)</t>
        </is>
      </c>
      <c r="R302" s="136" t="inlineStr">
        <is>
          <t>TABLERO/CCM</t>
        </is>
      </c>
    </row>
    <row r="303">
      <c r="A303" s="14" t="inlineStr">
        <is>
          <t>P-102-CCM-007AUX2</t>
        </is>
      </c>
      <c r="B303" s="14" t="inlineStr">
        <is>
          <t>102-DP-001UPS-B</t>
        </is>
      </c>
      <c r="C303" s="14" t="inlineStr">
        <is>
          <t>102-CCM-007AUX2</t>
        </is>
      </c>
      <c r="D303" s="14" t="inlineStr">
        <is>
          <t>220</t>
        </is>
      </c>
      <c r="E303" s="14" t="inlineStr">
        <is>
          <t>20</t>
        </is>
      </c>
      <c r="F303" s="14" t="inlineStr">
        <is>
          <t>1kV-XLPE-CU</t>
        </is>
      </c>
      <c r="G303" s="14" t="inlineStr">
        <is>
          <t>2x4</t>
        </is>
      </c>
      <c r="H303" s="14" t="inlineStr">
        <is>
          <t>SALA ELÉCTRICA 4</t>
        </is>
      </c>
      <c r="I303" s="14" t="inlineStr">
        <is>
          <t>ALIMENTACIÓN AUXILIAR CCM-007 0</t>
        </is>
      </c>
      <c r="J303" s="14" t="inlineStr">
        <is>
          <t>POTENCIA_BT</t>
        </is>
      </c>
      <c r="K303" s="14" t="inlineStr">
        <is>
          <t>CPF2</t>
        </is>
      </c>
      <c r="L303" s="137" t="n">
        <v>2</v>
      </c>
      <c r="M303" s="138" t="inlineStr">
        <is>
          <t>NO</t>
        </is>
      </c>
      <c r="N303" s="139" t="n">
        <v>4</v>
      </c>
      <c r="O303" s="140" t="n">
        <v>0</v>
      </c>
      <c r="P303" s="141" t="n">
        <v>4</v>
      </c>
      <c r="Q303" s="136" t="inlineStr">
        <is>
          <t>POTENCIA BT MUY PEQ (&lt;10mm²)</t>
        </is>
      </c>
      <c r="R303" s="136" t="inlineStr">
        <is>
          <t>TABLERO/CCM</t>
        </is>
      </c>
    </row>
    <row r="304">
      <c r="A304" s="14" t="inlineStr">
        <is>
          <t>P-102-CCM-007AUX4</t>
        </is>
      </c>
      <c r="B304" s="14" t="inlineStr">
        <is>
          <t>102-DP-001UPS-B</t>
        </is>
      </c>
      <c r="C304" s="14" t="inlineStr">
        <is>
          <t>102-CCM-007AUX4</t>
        </is>
      </c>
      <c r="D304" s="14" t="inlineStr">
        <is>
          <t>220</t>
        </is>
      </c>
      <c r="E304" s="14" t="inlineStr">
        <is>
          <t>20</t>
        </is>
      </c>
      <c r="F304" s="14" t="inlineStr">
        <is>
          <t>1kV-XLPE-CU</t>
        </is>
      </c>
      <c r="G304" s="14" t="inlineStr">
        <is>
          <t>2x4</t>
        </is>
      </c>
      <c r="H304" s="14" t="inlineStr">
        <is>
          <t>SALA ELÉCTRICA 4</t>
        </is>
      </c>
      <c r="I304" s="14" t="inlineStr">
        <is>
          <t>ALIMENTACIÓN AUXILIAR CCM-007 0</t>
        </is>
      </c>
      <c r="J304" s="14" t="inlineStr">
        <is>
          <t>POTENCIA_BT</t>
        </is>
      </c>
      <c r="K304" s="14" t="inlineStr">
        <is>
          <t>CPF2</t>
        </is>
      </c>
      <c r="L304" s="137" t="n">
        <v>2</v>
      </c>
      <c r="M304" s="138" t="inlineStr">
        <is>
          <t>NO</t>
        </is>
      </c>
      <c r="N304" s="139" t="n">
        <v>4</v>
      </c>
      <c r="O304" s="140" t="n">
        <v>0</v>
      </c>
      <c r="P304" s="141" t="n">
        <v>4</v>
      </c>
      <c r="Q304" s="136" t="inlineStr">
        <is>
          <t>POTENCIA BT MUY PEQ (&lt;10mm²)</t>
        </is>
      </c>
      <c r="R304" s="136" t="inlineStr">
        <is>
          <t>TABLERO/CCM</t>
        </is>
      </c>
    </row>
    <row r="305">
      <c r="A305" s="14" t="inlineStr">
        <is>
          <t>P-102-BB-001A</t>
        </is>
      </c>
      <c r="B305" s="14" t="inlineStr">
        <is>
          <t>102-UPS-001-A</t>
        </is>
      </c>
      <c r="C305" s="14" t="inlineStr">
        <is>
          <t>102-BB-001A</t>
        </is>
      </c>
      <c r="D305" s="14" t="inlineStr">
        <is>
          <t>220</t>
        </is>
      </c>
      <c r="E305" s="14" t="inlineStr">
        <is>
          <t>10</t>
        </is>
      </c>
      <c r="F305" s="14" t="inlineStr">
        <is>
          <t>1kV-XLPE-RF-CU</t>
        </is>
      </c>
      <c r="G305" s="14" t="inlineStr">
        <is>
          <t>2x120</t>
        </is>
      </c>
      <c r="H305" s="14" t="inlineStr">
        <is>
          <t>SALA ELÉCTRICA 4</t>
        </is>
      </c>
      <c r="I305" s="14" t="inlineStr"/>
      <c r="J305" s="14" t="inlineStr">
        <is>
          <t>POTENCIA_BT</t>
        </is>
      </c>
      <c r="K305" s="14" t="inlineStr">
        <is>
          <t>CPF2</t>
        </is>
      </c>
      <c r="L305" s="137" t="n">
        <v>2</v>
      </c>
      <c r="M305" s="138" t="inlineStr">
        <is>
          <t>NO</t>
        </is>
      </c>
      <c r="N305" s="139" t="n">
        <v>4</v>
      </c>
      <c r="O305" s="140" t="n">
        <v>0</v>
      </c>
      <c r="P305" s="141" t="n">
        <v>4</v>
      </c>
      <c r="Q305" s="136" t="inlineStr">
        <is>
          <t>POTENCIA BT GRANDE (≥95mm²)</t>
        </is>
      </c>
      <c r="R305" s="136" t="inlineStr">
        <is>
          <t>INSTRUMENTO/SENSOR</t>
        </is>
      </c>
    </row>
    <row r="306">
      <c r="A306" s="14" t="inlineStr">
        <is>
          <t>P-102-BB-001B</t>
        </is>
      </c>
      <c r="B306" s="14" t="inlineStr">
        <is>
          <t>102-UPS-001-B</t>
        </is>
      </c>
      <c r="C306" s="14" t="inlineStr">
        <is>
          <t>102-BB-001B</t>
        </is>
      </c>
      <c r="D306" s="14" t="inlineStr">
        <is>
          <t>220</t>
        </is>
      </c>
      <c r="E306" s="14" t="inlineStr">
        <is>
          <t>10</t>
        </is>
      </c>
      <c r="F306" s="14" t="inlineStr">
        <is>
          <t>1kV-XLPE-RF-CU</t>
        </is>
      </c>
      <c r="G306" s="14" t="inlineStr">
        <is>
          <t>2x120</t>
        </is>
      </c>
      <c r="H306" s="14" t="inlineStr">
        <is>
          <t>SALA ELÉCTRICA 3</t>
        </is>
      </c>
      <c r="I306" s="14" t="inlineStr"/>
      <c r="J306" s="14" t="inlineStr">
        <is>
          <t>POTENCIA_BT</t>
        </is>
      </c>
      <c r="K306" s="14" t="inlineStr">
        <is>
          <t>CPF2</t>
        </is>
      </c>
      <c r="L306" s="137" t="n">
        <v>2</v>
      </c>
      <c r="M306" s="138" t="inlineStr">
        <is>
          <t>NO</t>
        </is>
      </c>
      <c r="N306" s="139" t="n">
        <v>4</v>
      </c>
      <c r="O306" s="140" t="n">
        <v>0</v>
      </c>
      <c r="P306" s="141" t="n">
        <v>4</v>
      </c>
      <c r="Q306" s="136" t="inlineStr">
        <is>
          <t>POTENCIA BT GRANDE (≥95mm²)</t>
        </is>
      </c>
      <c r="R306" s="136" t="inlineStr">
        <is>
          <t>INSTRUMENTO/SENSOR</t>
        </is>
      </c>
    </row>
    <row r="307">
      <c r="A307" s="14" t="inlineStr">
        <is>
          <t>P-102-DP-001VCCA</t>
        </is>
      </c>
      <c r="B307" s="14" t="inlineStr">
        <is>
          <t>102-VCC-001-A</t>
        </is>
      </c>
      <c r="C307" s="14" t="inlineStr">
        <is>
          <t>102-DP-001VCCA</t>
        </is>
      </c>
      <c r="D307" s="14" t="inlineStr">
        <is>
          <t>110</t>
        </is>
      </c>
      <c r="E307" s="14" t="inlineStr">
        <is>
          <t>10</t>
        </is>
      </c>
      <c r="F307" s="14" t="inlineStr">
        <is>
          <t>1kV-XLPE-RF-CU</t>
        </is>
      </c>
      <c r="G307" s="14" t="inlineStr">
        <is>
          <t>2x95</t>
        </is>
      </c>
      <c r="H307" s="14" t="inlineStr">
        <is>
          <t>SALA ELÉCTRICA 3</t>
        </is>
      </c>
      <c r="I307" s="14" t="inlineStr"/>
      <c r="J307" s="14" t="inlineStr">
        <is>
          <t>CONTROL</t>
        </is>
      </c>
      <c r="K307" s="14" t="inlineStr">
        <is>
          <t>CPF2</t>
        </is>
      </c>
      <c r="L307" s="137" t="n">
        <v>2</v>
      </c>
      <c r="M307" s="138" t="inlineStr">
        <is>
          <t>NO</t>
        </is>
      </c>
      <c r="N307" s="139" t="n">
        <v>4</v>
      </c>
      <c r="O307" s="140" t="n">
        <v>0</v>
      </c>
      <c r="P307" s="141" t="n">
        <v>4</v>
      </c>
      <c r="Q307" s="136" t="inlineStr">
        <is>
          <t>CONTROL</t>
        </is>
      </c>
      <c r="R307" s="136" t="inlineStr">
        <is>
          <t>UPS/RECTIF/SSAA</t>
        </is>
      </c>
    </row>
    <row r="308">
      <c r="A308" s="14" t="inlineStr">
        <is>
          <t>P-102-DP-001VCCB</t>
        </is>
      </c>
      <c r="B308" s="14" t="inlineStr">
        <is>
          <t>102-VCC-001-B</t>
        </is>
      </c>
      <c r="C308" s="14" t="inlineStr">
        <is>
          <t>102-DP-001VCCB</t>
        </is>
      </c>
      <c r="D308" s="14" t="inlineStr">
        <is>
          <t>110</t>
        </is>
      </c>
      <c r="E308" s="14" t="inlineStr">
        <is>
          <t>10</t>
        </is>
      </c>
      <c r="F308" s="14" t="inlineStr">
        <is>
          <t>1kV-XLPE-RF-CU</t>
        </is>
      </c>
      <c r="G308" s="14" t="inlineStr">
        <is>
          <t>2x95</t>
        </is>
      </c>
      <c r="H308" s="14" t="inlineStr">
        <is>
          <t>SALA ELÉCTRICA 3</t>
        </is>
      </c>
      <c r="I308" s="14" t="inlineStr"/>
      <c r="J308" s="14" t="inlineStr">
        <is>
          <t>CONTROL</t>
        </is>
      </c>
      <c r="K308" s="14" t="inlineStr">
        <is>
          <t>CPF2</t>
        </is>
      </c>
      <c r="L308" s="137" t="n">
        <v>2</v>
      </c>
      <c r="M308" s="138" t="inlineStr">
        <is>
          <t>NO</t>
        </is>
      </c>
      <c r="N308" s="139" t="n">
        <v>4</v>
      </c>
      <c r="O308" s="140" t="n">
        <v>0</v>
      </c>
      <c r="P308" s="141" t="n">
        <v>4</v>
      </c>
      <c r="Q308" s="136" t="inlineStr">
        <is>
          <t>CONTROL</t>
        </is>
      </c>
      <c r="R308" s="136" t="inlineStr">
        <is>
          <t>UPS/RECTIF/SSAA</t>
        </is>
      </c>
    </row>
    <row r="309">
      <c r="A309" s="14" t="inlineStr">
        <is>
          <t>P-102-DP-101VCC</t>
        </is>
      </c>
      <c r="B309" s="14" t="inlineStr">
        <is>
          <t>102-DP-001VCC</t>
        </is>
      </c>
      <c r="C309" s="14" t="inlineStr">
        <is>
          <t>102-DP-101VCC</t>
        </is>
      </c>
      <c r="D309" s="14" t="inlineStr">
        <is>
          <t>110</t>
        </is>
      </c>
      <c r="E309" s="14" t="inlineStr">
        <is>
          <t>60</t>
        </is>
      </c>
      <c r="F309" s="14" t="inlineStr">
        <is>
          <t>1kV-XLPE-Arm-RF-CU</t>
        </is>
      </c>
      <c r="G309" s="14" t="inlineStr">
        <is>
          <t>2x50</t>
        </is>
      </c>
      <c r="H309" s="14" t="inlineStr">
        <is>
          <t>SALA ELÉCTRICA 3</t>
        </is>
      </c>
      <c r="I309" s="14" t="inlineStr"/>
      <c r="J309" s="14" t="inlineStr">
        <is>
          <t>CONTROL</t>
        </is>
      </c>
      <c r="K309" s="14" t="inlineStr">
        <is>
          <t>CPF2</t>
        </is>
      </c>
      <c r="L309" s="137" t="n">
        <v>2</v>
      </c>
      <c r="M309" s="144" t="inlineStr">
        <is>
          <t>SI</t>
        </is>
      </c>
      <c r="N309" s="139" t="n">
        <v>4</v>
      </c>
      <c r="O309" s="145" t="n">
        <v>2</v>
      </c>
      <c r="P309" s="141" t="n">
        <v>6</v>
      </c>
      <c r="Q309" s="136" t="inlineStr">
        <is>
          <t>CONTROL</t>
        </is>
      </c>
      <c r="R309" s="136" t="inlineStr">
        <is>
          <t>UPS/RECTIF/SSAA</t>
        </is>
      </c>
    </row>
    <row r="310">
      <c r="A310" s="14" t="inlineStr">
        <is>
          <t>P-102-CCM-005AUX1CC</t>
        </is>
      </c>
      <c r="B310" s="14" t="inlineStr">
        <is>
          <t>102-DP-001VCC</t>
        </is>
      </c>
      <c r="C310" s="14" t="inlineStr">
        <is>
          <t>102-CCM-005AUX1CC</t>
        </is>
      </c>
      <c r="D310" s="14" t="inlineStr">
        <is>
          <t>110</t>
        </is>
      </c>
      <c r="E310" s="14" t="inlineStr">
        <is>
          <t>20</t>
        </is>
      </c>
      <c r="F310" s="14" t="inlineStr">
        <is>
          <t>1kV-XLPE-CU</t>
        </is>
      </c>
      <c r="G310" s="14" t="inlineStr">
        <is>
          <t>2x4</t>
        </is>
      </c>
      <c r="H310" s="14" t="inlineStr">
        <is>
          <t>SALA ELÉCTRICA 4</t>
        </is>
      </c>
      <c r="I310" s="14" t="inlineStr">
        <is>
          <t>ALIMENTACIÓN AUXILIAR CCM-005 A</t>
        </is>
      </c>
      <c r="J310" s="14" t="inlineStr">
        <is>
          <t>CONTROL</t>
        </is>
      </c>
      <c r="K310" s="14" t="inlineStr">
        <is>
          <t>CPF2</t>
        </is>
      </c>
      <c r="L310" s="137" t="n">
        <v>2</v>
      </c>
      <c r="M310" s="138" t="inlineStr">
        <is>
          <t>NO</t>
        </is>
      </c>
      <c r="N310" s="139" t="n">
        <v>4</v>
      </c>
      <c r="O310" s="140" t="n">
        <v>0</v>
      </c>
      <c r="P310" s="141" t="n">
        <v>4</v>
      </c>
      <c r="Q310" s="136" t="inlineStr">
        <is>
          <t>CONTROL</t>
        </is>
      </c>
      <c r="R310" s="136" t="inlineStr">
        <is>
          <t>TABLERO/CCM</t>
        </is>
      </c>
    </row>
    <row r="311">
      <c r="A311" s="14" t="inlineStr">
        <is>
          <t>P-102-CCM-005AUX2CC</t>
        </is>
      </c>
      <c r="B311" s="14" t="inlineStr">
        <is>
          <t>102-DP-001VCC</t>
        </is>
      </c>
      <c r="C311" s="14" t="inlineStr">
        <is>
          <t>102-CCM-005AUX2CC</t>
        </is>
      </c>
      <c r="D311" s="14" t="inlineStr">
        <is>
          <t>110</t>
        </is>
      </c>
      <c r="E311" s="14" t="inlineStr">
        <is>
          <t>20</t>
        </is>
      </c>
      <c r="F311" s="14" t="inlineStr">
        <is>
          <t>1kV-XLPE-CU</t>
        </is>
      </c>
      <c r="G311" s="14" t="inlineStr">
        <is>
          <t>2x4</t>
        </is>
      </c>
      <c r="H311" s="14" t="inlineStr">
        <is>
          <t>SALA ELÉCTRICA 4</t>
        </is>
      </c>
      <c r="I311" s="14" t="inlineStr">
        <is>
          <t>ALIMENTACIÓN AUXILIAR CCM-005 A</t>
        </is>
      </c>
      <c r="J311" s="14" t="inlineStr">
        <is>
          <t>CONTROL</t>
        </is>
      </c>
      <c r="K311" s="14" t="inlineStr">
        <is>
          <t>CPF2</t>
        </is>
      </c>
      <c r="L311" s="137" t="n">
        <v>2</v>
      </c>
      <c r="M311" s="138" t="inlineStr">
        <is>
          <t>NO</t>
        </is>
      </c>
      <c r="N311" s="139" t="n">
        <v>4</v>
      </c>
      <c r="O311" s="140" t="n">
        <v>0</v>
      </c>
      <c r="P311" s="141" t="n">
        <v>4</v>
      </c>
      <c r="Q311" s="136" t="inlineStr">
        <is>
          <t>CONTROL</t>
        </is>
      </c>
      <c r="R311" s="136" t="inlineStr">
        <is>
          <t>TABLERO/CCM</t>
        </is>
      </c>
    </row>
    <row r="312">
      <c r="A312" s="14" t="inlineStr">
        <is>
          <t>P-102-CCM-006AUX1CC</t>
        </is>
      </c>
      <c r="B312" s="14" t="inlineStr">
        <is>
          <t>102-DP-001VCC</t>
        </is>
      </c>
      <c r="C312" s="14" t="inlineStr">
        <is>
          <t>102-CCM-006AUX1CC</t>
        </is>
      </c>
      <c r="D312" s="14" t="inlineStr">
        <is>
          <t>110</t>
        </is>
      </c>
      <c r="E312" s="14" t="inlineStr">
        <is>
          <t>20</t>
        </is>
      </c>
      <c r="F312" s="14" t="inlineStr">
        <is>
          <t>1kV-XLPE-CU</t>
        </is>
      </c>
      <c r="G312" s="14" t="inlineStr">
        <is>
          <t>2x4</t>
        </is>
      </c>
      <c r="H312" s="14" t="inlineStr">
        <is>
          <t>SALA ELÉCTRICA 4</t>
        </is>
      </c>
      <c r="I312" s="14" t="inlineStr">
        <is>
          <t>ALIMENTACIÓN AUXILIAR CCM-006 A</t>
        </is>
      </c>
      <c r="J312" s="14" t="inlineStr">
        <is>
          <t>CONTROL</t>
        </is>
      </c>
      <c r="K312" s="14" t="inlineStr">
        <is>
          <t>CPF2</t>
        </is>
      </c>
      <c r="L312" s="137" t="n">
        <v>2</v>
      </c>
      <c r="M312" s="138" t="inlineStr">
        <is>
          <t>NO</t>
        </is>
      </c>
      <c r="N312" s="139" t="n">
        <v>4</v>
      </c>
      <c r="O312" s="140" t="n">
        <v>0</v>
      </c>
      <c r="P312" s="141" t="n">
        <v>4</v>
      </c>
      <c r="Q312" s="136" t="inlineStr">
        <is>
          <t>CONTROL</t>
        </is>
      </c>
      <c r="R312" s="136" t="inlineStr">
        <is>
          <t>TABLERO/CCM</t>
        </is>
      </c>
    </row>
    <row r="313">
      <c r="A313" s="14" t="inlineStr">
        <is>
          <t>P-102-CCM-006AUX2CC</t>
        </is>
      </c>
      <c r="B313" s="14" t="inlineStr">
        <is>
          <t>102-DP-001VCC</t>
        </is>
      </c>
      <c r="C313" s="14" t="inlineStr">
        <is>
          <t>102-CCM-006AUX2CC</t>
        </is>
      </c>
      <c r="D313" s="14" t="inlineStr">
        <is>
          <t>110</t>
        </is>
      </c>
      <c r="E313" s="14" t="inlineStr">
        <is>
          <t>20</t>
        </is>
      </c>
      <c r="F313" s="14" t="inlineStr">
        <is>
          <t>1kV-XLPE-CU</t>
        </is>
      </c>
      <c r="G313" s="14" t="inlineStr">
        <is>
          <t>2x4</t>
        </is>
      </c>
      <c r="H313" s="14" t="inlineStr">
        <is>
          <t>SALA ELÉCTRICA 4</t>
        </is>
      </c>
      <c r="I313" s="14" t="inlineStr">
        <is>
          <t>ALIMENTACIÓN AUXILIAR CCM-006 A</t>
        </is>
      </c>
      <c r="J313" s="14" t="inlineStr">
        <is>
          <t>CONTROL</t>
        </is>
      </c>
      <c r="K313" s="14" t="inlineStr">
        <is>
          <t>CPF2</t>
        </is>
      </c>
      <c r="L313" s="137" t="n">
        <v>2</v>
      </c>
      <c r="M313" s="138" t="inlineStr">
        <is>
          <t>NO</t>
        </is>
      </c>
      <c r="N313" s="139" t="n">
        <v>4</v>
      </c>
      <c r="O313" s="140" t="n">
        <v>0</v>
      </c>
      <c r="P313" s="141" t="n">
        <v>4</v>
      </c>
      <c r="Q313" s="136" t="inlineStr">
        <is>
          <t>CONTROL</t>
        </is>
      </c>
      <c r="R313" s="136" t="inlineStr">
        <is>
          <t>TABLERO/CCM</t>
        </is>
      </c>
    </row>
    <row r="314">
      <c r="A314" s="14" t="inlineStr">
        <is>
          <t>P-102-CCM-006AUX3CC</t>
        </is>
      </c>
      <c r="B314" s="14" t="inlineStr">
        <is>
          <t>102-DP-001VCC</t>
        </is>
      </c>
      <c r="C314" s="14" t="inlineStr">
        <is>
          <t>102-CCM-006AUX3CC</t>
        </is>
      </c>
      <c r="D314" s="14" t="inlineStr">
        <is>
          <t>110</t>
        </is>
      </c>
      <c r="E314" s="14" t="inlineStr">
        <is>
          <t>20</t>
        </is>
      </c>
      <c r="F314" s="14" t="inlineStr">
        <is>
          <t>1kV-XLPE-CU</t>
        </is>
      </c>
      <c r="G314" s="14" t="inlineStr">
        <is>
          <t>2x4</t>
        </is>
      </c>
      <c r="H314" s="14" t="inlineStr">
        <is>
          <t>SALA ELÉCTRICA 4</t>
        </is>
      </c>
      <c r="I314" s="14" t="inlineStr">
        <is>
          <t>ALIMENTACIÓN AUXILIAR CCM-006 A</t>
        </is>
      </c>
      <c r="J314" s="14" t="inlineStr">
        <is>
          <t>CONTROL</t>
        </is>
      </c>
      <c r="K314" s="14" t="inlineStr">
        <is>
          <t>CPF2</t>
        </is>
      </c>
      <c r="L314" s="137" t="n">
        <v>2</v>
      </c>
      <c r="M314" s="138" t="inlineStr">
        <is>
          <t>NO</t>
        </is>
      </c>
      <c r="N314" s="139" t="n">
        <v>4</v>
      </c>
      <c r="O314" s="140" t="n">
        <v>0</v>
      </c>
      <c r="P314" s="141" t="n">
        <v>4</v>
      </c>
      <c r="Q314" s="136" t="inlineStr">
        <is>
          <t>CONTROL</t>
        </is>
      </c>
      <c r="R314" s="136" t="inlineStr">
        <is>
          <t>TABLERO/CCM</t>
        </is>
      </c>
    </row>
    <row r="315">
      <c r="A315" s="14" t="inlineStr">
        <is>
          <t>P-102-CCM-007AUX1CC</t>
        </is>
      </c>
      <c r="B315" s="14" t="inlineStr">
        <is>
          <t>102-DP-001VCC</t>
        </is>
      </c>
      <c r="C315" s="14" t="inlineStr">
        <is>
          <t>102-CCM-007AUX1CC</t>
        </is>
      </c>
      <c r="D315" s="14" t="inlineStr">
        <is>
          <t>110</t>
        </is>
      </c>
      <c r="E315" s="14" t="inlineStr">
        <is>
          <t>20</t>
        </is>
      </c>
      <c r="F315" s="14" t="inlineStr">
        <is>
          <t>1kV-XLPE-CU</t>
        </is>
      </c>
      <c r="G315" s="14" t="inlineStr">
        <is>
          <t>2x4</t>
        </is>
      </c>
      <c r="H315" s="14" t="inlineStr">
        <is>
          <t>SALA ELÉCTRICA 4</t>
        </is>
      </c>
      <c r="I315" s="14" t="inlineStr">
        <is>
          <t>ALIMENTACIÓN AUXILIAR CCM-007 A</t>
        </is>
      </c>
      <c r="J315" s="14" t="inlineStr">
        <is>
          <t>CONTROL</t>
        </is>
      </c>
      <c r="K315" s="14" t="inlineStr">
        <is>
          <t>CPF2</t>
        </is>
      </c>
      <c r="L315" s="137" t="n">
        <v>2</v>
      </c>
      <c r="M315" s="138" t="inlineStr">
        <is>
          <t>NO</t>
        </is>
      </c>
      <c r="N315" s="139" t="n">
        <v>4</v>
      </c>
      <c r="O315" s="140" t="n">
        <v>0</v>
      </c>
      <c r="P315" s="141" t="n">
        <v>4</v>
      </c>
      <c r="Q315" s="136" t="inlineStr">
        <is>
          <t>CONTROL</t>
        </is>
      </c>
      <c r="R315" s="136" t="inlineStr">
        <is>
          <t>TABLERO/CCM</t>
        </is>
      </c>
    </row>
    <row r="316">
      <c r="A316" s="14" t="inlineStr">
        <is>
          <t>P-102-CCM-007AUX2CC</t>
        </is>
      </c>
      <c r="B316" s="14" t="inlineStr">
        <is>
          <t>102-DP-001VCC</t>
        </is>
      </c>
      <c r="C316" s="14" t="inlineStr">
        <is>
          <t>102-CCM-007AUX2CC</t>
        </is>
      </c>
      <c r="D316" s="14" t="inlineStr">
        <is>
          <t>110</t>
        </is>
      </c>
      <c r="E316" s="14" t="inlineStr">
        <is>
          <t>20</t>
        </is>
      </c>
      <c r="F316" s="14" t="inlineStr">
        <is>
          <t>1kV-XLPE-CU</t>
        </is>
      </c>
      <c r="G316" s="14" t="inlineStr">
        <is>
          <t>2x4</t>
        </is>
      </c>
      <c r="H316" s="14" t="inlineStr">
        <is>
          <t>SALA ELÉCTRICA 4</t>
        </is>
      </c>
      <c r="I316" s="14" t="inlineStr">
        <is>
          <t>ALIMENTACIÓN AUXILIAR CCM-007 A</t>
        </is>
      </c>
      <c r="J316" s="14" t="inlineStr">
        <is>
          <t>CONTROL</t>
        </is>
      </c>
      <c r="K316" s="14" t="inlineStr">
        <is>
          <t>CPF2</t>
        </is>
      </c>
      <c r="L316" s="137" t="n">
        <v>2</v>
      </c>
      <c r="M316" s="138" t="inlineStr">
        <is>
          <t>NO</t>
        </is>
      </c>
      <c r="N316" s="139" t="n">
        <v>4</v>
      </c>
      <c r="O316" s="140" t="n">
        <v>0</v>
      </c>
      <c r="P316" s="141" t="n">
        <v>4</v>
      </c>
      <c r="Q316" s="136" t="inlineStr">
        <is>
          <t>CONTROL</t>
        </is>
      </c>
      <c r="R316" s="136" t="inlineStr">
        <is>
          <t>TABLERO/CCM</t>
        </is>
      </c>
    </row>
    <row r="317">
      <c r="A317" s="14" t="inlineStr">
        <is>
          <t>P-102-TR-005AAUX</t>
        </is>
      </c>
      <c r="B317" s="14" t="inlineStr">
        <is>
          <t>102-DP-001VCC</t>
        </is>
      </c>
      <c r="C317" s="14" t="inlineStr">
        <is>
          <t>102-TR-005AAUX</t>
        </is>
      </c>
      <c r="D317" s="14" t="inlineStr">
        <is>
          <t>110</t>
        </is>
      </c>
      <c r="E317" s="14" t="inlineStr">
        <is>
          <t>40</t>
        </is>
      </c>
      <c r="F317" s="14" t="inlineStr">
        <is>
          <t>1kV-XLPE-Arm-CU</t>
        </is>
      </c>
      <c r="G317" s="14" t="inlineStr">
        <is>
          <t>2x4</t>
        </is>
      </c>
      <c r="H317" s="14" t="inlineStr">
        <is>
          <t>SALA ELÉCTRICA 4</t>
        </is>
      </c>
      <c r="I317" s="14" t="inlineStr">
        <is>
          <t>ALIMENTACIÓN AUXILIAR 102-TR-005A A</t>
        </is>
      </c>
      <c r="J317" s="14" t="inlineStr">
        <is>
          <t>CONTROL</t>
        </is>
      </c>
      <c r="K317" s="14" t="inlineStr">
        <is>
          <t>CPF2</t>
        </is>
      </c>
      <c r="L317" s="137" t="n">
        <v>2</v>
      </c>
      <c r="M317" s="144" t="inlineStr">
        <is>
          <t>SI</t>
        </is>
      </c>
      <c r="N317" s="139" t="n">
        <v>4</v>
      </c>
      <c r="O317" s="145" t="n">
        <v>2</v>
      </c>
      <c r="P317" s="141" t="n">
        <v>6</v>
      </c>
      <c r="Q317" s="136" t="inlineStr">
        <is>
          <t>CONTROL</t>
        </is>
      </c>
      <c r="R317" s="136" t="inlineStr">
        <is>
          <t>TABLERO/CCM</t>
        </is>
      </c>
    </row>
    <row r="318">
      <c r="A318" s="14" t="inlineStr">
        <is>
          <t>P-102-TR-005BAUX</t>
        </is>
      </c>
      <c r="B318" s="14" t="inlineStr">
        <is>
          <t>102-DP-001VCC</t>
        </is>
      </c>
      <c r="C318" s="14" t="inlineStr">
        <is>
          <t>102-TR-005BAUX</t>
        </is>
      </c>
      <c r="D318" s="14" t="inlineStr">
        <is>
          <t>110</t>
        </is>
      </c>
      <c r="E318" s="14" t="inlineStr">
        <is>
          <t>40</t>
        </is>
      </c>
      <c r="F318" s="14" t="inlineStr">
        <is>
          <t>1kV-XLPE-Arm-CU</t>
        </is>
      </c>
      <c r="G318" s="14" t="inlineStr">
        <is>
          <t>2x4</t>
        </is>
      </c>
      <c r="H318" s="14" t="inlineStr">
        <is>
          <t>SALA ELÉCTRICA 4</t>
        </is>
      </c>
      <c r="I318" s="14" t="inlineStr">
        <is>
          <t>ALIMENTACIÓN AUXILIAR 102-TR-005B</t>
        </is>
      </c>
      <c r="J318" s="14" t="inlineStr">
        <is>
          <t>CONTROL</t>
        </is>
      </c>
      <c r="K318" s="14" t="inlineStr">
        <is>
          <t>CPF2</t>
        </is>
      </c>
      <c r="L318" s="137" t="n">
        <v>2</v>
      </c>
      <c r="M318" s="144" t="inlineStr">
        <is>
          <t>SI</t>
        </is>
      </c>
      <c r="N318" s="139" t="n">
        <v>4</v>
      </c>
      <c r="O318" s="145" t="n">
        <v>2</v>
      </c>
      <c r="P318" s="141" t="n">
        <v>6</v>
      </c>
      <c r="Q318" s="136" t="inlineStr">
        <is>
          <t>CONTROL</t>
        </is>
      </c>
      <c r="R318" s="136" t="inlineStr">
        <is>
          <t>TABLERO/CCM</t>
        </is>
      </c>
    </row>
    <row r="319">
      <c r="A319" s="14" t="inlineStr">
        <is>
          <t>P-102-TR-006AAUX</t>
        </is>
      </c>
      <c r="B319" s="14" t="inlineStr">
        <is>
          <t>102-DP-001VCC</t>
        </is>
      </c>
      <c r="C319" s="14" t="inlineStr">
        <is>
          <t>102-TR-006AAUX</t>
        </is>
      </c>
      <c r="D319" s="14" t="inlineStr">
        <is>
          <t>110</t>
        </is>
      </c>
      <c r="E319" s="14" t="inlineStr">
        <is>
          <t>40</t>
        </is>
      </c>
      <c r="F319" s="14" t="inlineStr">
        <is>
          <t>1kV-XLPE-Arm-CU</t>
        </is>
      </c>
      <c r="G319" s="14" t="inlineStr">
        <is>
          <t>2x4</t>
        </is>
      </c>
      <c r="H319" s="14" t="inlineStr">
        <is>
          <t>SALA ELÉCTRICA 4</t>
        </is>
      </c>
      <c r="I319" s="14" t="inlineStr">
        <is>
          <t>ALIMENTACIÓN AUXILIAR 102-TR-006A</t>
        </is>
      </c>
      <c r="J319" s="14" t="inlineStr">
        <is>
          <t>CONTROL</t>
        </is>
      </c>
      <c r="K319" s="14" t="inlineStr">
        <is>
          <t>CPF2</t>
        </is>
      </c>
      <c r="L319" s="137" t="n">
        <v>2</v>
      </c>
      <c r="M319" s="144" t="inlineStr">
        <is>
          <t>SI</t>
        </is>
      </c>
      <c r="N319" s="139" t="n">
        <v>4</v>
      </c>
      <c r="O319" s="145" t="n">
        <v>2</v>
      </c>
      <c r="P319" s="141" t="n">
        <v>6</v>
      </c>
      <c r="Q319" s="136" t="inlineStr">
        <is>
          <t>CONTROL</t>
        </is>
      </c>
      <c r="R319" s="136" t="inlineStr">
        <is>
          <t>TABLERO/CCM</t>
        </is>
      </c>
    </row>
    <row r="320">
      <c r="A320" s="14" t="inlineStr">
        <is>
          <t>P-102-TR-006BAUX</t>
        </is>
      </c>
      <c r="B320" s="14" t="inlineStr">
        <is>
          <t>102-DP-001VCC</t>
        </is>
      </c>
      <c r="C320" s="14" t="inlineStr">
        <is>
          <t>102-TR-006BAUX</t>
        </is>
      </c>
      <c r="D320" s="14" t="inlineStr">
        <is>
          <t>110</t>
        </is>
      </c>
      <c r="E320" s="14" t="inlineStr">
        <is>
          <t>40</t>
        </is>
      </c>
      <c r="F320" s="14" t="inlineStr">
        <is>
          <t>1kV-XLPE-Arm-CU</t>
        </is>
      </c>
      <c r="G320" s="14" t="inlineStr">
        <is>
          <t>2x4</t>
        </is>
      </c>
      <c r="H320" s="14" t="inlineStr">
        <is>
          <t>SALA ELÉCTRICA 4</t>
        </is>
      </c>
      <c r="I320" s="14" t="inlineStr">
        <is>
          <t>ALIMENTACIÓN AUXILIAR 102-TR-006B</t>
        </is>
      </c>
      <c r="J320" s="14" t="inlineStr">
        <is>
          <t>CONTROL</t>
        </is>
      </c>
      <c r="K320" s="14" t="inlineStr">
        <is>
          <t>CPF2</t>
        </is>
      </c>
      <c r="L320" s="137" t="n">
        <v>2</v>
      </c>
      <c r="M320" s="144" t="inlineStr">
        <is>
          <t>SI</t>
        </is>
      </c>
      <c r="N320" s="139" t="n">
        <v>4</v>
      </c>
      <c r="O320" s="145" t="n">
        <v>2</v>
      </c>
      <c r="P320" s="141" t="n">
        <v>6</v>
      </c>
      <c r="Q320" s="136" t="inlineStr">
        <is>
          <t>CONTROL</t>
        </is>
      </c>
      <c r="R320" s="136" t="inlineStr">
        <is>
          <t>TABLERO/CCM</t>
        </is>
      </c>
    </row>
    <row r="321">
      <c r="A321" s="14" t="inlineStr">
        <is>
          <t>P-102-TR-007AAUX</t>
        </is>
      </c>
      <c r="B321" s="14" t="inlineStr">
        <is>
          <t>102-DP-001VCC</t>
        </is>
      </c>
      <c r="C321" s="14" t="inlineStr">
        <is>
          <t>102-TR-007AAUX</t>
        </is>
      </c>
      <c r="D321" s="14" t="inlineStr">
        <is>
          <t>110</t>
        </is>
      </c>
      <c r="E321" s="14" t="inlineStr">
        <is>
          <t>40</t>
        </is>
      </c>
      <c r="F321" s="14" t="inlineStr">
        <is>
          <t>1kV-XLPE-Arm-CU</t>
        </is>
      </c>
      <c r="G321" s="14" t="inlineStr">
        <is>
          <t>2x4</t>
        </is>
      </c>
      <c r="H321" s="14" t="inlineStr">
        <is>
          <t>SALA ELÉCTRICA 4</t>
        </is>
      </c>
      <c r="I321" s="14" t="inlineStr">
        <is>
          <t>ALIMENTACIÓN AUXILIAR 102-TR-007A</t>
        </is>
      </c>
      <c r="J321" s="14" t="inlineStr">
        <is>
          <t>CONTROL</t>
        </is>
      </c>
      <c r="K321" s="14" t="inlineStr">
        <is>
          <t>CPF2</t>
        </is>
      </c>
      <c r="L321" s="137" t="n">
        <v>2</v>
      </c>
      <c r="M321" s="144" t="inlineStr">
        <is>
          <t>SI</t>
        </is>
      </c>
      <c r="N321" s="139" t="n">
        <v>4</v>
      </c>
      <c r="O321" s="145" t="n">
        <v>2</v>
      </c>
      <c r="P321" s="141" t="n">
        <v>6</v>
      </c>
      <c r="Q321" s="136" t="inlineStr">
        <is>
          <t>CONTROL</t>
        </is>
      </c>
      <c r="R321" s="136" t="inlineStr">
        <is>
          <t>TABLERO/CCM</t>
        </is>
      </c>
    </row>
    <row r="322">
      <c r="A322" s="14" t="inlineStr">
        <is>
          <t>P-102-TR-007BAUX</t>
        </is>
      </c>
      <c r="B322" s="14" t="inlineStr">
        <is>
          <t>102-DP-001VCC</t>
        </is>
      </c>
      <c r="C322" s="14" t="inlineStr">
        <is>
          <t>102-TR-007BAUX</t>
        </is>
      </c>
      <c r="D322" s="14" t="inlineStr">
        <is>
          <t>110</t>
        </is>
      </c>
      <c r="E322" s="14" t="inlineStr">
        <is>
          <t>40</t>
        </is>
      </c>
      <c r="F322" s="14" t="inlineStr">
        <is>
          <t>1kV-XLPE-Arm-CU</t>
        </is>
      </c>
      <c r="G322" s="14" t="inlineStr">
        <is>
          <t>2x4</t>
        </is>
      </c>
      <c r="H322" s="14" t="inlineStr">
        <is>
          <t>SALA ELÉCTRICA 4</t>
        </is>
      </c>
      <c r="I322" s="14" t="inlineStr">
        <is>
          <t>ALIMENTACIÓN AUXILIAR 102-TR-007B</t>
        </is>
      </c>
      <c r="J322" s="14" t="inlineStr">
        <is>
          <t>CONTROL</t>
        </is>
      </c>
      <c r="K322" s="14" t="inlineStr">
        <is>
          <t>CPF2</t>
        </is>
      </c>
      <c r="L322" s="137" t="n">
        <v>2</v>
      </c>
      <c r="M322" s="144" t="inlineStr">
        <is>
          <t>SI</t>
        </is>
      </c>
      <c r="N322" s="139" t="n">
        <v>4</v>
      </c>
      <c r="O322" s="145" t="n">
        <v>2</v>
      </c>
      <c r="P322" s="141" t="n">
        <v>6</v>
      </c>
      <c r="Q322" s="136" t="inlineStr">
        <is>
          <t>CONTROL</t>
        </is>
      </c>
      <c r="R322" s="136" t="inlineStr">
        <is>
          <t>TABLERO/CCM</t>
        </is>
      </c>
    </row>
    <row r="323">
      <c r="A323" s="14" t="inlineStr">
        <is>
          <t>P-MAN-90006AUX</t>
        </is>
      </c>
      <c r="B323" s="14" t="inlineStr">
        <is>
          <t>102-DP-001VCC</t>
        </is>
      </c>
      <c r="C323" s="14" t="inlineStr">
        <is>
          <t>MAN-90006AUX</t>
        </is>
      </c>
      <c r="D323" s="14" t="inlineStr">
        <is>
          <t>110</t>
        </is>
      </c>
      <c r="E323" s="14" t="inlineStr">
        <is>
          <t>60</t>
        </is>
      </c>
      <c r="F323" s="14" t="inlineStr">
        <is>
          <t>1kV-XLPE-Arm-CU</t>
        </is>
      </c>
      <c r="G323" s="14" t="inlineStr">
        <is>
          <t>2x4</t>
        </is>
      </c>
      <c r="H323" s="14" t="inlineStr">
        <is>
          <t>SALA ELÉCTRICA 4</t>
        </is>
      </c>
      <c r="I323" s="14" t="inlineStr">
        <is>
          <t>ALIMENTACIÓN AUXILIAR MAN-90006</t>
        </is>
      </c>
      <c r="J323" s="14" t="inlineStr">
        <is>
          <t>CONTROL</t>
        </is>
      </c>
      <c r="K323" s="14" t="inlineStr">
        <is>
          <t>CPF2</t>
        </is>
      </c>
      <c r="L323" s="137" t="n">
        <v>2</v>
      </c>
      <c r="M323" s="144" t="inlineStr">
        <is>
          <t>SI</t>
        </is>
      </c>
      <c r="N323" s="139" t="n">
        <v>4</v>
      </c>
      <c r="O323" s="145" t="n">
        <v>2</v>
      </c>
      <c r="P323" s="141" t="n">
        <v>6</v>
      </c>
      <c r="Q323" s="136" t="inlineStr">
        <is>
          <t>CONTROL</t>
        </is>
      </c>
      <c r="R323" s="136" t="inlineStr">
        <is>
          <t>TABLERO/CCM</t>
        </is>
      </c>
    </row>
    <row r="324">
      <c r="A324" s="14" t="inlineStr">
        <is>
          <t>P-102-TR-24210AAUX</t>
        </is>
      </c>
      <c r="B324" s="14" t="inlineStr">
        <is>
          <t>102-DP-001VCC</t>
        </is>
      </c>
      <c r="C324" s="14" t="inlineStr">
        <is>
          <t>102-TR-24210AAUX</t>
        </is>
      </c>
      <c r="D324" s="14" t="inlineStr">
        <is>
          <t>110</t>
        </is>
      </c>
      <c r="E324" s="14" t="inlineStr">
        <is>
          <t>40</t>
        </is>
      </c>
      <c r="F324" s="14" t="inlineStr">
        <is>
          <t>1kV-XLPE-Arm-CU</t>
        </is>
      </c>
      <c r="G324" s="14" t="inlineStr">
        <is>
          <t>2x4</t>
        </is>
      </c>
      <c r="H324" s="14" t="inlineStr">
        <is>
          <t>SALA ELÉCTRICA 4</t>
        </is>
      </c>
      <c r="I324" s="14" t="inlineStr">
        <is>
          <t>ALIMENTACIÓN AUXILIAR 102-TR-24210A</t>
        </is>
      </c>
      <c r="J324" s="14" t="inlineStr">
        <is>
          <t>CONTROL</t>
        </is>
      </c>
      <c r="K324" s="14" t="inlineStr">
        <is>
          <t>CPF2</t>
        </is>
      </c>
      <c r="L324" s="137" t="n">
        <v>2</v>
      </c>
      <c r="M324" s="144" t="inlineStr">
        <is>
          <t>SI</t>
        </is>
      </c>
      <c r="N324" s="139" t="n">
        <v>4</v>
      </c>
      <c r="O324" s="145" t="n">
        <v>2</v>
      </c>
      <c r="P324" s="141" t="n">
        <v>6</v>
      </c>
      <c r="Q324" s="136" t="inlineStr">
        <is>
          <t>CONTROL</t>
        </is>
      </c>
      <c r="R324" s="136" t="inlineStr">
        <is>
          <t>TABLERO/CCM</t>
        </is>
      </c>
    </row>
    <row r="325">
      <c r="A325" s="14" t="inlineStr">
        <is>
          <t>P-102-TR-24210BAUX</t>
        </is>
      </c>
      <c r="B325" s="14" t="inlineStr">
        <is>
          <t>102-DP-001VCC</t>
        </is>
      </c>
      <c r="C325" s="14" t="inlineStr">
        <is>
          <t>102-TR-24210BAUX</t>
        </is>
      </c>
      <c r="D325" s="14" t="inlineStr">
        <is>
          <t>110</t>
        </is>
      </c>
      <c r="E325" s="14" t="inlineStr">
        <is>
          <t>40</t>
        </is>
      </c>
      <c r="F325" s="14" t="inlineStr">
        <is>
          <t>1kV-XLPE-Arm-CU</t>
        </is>
      </c>
      <c r="G325" s="14" t="inlineStr">
        <is>
          <t>2x4</t>
        </is>
      </c>
      <c r="H325" s="14" t="inlineStr">
        <is>
          <t>SALA ELÉCTRICA 4</t>
        </is>
      </c>
      <c r="I325" s="14" t="inlineStr">
        <is>
          <t>ALIMENTACIÓN AUXILIAR 102-TR-24210B</t>
        </is>
      </c>
      <c r="J325" s="14" t="inlineStr">
        <is>
          <t>CONTROL</t>
        </is>
      </c>
      <c r="K325" s="14" t="inlineStr">
        <is>
          <t>CPF2</t>
        </is>
      </c>
      <c r="L325" s="137" t="n">
        <v>2</v>
      </c>
      <c r="M325" s="144" t="inlineStr">
        <is>
          <t>SI</t>
        </is>
      </c>
      <c r="N325" s="139" t="n">
        <v>4</v>
      </c>
      <c r="O325" s="145" t="n">
        <v>2</v>
      </c>
      <c r="P325" s="141" t="n">
        <v>6</v>
      </c>
      <c r="Q325" s="136" t="inlineStr">
        <is>
          <t>CONTROL</t>
        </is>
      </c>
      <c r="R325" s="136" t="inlineStr">
        <is>
          <t>TABLERO/CCM</t>
        </is>
      </c>
    </row>
    <row r="326">
      <c r="A326" s="14" t="inlineStr">
        <is>
          <t>P-102-TR-24210CAUX</t>
        </is>
      </c>
      <c r="B326" s="14" t="inlineStr">
        <is>
          <t>102-DP-001VCC</t>
        </is>
      </c>
      <c r="C326" s="14" t="inlineStr">
        <is>
          <t>102-TR-24210CAUX</t>
        </is>
      </c>
      <c r="D326" s="14" t="inlineStr">
        <is>
          <t>110</t>
        </is>
      </c>
      <c r="E326" s="14" t="inlineStr">
        <is>
          <t>40</t>
        </is>
      </c>
      <c r="F326" s="14" t="inlineStr">
        <is>
          <t>1kV-XLPE-Arm-CU</t>
        </is>
      </c>
      <c r="G326" s="14" t="inlineStr">
        <is>
          <t>2x4</t>
        </is>
      </c>
      <c r="H326" s="14" t="inlineStr">
        <is>
          <t>SALA ELÉCTRICA 4</t>
        </is>
      </c>
      <c r="I326" s="14" t="inlineStr">
        <is>
          <t>ALIMENTACIÓN AUXILIAR 102-TR-24210C</t>
        </is>
      </c>
      <c r="J326" s="14" t="inlineStr">
        <is>
          <t>CONTROL</t>
        </is>
      </c>
      <c r="K326" s="14" t="inlineStr">
        <is>
          <t>CPF2</t>
        </is>
      </c>
      <c r="L326" s="137" t="n">
        <v>2</v>
      </c>
      <c r="M326" s="144" t="inlineStr">
        <is>
          <t>SI</t>
        </is>
      </c>
      <c r="N326" s="139" t="n">
        <v>4</v>
      </c>
      <c r="O326" s="145" t="n">
        <v>2</v>
      </c>
      <c r="P326" s="141" t="n">
        <v>6</v>
      </c>
      <c r="Q326" s="136" t="inlineStr">
        <is>
          <t>CONTROL</t>
        </is>
      </c>
      <c r="R326" s="136" t="inlineStr">
        <is>
          <t>TABLERO/CCM</t>
        </is>
      </c>
    </row>
    <row r="327">
      <c r="A327" s="14" t="inlineStr">
        <is>
          <t>P-102-BB-002</t>
        </is>
      </c>
      <c r="B327" s="14" t="inlineStr">
        <is>
          <t>102-DP-001VCC</t>
        </is>
      </c>
      <c r="C327" s="14" t="inlineStr">
        <is>
          <t>102-BB-002</t>
        </is>
      </c>
      <c r="D327" s="14" t="inlineStr">
        <is>
          <t>110</t>
        </is>
      </c>
      <c r="E327" s="14" t="inlineStr">
        <is>
          <t>10</t>
        </is>
      </c>
      <c r="F327" s="14" t="inlineStr">
        <is>
          <t>1kV-XLPE-RF-CU</t>
        </is>
      </c>
      <c r="G327" s="14" t="inlineStr">
        <is>
          <t>2x95</t>
        </is>
      </c>
      <c r="H327" s="14" t="inlineStr">
        <is>
          <t>SALA ELÉCTRICA 4</t>
        </is>
      </c>
      <c r="I327" s="14" t="inlineStr"/>
      <c r="J327" s="14" t="inlineStr">
        <is>
          <t>CONTROL</t>
        </is>
      </c>
      <c r="K327" s="14" t="inlineStr">
        <is>
          <t>CPF2</t>
        </is>
      </c>
      <c r="L327" s="137" t="n">
        <v>2</v>
      </c>
      <c r="M327" s="138" t="inlineStr">
        <is>
          <t>NO</t>
        </is>
      </c>
      <c r="N327" s="139" t="n">
        <v>4</v>
      </c>
      <c r="O327" s="140" t="n">
        <v>0</v>
      </c>
      <c r="P327" s="141" t="n">
        <v>4</v>
      </c>
      <c r="Q327" s="136" t="inlineStr">
        <is>
          <t>CONTROL</t>
        </is>
      </c>
      <c r="R327" s="136" t="inlineStr">
        <is>
          <t>INSTRUMENTO/SENSOR</t>
        </is>
      </c>
    </row>
    <row r="328">
      <c r="A328" s="14" t="inlineStr">
        <is>
          <t>P-102-TRMT-001AAUX</t>
        </is>
      </c>
      <c r="B328" s="14" t="inlineStr">
        <is>
          <t>102-DP-101VCC</t>
        </is>
      </c>
      <c r="C328" s="14" t="inlineStr">
        <is>
          <t>102-TRMT-001AAUX</t>
        </is>
      </c>
      <c r="D328" s="14" t="inlineStr">
        <is>
          <t>110</t>
        </is>
      </c>
      <c r="E328" s="14" t="inlineStr">
        <is>
          <t>40</t>
        </is>
      </c>
      <c r="F328" s="14" t="inlineStr">
        <is>
          <t>1kV-XLPE-Arm-CU</t>
        </is>
      </c>
      <c r="G328" s="14" t="inlineStr">
        <is>
          <t>2x4</t>
        </is>
      </c>
      <c r="H328" s="14" t="inlineStr">
        <is>
          <t>SALA ELÉCTRICA 3</t>
        </is>
      </c>
      <c r="I328" s="14" t="inlineStr">
        <is>
          <t>ALIMENTACIÓN AUXILIAR 102-TRMT-001A</t>
        </is>
      </c>
      <c r="J328" s="14" t="inlineStr">
        <is>
          <t>CONTROL</t>
        </is>
      </c>
      <c r="K328" s="14" t="inlineStr">
        <is>
          <t>CPF2</t>
        </is>
      </c>
      <c r="L328" s="137" t="n">
        <v>2</v>
      </c>
      <c r="M328" s="144" t="inlineStr">
        <is>
          <t>SI</t>
        </is>
      </c>
      <c r="N328" s="139" t="n">
        <v>4</v>
      </c>
      <c r="O328" s="145" t="n">
        <v>2</v>
      </c>
      <c r="P328" s="141" t="n">
        <v>6</v>
      </c>
      <c r="Q328" s="136" t="inlineStr">
        <is>
          <t>CONTROL</t>
        </is>
      </c>
      <c r="R328" s="136" t="inlineStr">
        <is>
          <t>TABLERO/CCM</t>
        </is>
      </c>
    </row>
    <row r="329">
      <c r="A329" s="14" t="inlineStr">
        <is>
          <t>P-102-TRMT-001BAUX</t>
        </is>
      </c>
      <c r="B329" s="14" t="inlineStr">
        <is>
          <t>102-DP-101VCC</t>
        </is>
      </c>
      <c r="C329" s="14" t="inlineStr">
        <is>
          <t>102-TRMT-001BAUX</t>
        </is>
      </c>
      <c r="D329" s="14" t="inlineStr">
        <is>
          <t>110</t>
        </is>
      </c>
      <c r="E329" s="14" t="inlineStr">
        <is>
          <t>40</t>
        </is>
      </c>
      <c r="F329" s="14" t="inlineStr">
        <is>
          <t>1kV-XLPE-Arm-CU</t>
        </is>
      </c>
      <c r="G329" s="14" t="inlineStr">
        <is>
          <t>2x4</t>
        </is>
      </c>
      <c r="H329" s="14" t="inlineStr">
        <is>
          <t>SALA ELÉCTRICA 3</t>
        </is>
      </c>
      <c r="I329" s="14" t="inlineStr">
        <is>
          <t>ALIMENTACIÓN AUXILIAR 102-TRMT-001B</t>
        </is>
      </c>
      <c r="J329" s="14" t="inlineStr">
        <is>
          <t>CONTROL</t>
        </is>
      </c>
      <c r="K329" s="14" t="inlineStr">
        <is>
          <t>CPF2</t>
        </is>
      </c>
      <c r="L329" s="137" t="n">
        <v>2</v>
      </c>
      <c r="M329" s="144" t="inlineStr">
        <is>
          <t>SI</t>
        </is>
      </c>
      <c r="N329" s="139" t="n">
        <v>4</v>
      </c>
      <c r="O329" s="145" t="n">
        <v>2</v>
      </c>
      <c r="P329" s="141" t="n">
        <v>6</v>
      </c>
      <c r="Q329" s="136" t="inlineStr">
        <is>
          <t>CONTROL</t>
        </is>
      </c>
      <c r="R329" s="136" t="inlineStr">
        <is>
          <t>TABLERO/CCM</t>
        </is>
      </c>
    </row>
    <row r="330">
      <c r="A330" s="14" t="inlineStr">
        <is>
          <t>P-102-TGMT-001AUX1</t>
        </is>
      </c>
      <c r="B330" s="14" t="inlineStr">
        <is>
          <t>102-DP-101VCC</t>
        </is>
      </c>
      <c r="C330" s="14" t="inlineStr">
        <is>
          <t>102-TGMT-001AUX1</t>
        </is>
      </c>
      <c r="D330" s="14" t="inlineStr">
        <is>
          <t>110</t>
        </is>
      </c>
      <c r="E330" s="14" t="inlineStr">
        <is>
          <t>20</t>
        </is>
      </c>
      <c r="F330" s="14" t="inlineStr">
        <is>
          <t>1kV-XLPE-CU</t>
        </is>
      </c>
      <c r="G330" s="14" t="inlineStr">
        <is>
          <t>2x4</t>
        </is>
      </c>
      <c r="H330" s="14" t="inlineStr">
        <is>
          <t>SALA ELÉCTRICA 3</t>
        </is>
      </c>
      <c r="I330" s="14" t="inlineStr">
        <is>
          <t>ALIMENTACIÓN AUXILIAR 102-TGMT-001</t>
        </is>
      </c>
      <c r="J330" s="14" t="inlineStr">
        <is>
          <t>CONTROL</t>
        </is>
      </c>
      <c r="K330" s="14" t="inlineStr">
        <is>
          <t>CPF2</t>
        </is>
      </c>
      <c r="L330" s="137" t="n">
        <v>2</v>
      </c>
      <c r="M330" s="138" t="inlineStr">
        <is>
          <t>NO</t>
        </is>
      </c>
      <c r="N330" s="139" t="n">
        <v>4</v>
      </c>
      <c r="O330" s="140" t="n">
        <v>0</v>
      </c>
      <c r="P330" s="141" t="n">
        <v>4</v>
      </c>
      <c r="Q330" s="136" t="inlineStr">
        <is>
          <t>CONTROL</t>
        </is>
      </c>
      <c r="R330" s="136" t="inlineStr">
        <is>
          <t>TABLERO/CCM</t>
        </is>
      </c>
    </row>
    <row r="331">
      <c r="A331" s="14" t="inlineStr">
        <is>
          <t>P-102-TGMT-001AUX2</t>
        </is>
      </c>
      <c r="B331" s="14" t="inlineStr">
        <is>
          <t>102-DP-101VCC</t>
        </is>
      </c>
      <c r="C331" s="14" t="inlineStr">
        <is>
          <t>102-TGMT-001AUX2</t>
        </is>
      </c>
      <c r="D331" s="14" t="inlineStr">
        <is>
          <t>110</t>
        </is>
      </c>
      <c r="E331" s="14" t="inlineStr">
        <is>
          <t>20</t>
        </is>
      </c>
      <c r="F331" s="14" t="inlineStr">
        <is>
          <t>1kV-XLPE-CU</t>
        </is>
      </c>
      <c r="G331" s="14" t="inlineStr">
        <is>
          <t>2x4</t>
        </is>
      </c>
      <c r="H331" s="14" t="inlineStr">
        <is>
          <t>SALA ELÉCTRICA 3</t>
        </is>
      </c>
      <c r="I331" s="14" t="inlineStr">
        <is>
          <t>ALIMENTACIÓN AUXILIAR 102-TGMT-001</t>
        </is>
      </c>
      <c r="J331" s="14" t="inlineStr">
        <is>
          <t>CONTROL</t>
        </is>
      </c>
      <c r="K331" s="14" t="inlineStr">
        <is>
          <t>CPF2</t>
        </is>
      </c>
      <c r="L331" s="137" t="n">
        <v>2</v>
      </c>
      <c r="M331" s="138" t="inlineStr">
        <is>
          <t>NO</t>
        </is>
      </c>
      <c r="N331" s="139" t="n">
        <v>4</v>
      </c>
      <c r="O331" s="140" t="n">
        <v>0</v>
      </c>
      <c r="P331" s="141" t="n">
        <v>4</v>
      </c>
      <c r="Q331" s="136" t="inlineStr">
        <is>
          <t>CONTROL</t>
        </is>
      </c>
      <c r="R331" s="136" t="inlineStr">
        <is>
          <t>TABLERO/CCM</t>
        </is>
      </c>
    </row>
    <row r="332">
      <c r="A332" s="14" t="inlineStr">
        <is>
          <t>P-102-TGMT-001AUX3</t>
        </is>
      </c>
      <c r="B332" s="14" t="inlineStr">
        <is>
          <t>102-DP-101VCC</t>
        </is>
      </c>
      <c r="C332" s="14" t="inlineStr">
        <is>
          <t>102-TGMT-001AUX3</t>
        </is>
      </c>
      <c r="D332" s="14" t="inlineStr">
        <is>
          <t>110</t>
        </is>
      </c>
      <c r="E332" s="14" t="inlineStr">
        <is>
          <t>20</t>
        </is>
      </c>
      <c r="F332" s="14" t="inlineStr">
        <is>
          <t>1kV-XLPE-CU</t>
        </is>
      </c>
      <c r="G332" s="14" t="inlineStr">
        <is>
          <t>2x4</t>
        </is>
      </c>
      <c r="H332" s="14" t="inlineStr">
        <is>
          <t>SALA ELÉCTRICA 3</t>
        </is>
      </c>
      <c r="I332" s="14" t="inlineStr">
        <is>
          <t>ALIMENTACIÓN AUXILIAR 102-TGMT-001</t>
        </is>
      </c>
      <c r="J332" s="14" t="inlineStr">
        <is>
          <t>CONTROL</t>
        </is>
      </c>
      <c r="K332" s="14" t="inlineStr">
        <is>
          <t>CPF2</t>
        </is>
      </c>
      <c r="L332" s="137" t="n">
        <v>2</v>
      </c>
      <c r="M332" s="138" t="inlineStr">
        <is>
          <t>NO</t>
        </is>
      </c>
      <c r="N332" s="139" t="n">
        <v>4</v>
      </c>
      <c r="O332" s="140" t="n">
        <v>0</v>
      </c>
      <c r="P332" s="141" t="n">
        <v>4</v>
      </c>
      <c r="Q332" s="136" t="inlineStr">
        <is>
          <t>CONTROL</t>
        </is>
      </c>
      <c r="R332" s="136" t="inlineStr">
        <is>
          <t>TABLERO/CCM</t>
        </is>
      </c>
    </row>
    <row r="333">
      <c r="A333" s="14" t="inlineStr">
        <is>
          <t>P-102-TGMT-001AUX4</t>
        </is>
      </c>
      <c r="B333" s="14" t="inlineStr">
        <is>
          <t>102-DP-101VCC</t>
        </is>
      </c>
      <c r="C333" s="14" t="inlineStr">
        <is>
          <t>102-TGMT-001AUX4</t>
        </is>
      </c>
      <c r="D333" s="14" t="inlineStr">
        <is>
          <t>110</t>
        </is>
      </c>
      <c r="E333" s="14" t="inlineStr">
        <is>
          <t>20</t>
        </is>
      </c>
      <c r="F333" s="14" t="inlineStr">
        <is>
          <t>1kV-XLPE-CU</t>
        </is>
      </c>
      <c r="G333" s="14" t="inlineStr">
        <is>
          <t>2x4</t>
        </is>
      </c>
      <c r="H333" s="14" t="inlineStr">
        <is>
          <t>SALA ELÉCTRICA 3</t>
        </is>
      </c>
      <c r="I333" s="14" t="inlineStr">
        <is>
          <t>ALIMENTACIÓN AUXILIAR 102-TGMT-001</t>
        </is>
      </c>
      <c r="J333" s="14" t="inlineStr">
        <is>
          <t>CONTROL</t>
        </is>
      </c>
      <c r="K333" s="14" t="inlineStr">
        <is>
          <t>CPF2</t>
        </is>
      </c>
      <c r="L333" s="137" t="n">
        <v>2</v>
      </c>
      <c r="M333" s="138" t="inlineStr">
        <is>
          <t>NO</t>
        </is>
      </c>
      <c r="N333" s="139" t="n">
        <v>4</v>
      </c>
      <c r="O333" s="140" t="n">
        <v>0</v>
      </c>
      <c r="P333" s="141" t="n">
        <v>4</v>
      </c>
      <c r="Q333" s="136" t="inlineStr">
        <is>
          <t>CONTROL</t>
        </is>
      </c>
      <c r="R333" s="136" t="inlineStr">
        <is>
          <t>TABLERO/CCM</t>
        </is>
      </c>
    </row>
    <row r="334">
      <c r="A334" s="14" t="inlineStr">
        <is>
          <t>P-102-TGMT-003AUX1</t>
        </is>
      </c>
      <c r="B334" s="14" t="inlineStr">
        <is>
          <t>102-DP-101VCC</t>
        </is>
      </c>
      <c r="C334" s="14" t="inlineStr">
        <is>
          <t>102-TGMT-003AUX1</t>
        </is>
      </c>
      <c r="D334" s="14" t="inlineStr">
        <is>
          <t>110</t>
        </is>
      </c>
      <c r="E334" s="14" t="inlineStr">
        <is>
          <t>20</t>
        </is>
      </c>
      <c r="F334" s="14" t="inlineStr">
        <is>
          <t>1kV-XLPE-CU</t>
        </is>
      </c>
      <c r="G334" s="14" t="inlineStr">
        <is>
          <t>2x4</t>
        </is>
      </c>
      <c r="H334" s="14" t="inlineStr">
        <is>
          <t>SALA ELÉCTRICA 3</t>
        </is>
      </c>
      <c r="I334" s="14" t="inlineStr">
        <is>
          <t>ALIMENTACIÓN AUXILIAR 102-TGMT-003</t>
        </is>
      </c>
      <c r="J334" s="14" t="inlineStr">
        <is>
          <t>CONTROL</t>
        </is>
      </c>
      <c r="K334" s="14" t="inlineStr">
        <is>
          <t>CPF2</t>
        </is>
      </c>
      <c r="L334" s="137" t="n">
        <v>2</v>
      </c>
      <c r="M334" s="138" t="inlineStr">
        <is>
          <t>NO</t>
        </is>
      </c>
      <c r="N334" s="139" t="n">
        <v>4</v>
      </c>
      <c r="O334" s="140" t="n">
        <v>0</v>
      </c>
      <c r="P334" s="141" t="n">
        <v>4</v>
      </c>
      <c r="Q334" s="136" t="inlineStr">
        <is>
          <t>CONTROL</t>
        </is>
      </c>
      <c r="R334" s="136" t="inlineStr">
        <is>
          <t>TABLERO/CCM</t>
        </is>
      </c>
    </row>
    <row r="335">
      <c r="A335" s="14" t="inlineStr">
        <is>
          <t>P-102-TGMT-003AUX2</t>
        </is>
      </c>
      <c r="B335" s="14" t="inlineStr">
        <is>
          <t>102-DP-101VCC</t>
        </is>
      </c>
      <c r="C335" s="14" t="inlineStr">
        <is>
          <t>102-TGMT-003AUX2</t>
        </is>
      </c>
      <c r="D335" s="14" t="inlineStr">
        <is>
          <t>110</t>
        </is>
      </c>
      <c r="E335" s="14" t="inlineStr">
        <is>
          <t>20</t>
        </is>
      </c>
      <c r="F335" s="14" t="inlineStr">
        <is>
          <t>1kV-XLPE-CU</t>
        </is>
      </c>
      <c r="G335" s="14" t="inlineStr">
        <is>
          <t>2x4</t>
        </is>
      </c>
      <c r="H335" s="14" t="inlineStr">
        <is>
          <t>SALA ELÉCTRICA 3</t>
        </is>
      </c>
      <c r="I335" s="14" t="inlineStr">
        <is>
          <t>ALIMENTACIÓN AUXILIAR 102-TGMT-003</t>
        </is>
      </c>
      <c r="J335" s="14" t="inlineStr">
        <is>
          <t>CONTROL</t>
        </is>
      </c>
      <c r="K335" s="14" t="inlineStr">
        <is>
          <t>CPF2</t>
        </is>
      </c>
      <c r="L335" s="137" t="n">
        <v>2</v>
      </c>
      <c r="M335" s="138" t="inlineStr">
        <is>
          <t>NO</t>
        </is>
      </c>
      <c r="N335" s="139" t="n">
        <v>4</v>
      </c>
      <c r="O335" s="140" t="n">
        <v>0</v>
      </c>
      <c r="P335" s="141" t="n">
        <v>4</v>
      </c>
      <c r="Q335" s="136" t="inlineStr">
        <is>
          <t>CONTROL</t>
        </is>
      </c>
      <c r="R335" s="136" t="inlineStr">
        <is>
          <t>TABLERO/CCM</t>
        </is>
      </c>
    </row>
    <row r="336">
      <c r="A336" s="14" t="inlineStr">
        <is>
          <t>P-102-TGMT-003AUX3</t>
        </is>
      </c>
      <c r="B336" s="14" t="inlineStr">
        <is>
          <t>102-DP-101VCC</t>
        </is>
      </c>
      <c r="C336" s="14" t="inlineStr">
        <is>
          <t>102-TGMT-003AUX3</t>
        </is>
      </c>
      <c r="D336" s="14" t="inlineStr">
        <is>
          <t>110</t>
        </is>
      </c>
      <c r="E336" s="14" t="inlineStr">
        <is>
          <t>20</t>
        </is>
      </c>
      <c r="F336" s="14" t="inlineStr">
        <is>
          <t>1kV-XLPE-CU</t>
        </is>
      </c>
      <c r="G336" s="14" t="inlineStr">
        <is>
          <t>2x4</t>
        </is>
      </c>
      <c r="H336" s="14" t="inlineStr">
        <is>
          <t>SALA ELÉCTRICA 3</t>
        </is>
      </c>
      <c r="I336" s="14" t="inlineStr">
        <is>
          <t>ALIMENTACIÓN AUXILIAR 102-TGMT-003</t>
        </is>
      </c>
      <c r="J336" s="14" t="inlineStr">
        <is>
          <t>CONTROL</t>
        </is>
      </c>
      <c r="K336" s="14" t="inlineStr">
        <is>
          <t>CPF2</t>
        </is>
      </c>
      <c r="L336" s="137" t="n">
        <v>2</v>
      </c>
      <c r="M336" s="138" t="inlineStr">
        <is>
          <t>NO</t>
        </is>
      </c>
      <c r="N336" s="139" t="n">
        <v>4</v>
      </c>
      <c r="O336" s="140" t="n">
        <v>0</v>
      </c>
      <c r="P336" s="141" t="n">
        <v>4</v>
      </c>
      <c r="Q336" s="136" t="inlineStr">
        <is>
          <t>CONTROL</t>
        </is>
      </c>
      <c r="R336" s="136" t="inlineStr">
        <is>
          <t>TABLERO/CCM</t>
        </is>
      </c>
    </row>
    <row r="337">
      <c r="A337" s="14" t="inlineStr">
        <is>
          <t>P-102-TGMT-003AUX4</t>
        </is>
      </c>
      <c r="B337" s="14" t="inlineStr">
        <is>
          <t>102-DP-101VCC</t>
        </is>
      </c>
      <c r="C337" s="14" t="inlineStr">
        <is>
          <t>102-TGMT-003AUX4</t>
        </is>
      </c>
      <c r="D337" s="14" t="inlineStr">
        <is>
          <t>110</t>
        </is>
      </c>
      <c r="E337" s="14" t="inlineStr">
        <is>
          <t>20</t>
        </is>
      </c>
      <c r="F337" s="14" t="inlineStr">
        <is>
          <t>1kV-XLPE-CU</t>
        </is>
      </c>
      <c r="G337" s="14" t="inlineStr">
        <is>
          <t>2x4</t>
        </is>
      </c>
      <c r="H337" s="14" t="inlineStr">
        <is>
          <t>SALA ELÉCTRICA 3</t>
        </is>
      </c>
      <c r="I337" s="14" t="inlineStr">
        <is>
          <t>ALIMENTACIÓN AUXILIAR 102-TGMT-003 GENERADOR EMERGENCIA</t>
        </is>
      </c>
      <c r="J337" s="14" t="inlineStr">
        <is>
          <t>CONTROL</t>
        </is>
      </c>
      <c r="K337" s="14" t="inlineStr">
        <is>
          <t>CPF2</t>
        </is>
      </c>
      <c r="L337" s="137" t="n">
        <v>2</v>
      </c>
      <c r="M337" s="138" t="inlineStr">
        <is>
          <t>NO</t>
        </is>
      </c>
      <c r="N337" s="139" t="n">
        <v>4</v>
      </c>
      <c r="O337" s="140" t="n">
        <v>0</v>
      </c>
      <c r="P337" s="141" t="n">
        <v>4</v>
      </c>
      <c r="Q337" s="136" t="inlineStr">
        <is>
          <t>CONTROL</t>
        </is>
      </c>
      <c r="R337" s="136" t="inlineStr">
        <is>
          <t>TABLERO/CCM</t>
        </is>
      </c>
    </row>
    <row r="338">
      <c r="A338" s="14" t="inlineStr">
        <is>
          <t>P-MAN-90006-R1</t>
        </is>
      </c>
      <c r="B338" s="14" t="inlineStr">
        <is>
          <t>102-CCM-006</t>
        </is>
      </c>
      <c r="C338" s="14" t="inlineStr">
        <is>
          <t>MAN-90006</t>
        </is>
      </c>
      <c r="D338" s="14" t="inlineStr">
        <is>
          <t>380</t>
        </is>
      </c>
      <c r="E338" s="14" t="inlineStr">
        <is>
          <t>50</t>
        </is>
      </c>
      <c r="F338" s="14" t="inlineStr">
        <is>
          <t>1kV-XLPE-Arm-CU</t>
        </is>
      </c>
      <c r="G338" s="14" t="inlineStr">
        <is>
          <t>1x240</t>
        </is>
      </c>
      <c r="H338" s="14" t="inlineStr">
        <is>
          <t>SALA ELÉCTRICA 3</t>
        </is>
      </c>
      <c r="I338" s="14" t="inlineStr">
        <is>
          <t>Generador de Emergencia - CCM-006 Barra C</t>
        </is>
      </c>
      <c r="J338" s="14" t="inlineStr">
        <is>
          <t>POTENCIA_BT</t>
        </is>
      </c>
      <c r="K338" s="14" t="inlineStr">
        <is>
          <t>CPF2</t>
        </is>
      </c>
      <c r="L338" s="137" t="n">
        <v>1</v>
      </c>
      <c r="M338" s="144" t="inlineStr">
        <is>
          <t>SI</t>
        </is>
      </c>
      <c r="N338" s="139" t="n">
        <v>2</v>
      </c>
      <c r="O338" s="145" t="n">
        <v>2</v>
      </c>
      <c r="P338" s="141" t="n">
        <v>4</v>
      </c>
      <c r="Q338" s="136" t="inlineStr">
        <is>
          <t>POTENCIA BT GRANDE (≥95mm²)</t>
        </is>
      </c>
      <c r="R338" s="136" t="inlineStr">
        <is>
          <t>TABLERO/CCM</t>
        </is>
      </c>
    </row>
    <row r="339">
      <c r="A339" s="14" t="inlineStr">
        <is>
          <t>P-MAN-90006-R2</t>
        </is>
      </c>
      <c r="B339" s="14" t="inlineStr">
        <is>
          <t>102-CCM-006</t>
        </is>
      </c>
      <c r="C339" s="14" t="inlineStr">
        <is>
          <t>MAN-90006</t>
        </is>
      </c>
      <c r="D339" s="14" t="inlineStr">
        <is>
          <t>380</t>
        </is>
      </c>
      <c r="E339" s="14" t="inlineStr">
        <is>
          <t>50</t>
        </is>
      </c>
      <c r="F339" s="14" t="inlineStr">
        <is>
          <t>1kV-XLPE-Arm-CU</t>
        </is>
      </c>
      <c r="G339" s="14" t="inlineStr">
        <is>
          <t>1x240</t>
        </is>
      </c>
      <c r="H339" s="14" t="inlineStr">
        <is>
          <t>SALA ELÉCTRICA 3</t>
        </is>
      </c>
      <c r="I339" s="14" t="inlineStr">
        <is>
          <t>Generador de Emergencia - CCM-006 Barra C</t>
        </is>
      </c>
      <c r="J339" s="14" t="inlineStr">
        <is>
          <t>POTENCIA_BT</t>
        </is>
      </c>
      <c r="K339" s="14" t="inlineStr">
        <is>
          <t>CPF2</t>
        </is>
      </c>
      <c r="L339" s="137" t="n">
        <v>1</v>
      </c>
      <c r="M339" s="144" t="inlineStr">
        <is>
          <t>SI</t>
        </is>
      </c>
      <c r="N339" s="139" t="n">
        <v>2</v>
      </c>
      <c r="O339" s="145" t="n">
        <v>2</v>
      </c>
      <c r="P339" s="141" t="n">
        <v>4</v>
      </c>
      <c r="Q339" s="136" t="inlineStr">
        <is>
          <t>POTENCIA BT GRANDE (≥95mm²)</t>
        </is>
      </c>
      <c r="R339" s="136" t="inlineStr">
        <is>
          <t>TABLERO/CCM</t>
        </is>
      </c>
    </row>
    <row r="340">
      <c r="A340" s="14" t="inlineStr">
        <is>
          <t>P-MAN-90006-R3</t>
        </is>
      </c>
      <c r="B340" s="14" t="inlineStr">
        <is>
          <t>102-CCM-006</t>
        </is>
      </c>
      <c r="C340" s="14" t="inlineStr">
        <is>
          <t>MAN-90006</t>
        </is>
      </c>
      <c r="D340" s="14" t="inlineStr">
        <is>
          <t>380</t>
        </is>
      </c>
      <c r="E340" s="14" t="inlineStr">
        <is>
          <t>50</t>
        </is>
      </c>
      <c r="F340" s="14" t="inlineStr">
        <is>
          <t>1kV-XLPE-Arm-CU</t>
        </is>
      </c>
      <c r="G340" s="14" t="inlineStr">
        <is>
          <t>1x240</t>
        </is>
      </c>
      <c r="H340" s="14" t="inlineStr">
        <is>
          <t>SALA ELÉCTRICA 3</t>
        </is>
      </c>
      <c r="I340" s="14" t="inlineStr">
        <is>
          <t>Generador de Emergencia - CCM-006 Barra C</t>
        </is>
      </c>
      <c r="J340" s="14" t="inlineStr">
        <is>
          <t>POTENCIA_BT</t>
        </is>
      </c>
      <c r="K340" s="14" t="inlineStr">
        <is>
          <t>CPF2</t>
        </is>
      </c>
      <c r="L340" s="137" t="n">
        <v>1</v>
      </c>
      <c r="M340" s="144" t="inlineStr">
        <is>
          <t>SI</t>
        </is>
      </c>
      <c r="N340" s="139" t="n">
        <v>2</v>
      </c>
      <c r="O340" s="145" t="n">
        <v>2</v>
      </c>
      <c r="P340" s="141" t="n">
        <v>4</v>
      </c>
      <c r="Q340" s="136" t="inlineStr">
        <is>
          <t>POTENCIA BT GRANDE (≥95mm²)</t>
        </is>
      </c>
      <c r="R340" s="136" t="inlineStr">
        <is>
          <t>TABLERO/CCM</t>
        </is>
      </c>
    </row>
    <row r="341">
      <c r="A341" s="14" t="inlineStr">
        <is>
          <t>P-MAN-90006-R4</t>
        </is>
      </c>
      <c r="B341" s="14" t="inlineStr">
        <is>
          <t>102-CCM-006</t>
        </is>
      </c>
      <c r="C341" s="14" t="inlineStr">
        <is>
          <t>MAN-90006</t>
        </is>
      </c>
      <c r="D341" s="14" t="inlineStr">
        <is>
          <t>380</t>
        </is>
      </c>
      <c r="E341" s="14" t="inlineStr">
        <is>
          <t>50</t>
        </is>
      </c>
      <c r="F341" s="14" t="inlineStr">
        <is>
          <t>1kV-XLPE-Arm-CU</t>
        </is>
      </c>
      <c r="G341" s="14" t="inlineStr">
        <is>
          <t>1x240</t>
        </is>
      </c>
      <c r="H341" s="14" t="inlineStr">
        <is>
          <t>SALA ELÉCTRICA 3</t>
        </is>
      </c>
      <c r="I341" s="14" t="inlineStr">
        <is>
          <t>Generador de Emergencia - CCM-006 Barra C</t>
        </is>
      </c>
      <c r="J341" s="14" t="inlineStr">
        <is>
          <t>POTENCIA_BT</t>
        </is>
      </c>
      <c r="K341" s="14" t="inlineStr">
        <is>
          <t>CPF2</t>
        </is>
      </c>
      <c r="L341" s="137" t="n">
        <v>1</v>
      </c>
      <c r="M341" s="144" t="inlineStr">
        <is>
          <t>SI</t>
        </is>
      </c>
      <c r="N341" s="139" t="n">
        <v>2</v>
      </c>
      <c r="O341" s="145" t="n">
        <v>2</v>
      </c>
      <c r="P341" s="141" t="n">
        <v>4</v>
      </c>
      <c r="Q341" s="136" t="inlineStr">
        <is>
          <t>POTENCIA BT GRANDE (≥95mm²)</t>
        </is>
      </c>
      <c r="R341" s="136" t="inlineStr">
        <is>
          <t>TABLERO/CCM</t>
        </is>
      </c>
    </row>
    <row r="342">
      <c r="A342" s="14" t="inlineStr">
        <is>
          <t>P-MAN-90006-R5</t>
        </is>
      </c>
      <c r="B342" s="14" t="inlineStr">
        <is>
          <t>102-CCM-006</t>
        </is>
      </c>
      <c r="C342" s="14" t="inlineStr">
        <is>
          <t>MAN-90006</t>
        </is>
      </c>
      <c r="D342" s="14" t="inlineStr">
        <is>
          <t>380</t>
        </is>
      </c>
      <c r="E342" s="14" t="inlineStr">
        <is>
          <t>50</t>
        </is>
      </c>
      <c r="F342" s="14" t="inlineStr">
        <is>
          <t>1kV-XLPE-Arm-CU</t>
        </is>
      </c>
      <c r="G342" s="14" t="inlineStr">
        <is>
          <t>1x240</t>
        </is>
      </c>
      <c r="H342" s="14" t="inlineStr">
        <is>
          <t>SALA ELÉCTRICA 3</t>
        </is>
      </c>
      <c r="I342" s="14" t="inlineStr">
        <is>
          <t>Generador de Emergencia - CCM-006 Barra C</t>
        </is>
      </c>
      <c r="J342" s="14" t="inlineStr">
        <is>
          <t>POTENCIA_BT</t>
        </is>
      </c>
      <c r="K342" s="14" t="inlineStr">
        <is>
          <t>CPF2</t>
        </is>
      </c>
      <c r="L342" s="137" t="n">
        <v>1</v>
      </c>
      <c r="M342" s="144" t="inlineStr">
        <is>
          <t>SI</t>
        </is>
      </c>
      <c r="N342" s="139" t="n">
        <v>2</v>
      </c>
      <c r="O342" s="145" t="n">
        <v>2</v>
      </c>
      <c r="P342" s="141" t="n">
        <v>4</v>
      </c>
      <c r="Q342" s="136" t="inlineStr">
        <is>
          <t>POTENCIA BT GRANDE (≥95mm²)</t>
        </is>
      </c>
      <c r="R342" s="136" t="inlineStr">
        <is>
          <t>TABLERO/CCM</t>
        </is>
      </c>
    </row>
    <row r="343">
      <c r="A343" s="14" t="inlineStr">
        <is>
          <t>P-MAN-90006-S1</t>
        </is>
      </c>
      <c r="B343" s="14" t="inlineStr">
        <is>
          <t>102-CCM-006</t>
        </is>
      </c>
      <c r="C343" s="14" t="inlineStr">
        <is>
          <t>MAN-90006</t>
        </is>
      </c>
      <c r="D343" s="14" t="inlineStr">
        <is>
          <t>380</t>
        </is>
      </c>
      <c r="E343" s="14" t="inlineStr">
        <is>
          <t>50</t>
        </is>
      </c>
      <c r="F343" s="14" t="inlineStr">
        <is>
          <t>1kV-XLPE-Arm-CU</t>
        </is>
      </c>
      <c r="G343" s="14" t="inlineStr">
        <is>
          <t>1x240</t>
        </is>
      </c>
      <c r="H343" s="14" t="inlineStr">
        <is>
          <t>SALA ELÉCTRICA 3</t>
        </is>
      </c>
      <c r="I343" s="14" t="inlineStr">
        <is>
          <t>Generador de Emergencia - CCM-006 Barra C</t>
        </is>
      </c>
      <c r="J343" s="14" t="inlineStr">
        <is>
          <t>POTENCIA_BT</t>
        </is>
      </c>
      <c r="K343" s="14" t="inlineStr">
        <is>
          <t>CPF2</t>
        </is>
      </c>
      <c r="L343" s="137" t="n">
        <v>1</v>
      </c>
      <c r="M343" s="144" t="inlineStr">
        <is>
          <t>SI</t>
        </is>
      </c>
      <c r="N343" s="139" t="n">
        <v>2</v>
      </c>
      <c r="O343" s="145" t="n">
        <v>2</v>
      </c>
      <c r="P343" s="141" t="n">
        <v>4</v>
      </c>
      <c r="Q343" s="136" t="inlineStr">
        <is>
          <t>POTENCIA BT GRANDE (≥95mm²)</t>
        </is>
      </c>
      <c r="R343" s="136" t="inlineStr">
        <is>
          <t>TABLERO/CCM</t>
        </is>
      </c>
    </row>
    <row r="344">
      <c r="A344" s="14" t="inlineStr">
        <is>
          <t>P-MAN-90006-S2</t>
        </is>
      </c>
      <c r="B344" s="14" t="inlineStr">
        <is>
          <t>102-CCM-006</t>
        </is>
      </c>
      <c r="C344" s="14" t="inlineStr">
        <is>
          <t>MAN-90006</t>
        </is>
      </c>
      <c r="D344" s="14" t="inlineStr">
        <is>
          <t>380</t>
        </is>
      </c>
      <c r="E344" s="14" t="inlineStr">
        <is>
          <t>50</t>
        </is>
      </c>
      <c r="F344" s="14" t="inlineStr">
        <is>
          <t>1kV-XLPE-Arm-CU</t>
        </is>
      </c>
      <c r="G344" s="14" t="inlineStr">
        <is>
          <t>1x240</t>
        </is>
      </c>
      <c r="H344" s="14" t="inlineStr">
        <is>
          <t>SALA ELÉCTRICA 3</t>
        </is>
      </c>
      <c r="I344" s="14" t="inlineStr">
        <is>
          <t>Generador de Emergencia - CCM-006 Barra C</t>
        </is>
      </c>
      <c r="J344" s="14" t="inlineStr">
        <is>
          <t>POTENCIA_BT</t>
        </is>
      </c>
      <c r="K344" s="14" t="inlineStr">
        <is>
          <t>CPF2</t>
        </is>
      </c>
      <c r="L344" s="137" t="n">
        <v>1</v>
      </c>
      <c r="M344" s="144" t="inlineStr">
        <is>
          <t>SI</t>
        </is>
      </c>
      <c r="N344" s="139" t="n">
        <v>2</v>
      </c>
      <c r="O344" s="145" t="n">
        <v>2</v>
      </c>
      <c r="P344" s="141" t="n">
        <v>4</v>
      </c>
      <c r="Q344" s="136" t="inlineStr">
        <is>
          <t>POTENCIA BT GRANDE (≥95mm²)</t>
        </is>
      </c>
      <c r="R344" s="136" t="inlineStr">
        <is>
          <t>TABLERO/CCM</t>
        </is>
      </c>
    </row>
    <row r="345">
      <c r="A345" s="14" t="inlineStr">
        <is>
          <t>P-MAN-90006-S3</t>
        </is>
      </c>
      <c r="B345" s="14" t="inlineStr">
        <is>
          <t>102-CCM-006</t>
        </is>
      </c>
      <c r="C345" s="14" t="inlineStr">
        <is>
          <t>MAN-90006</t>
        </is>
      </c>
      <c r="D345" s="14" t="inlineStr">
        <is>
          <t>380</t>
        </is>
      </c>
      <c r="E345" s="14" t="inlineStr">
        <is>
          <t>50</t>
        </is>
      </c>
      <c r="F345" s="14" t="inlineStr">
        <is>
          <t>1kV-XLPE-Arm-CU</t>
        </is>
      </c>
      <c r="G345" s="14" t="inlineStr">
        <is>
          <t>1x240</t>
        </is>
      </c>
      <c r="H345" s="14" t="inlineStr">
        <is>
          <t>SALA ELÉCTRICA 3</t>
        </is>
      </c>
      <c r="I345" s="14" t="inlineStr">
        <is>
          <t>Generador de Emergencia - CCM-006 Barra C</t>
        </is>
      </c>
      <c r="J345" s="14" t="inlineStr">
        <is>
          <t>POTENCIA_BT</t>
        </is>
      </c>
      <c r="K345" s="14" t="inlineStr">
        <is>
          <t>CPF2</t>
        </is>
      </c>
      <c r="L345" s="137" t="n">
        <v>1</v>
      </c>
      <c r="M345" s="144" t="inlineStr">
        <is>
          <t>SI</t>
        </is>
      </c>
      <c r="N345" s="139" t="n">
        <v>2</v>
      </c>
      <c r="O345" s="145" t="n">
        <v>2</v>
      </c>
      <c r="P345" s="141" t="n">
        <v>4</v>
      </c>
      <c r="Q345" s="136" t="inlineStr">
        <is>
          <t>POTENCIA BT GRANDE (≥95mm²)</t>
        </is>
      </c>
      <c r="R345" s="136" t="inlineStr">
        <is>
          <t>TABLERO/CCM</t>
        </is>
      </c>
    </row>
    <row r="346">
      <c r="A346" s="14" t="inlineStr">
        <is>
          <t>P-MAN-90006-S4</t>
        </is>
      </c>
      <c r="B346" s="14" t="inlineStr">
        <is>
          <t>102-CCM-006</t>
        </is>
      </c>
      <c r="C346" s="14" t="inlineStr">
        <is>
          <t>MAN-90006</t>
        </is>
      </c>
      <c r="D346" s="14" t="inlineStr">
        <is>
          <t>380</t>
        </is>
      </c>
      <c r="E346" s="14" t="inlineStr">
        <is>
          <t>50</t>
        </is>
      </c>
      <c r="F346" s="14" t="inlineStr">
        <is>
          <t>1kV-XLPE-Arm-CU</t>
        </is>
      </c>
      <c r="G346" s="14" t="inlineStr">
        <is>
          <t>1x240</t>
        </is>
      </c>
      <c r="H346" s="14" t="inlineStr">
        <is>
          <t>SALA ELÉCTRICA 3</t>
        </is>
      </c>
      <c r="I346" s="14" t="inlineStr">
        <is>
          <t>Generador de Emergencia - CCM-006 Barra C</t>
        </is>
      </c>
      <c r="J346" s="14" t="inlineStr">
        <is>
          <t>POTENCIA_BT</t>
        </is>
      </c>
      <c r="K346" s="14" t="inlineStr">
        <is>
          <t>CPF2</t>
        </is>
      </c>
      <c r="L346" s="137" t="n">
        <v>1</v>
      </c>
      <c r="M346" s="144" t="inlineStr">
        <is>
          <t>SI</t>
        </is>
      </c>
      <c r="N346" s="139" t="n">
        <v>2</v>
      </c>
      <c r="O346" s="145" t="n">
        <v>2</v>
      </c>
      <c r="P346" s="141" t="n">
        <v>4</v>
      </c>
      <c r="Q346" s="136" t="inlineStr">
        <is>
          <t>POTENCIA BT GRANDE (≥95mm²)</t>
        </is>
      </c>
      <c r="R346" s="136" t="inlineStr">
        <is>
          <t>TABLERO/CCM</t>
        </is>
      </c>
    </row>
    <row r="347">
      <c r="A347" s="14" t="inlineStr">
        <is>
          <t>P-MAN-90006-S5</t>
        </is>
      </c>
      <c r="B347" s="14" t="inlineStr">
        <is>
          <t>102-CCM-006</t>
        </is>
      </c>
      <c r="C347" s="14" t="inlineStr">
        <is>
          <t>MAN-90006</t>
        </is>
      </c>
      <c r="D347" s="14" t="inlineStr">
        <is>
          <t>380</t>
        </is>
      </c>
      <c r="E347" s="14" t="inlineStr">
        <is>
          <t>50</t>
        </is>
      </c>
      <c r="F347" s="14" t="inlineStr">
        <is>
          <t>1kV-XLPE-Arm-CU</t>
        </is>
      </c>
      <c r="G347" s="14" t="inlineStr">
        <is>
          <t>1x240</t>
        </is>
      </c>
      <c r="H347" s="14" t="inlineStr">
        <is>
          <t>SALA ELÉCTRICA 3</t>
        </is>
      </c>
      <c r="I347" s="14" t="inlineStr">
        <is>
          <t>Generador de Emergencia - CCM-006 Barra C</t>
        </is>
      </c>
      <c r="J347" s="14" t="inlineStr">
        <is>
          <t>POTENCIA_BT</t>
        </is>
      </c>
      <c r="K347" s="14" t="inlineStr">
        <is>
          <t>CPF2</t>
        </is>
      </c>
      <c r="L347" s="137" t="n">
        <v>1</v>
      </c>
      <c r="M347" s="144" t="inlineStr">
        <is>
          <t>SI</t>
        </is>
      </c>
      <c r="N347" s="139" t="n">
        <v>2</v>
      </c>
      <c r="O347" s="145" t="n">
        <v>2</v>
      </c>
      <c r="P347" s="141" t="n">
        <v>4</v>
      </c>
      <c r="Q347" s="136" t="inlineStr">
        <is>
          <t>POTENCIA BT GRANDE (≥95mm²)</t>
        </is>
      </c>
      <c r="R347" s="136" t="inlineStr">
        <is>
          <t>TABLERO/CCM</t>
        </is>
      </c>
    </row>
    <row r="348">
      <c r="A348" s="14" t="inlineStr">
        <is>
          <t>P-MAN-90006-T1</t>
        </is>
      </c>
      <c r="B348" s="14" t="inlineStr">
        <is>
          <t>102-CCM-006</t>
        </is>
      </c>
      <c r="C348" s="14" t="inlineStr">
        <is>
          <t>MAN-90006</t>
        </is>
      </c>
      <c r="D348" s="14" t="inlineStr">
        <is>
          <t>380</t>
        </is>
      </c>
      <c r="E348" s="14" t="inlineStr">
        <is>
          <t>50</t>
        </is>
      </c>
      <c r="F348" s="14" t="inlineStr">
        <is>
          <t>1kV-XLPE-Arm-CU</t>
        </is>
      </c>
      <c r="G348" s="14" t="inlineStr">
        <is>
          <t>1x240</t>
        </is>
      </c>
      <c r="H348" s="14" t="inlineStr">
        <is>
          <t>SALA ELÉCTRICA 3</t>
        </is>
      </c>
      <c r="I348" s="14" t="inlineStr">
        <is>
          <t>Generador de Emergencia - CCM-006 Barra C</t>
        </is>
      </c>
      <c r="J348" s="14" t="inlineStr">
        <is>
          <t>POTENCIA_BT</t>
        </is>
      </c>
      <c r="K348" s="14" t="inlineStr">
        <is>
          <t>CPF2</t>
        </is>
      </c>
      <c r="L348" s="137" t="n">
        <v>1</v>
      </c>
      <c r="M348" s="144" t="inlineStr">
        <is>
          <t>SI</t>
        </is>
      </c>
      <c r="N348" s="139" t="n">
        <v>2</v>
      </c>
      <c r="O348" s="145" t="n">
        <v>2</v>
      </c>
      <c r="P348" s="141" t="n">
        <v>4</v>
      </c>
      <c r="Q348" s="136" t="inlineStr">
        <is>
          <t>POTENCIA BT GRANDE (≥95mm²)</t>
        </is>
      </c>
      <c r="R348" s="136" t="inlineStr">
        <is>
          <t>TABLERO/CCM</t>
        </is>
      </c>
    </row>
    <row r="349">
      <c r="A349" s="14" t="inlineStr">
        <is>
          <t>P-MAN-90006-T2</t>
        </is>
      </c>
      <c r="B349" s="14" t="inlineStr">
        <is>
          <t>102-CCM-006</t>
        </is>
      </c>
      <c r="C349" s="14" t="inlineStr">
        <is>
          <t>MAN-90006</t>
        </is>
      </c>
      <c r="D349" s="14" t="inlineStr">
        <is>
          <t>380</t>
        </is>
      </c>
      <c r="E349" s="14" t="inlineStr">
        <is>
          <t>50</t>
        </is>
      </c>
      <c r="F349" s="14" t="inlineStr">
        <is>
          <t>1kV-XLPE-Arm-CU</t>
        </is>
      </c>
      <c r="G349" s="14" t="inlineStr">
        <is>
          <t>1x240</t>
        </is>
      </c>
      <c r="H349" s="14" t="inlineStr">
        <is>
          <t>SALA ELÉCTRICA 3</t>
        </is>
      </c>
      <c r="I349" s="14" t="inlineStr">
        <is>
          <t>Generador de Emergencia - CCM-006 Barra C</t>
        </is>
      </c>
      <c r="J349" s="14" t="inlineStr">
        <is>
          <t>POTENCIA_BT</t>
        </is>
      </c>
      <c r="K349" s="14" t="inlineStr">
        <is>
          <t>CPF2</t>
        </is>
      </c>
      <c r="L349" s="137" t="n">
        <v>1</v>
      </c>
      <c r="M349" s="144" t="inlineStr">
        <is>
          <t>SI</t>
        </is>
      </c>
      <c r="N349" s="139" t="n">
        <v>2</v>
      </c>
      <c r="O349" s="145" t="n">
        <v>2</v>
      </c>
      <c r="P349" s="141" t="n">
        <v>4</v>
      </c>
      <c r="Q349" s="136" t="inlineStr">
        <is>
          <t>POTENCIA BT GRANDE (≥95mm²)</t>
        </is>
      </c>
      <c r="R349" s="136" t="inlineStr">
        <is>
          <t>TABLERO/CCM</t>
        </is>
      </c>
    </row>
    <row r="350">
      <c r="A350" s="14" t="inlineStr">
        <is>
          <t>P-MAN-90006-T3</t>
        </is>
      </c>
      <c r="B350" s="14" t="inlineStr">
        <is>
          <t>102-CCM-006</t>
        </is>
      </c>
      <c r="C350" s="14" t="inlineStr">
        <is>
          <t>MAN-90006</t>
        </is>
      </c>
      <c r="D350" s="14" t="inlineStr">
        <is>
          <t>380</t>
        </is>
      </c>
      <c r="E350" s="14" t="inlineStr">
        <is>
          <t>50</t>
        </is>
      </c>
      <c r="F350" s="14" t="inlineStr">
        <is>
          <t>1kV-XLPE-Arm-CU</t>
        </is>
      </c>
      <c r="G350" s="14" t="inlineStr">
        <is>
          <t>1x240</t>
        </is>
      </c>
      <c r="H350" s="14" t="inlineStr">
        <is>
          <t>SALA ELÉCTRICA 3</t>
        </is>
      </c>
      <c r="I350" s="14" t="inlineStr">
        <is>
          <t>Generador de Emergencia - CCM-006 Barra C</t>
        </is>
      </c>
      <c r="J350" s="14" t="inlineStr">
        <is>
          <t>POTENCIA_BT</t>
        </is>
      </c>
      <c r="K350" s="14" t="inlineStr">
        <is>
          <t>CPF2</t>
        </is>
      </c>
      <c r="L350" s="137" t="n">
        <v>1</v>
      </c>
      <c r="M350" s="144" t="inlineStr">
        <is>
          <t>SI</t>
        </is>
      </c>
      <c r="N350" s="139" t="n">
        <v>2</v>
      </c>
      <c r="O350" s="145" t="n">
        <v>2</v>
      </c>
      <c r="P350" s="141" t="n">
        <v>4</v>
      </c>
      <c r="Q350" s="136" t="inlineStr">
        <is>
          <t>POTENCIA BT GRANDE (≥95mm²)</t>
        </is>
      </c>
      <c r="R350" s="136" t="inlineStr">
        <is>
          <t>TABLERO/CCM</t>
        </is>
      </c>
    </row>
    <row r="351">
      <c r="A351" s="14" t="inlineStr">
        <is>
          <t>P-MAN-90006-T4</t>
        </is>
      </c>
      <c r="B351" s="14" t="inlineStr">
        <is>
          <t>102-CCM-006</t>
        </is>
      </c>
      <c r="C351" s="14" t="inlineStr">
        <is>
          <t>MAN-90006</t>
        </is>
      </c>
      <c r="D351" s="14" t="inlineStr">
        <is>
          <t>380</t>
        </is>
      </c>
      <c r="E351" s="14" t="inlineStr">
        <is>
          <t>50</t>
        </is>
      </c>
      <c r="F351" s="14" t="inlineStr">
        <is>
          <t>1kV-XLPE-Arm-CU</t>
        </is>
      </c>
      <c r="G351" s="14" t="inlineStr">
        <is>
          <t>1x240</t>
        </is>
      </c>
      <c r="H351" s="14" t="inlineStr">
        <is>
          <t>SALA ELÉCTRICA 3</t>
        </is>
      </c>
      <c r="I351" s="14" t="inlineStr">
        <is>
          <t>Generador de Emergencia - CCM-006 Barra C</t>
        </is>
      </c>
      <c r="J351" s="14" t="inlineStr">
        <is>
          <t>POTENCIA_BT</t>
        </is>
      </c>
      <c r="K351" s="14" t="inlineStr">
        <is>
          <t>CPF2</t>
        </is>
      </c>
      <c r="L351" s="137" t="n">
        <v>1</v>
      </c>
      <c r="M351" s="144" t="inlineStr">
        <is>
          <t>SI</t>
        </is>
      </c>
      <c r="N351" s="139" t="n">
        <v>2</v>
      </c>
      <c r="O351" s="145" t="n">
        <v>2</v>
      </c>
      <c r="P351" s="141" t="n">
        <v>4</v>
      </c>
      <c r="Q351" s="136" t="inlineStr">
        <is>
          <t>POTENCIA BT GRANDE (≥95mm²)</t>
        </is>
      </c>
      <c r="R351" s="136" t="inlineStr">
        <is>
          <t>TABLERO/CCM</t>
        </is>
      </c>
    </row>
    <row r="352">
      <c r="A352" s="14" t="inlineStr">
        <is>
          <t>P-MAN-90006-T5</t>
        </is>
      </c>
      <c r="B352" s="14" t="inlineStr">
        <is>
          <t>102-CCM-006</t>
        </is>
      </c>
      <c r="C352" s="14" t="inlineStr">
        <is>
          <t>MAN-90006</t>
        </is>
      </c>
      <c r="D352" s="14" t="inlineStr">
        <is>
          <t>380</t>
        </is>
      </c>
      <c r="E352" s="14" t="inlineStr">
        <is>
          <t>50</t>
        </is>
      </c>
      <c r="F352" s="14" t="inlineStr">
        <is>
          <t>1kV-XLPE-Arm-CU</t>
        </is>
      </c>
      <c r="G352" s="14" t="inlineStr">
        <is>
          <t>1x240</t>
        </is>
      </c>
      <c r="H352" s="14" t="inlineStr">
        <is>
          <t>SALA ELÉCTRICA 3</t>
        </is>
      </c>
      <c r="I352" s="14" t="inlineStr">
        <is>
          <t>Generador de Emergencia - CCM-006 Barra C</t>
        </is>
      </c>
      <c r="J352" s="14" t="inlineStr">
        <is>
          <t>POTENCIA_BT</t>
        </is>
      </c>
      <c r="K352" s="14" t="inlineStr">
        <is>
          <t>CPF2</t>
        </is>
      </c>
      <c r="L352" s="137" t="n">
        <v>1</v>
      </c>
      <c r="M352" s="144" t="inlineStr">
        <is>
          <t>SI</t>
        </is>
      </c>
      <c r="N352" s="139" t="n">
        <v>2</v>
      </c>
      <c r="O352" s="145" t="n">
        <v>2</v>
      </c>
      <c r="P352" s="141" t="n">
        <v>4</v>
      </c>
      <c r="Q352" s="136" t="inlineStr">
        <is>
          <t>POTENCIA BT GRANDE (≥95mm²)</t>
        </is>
      </c>
      <c r="R352" s="136" t="inlineStr">
        <is>
          <t>TABLERO/CCM</t>
        </is>
      </c>
    </row>
    <row r="353">
      <c r="A353" s="14" t="inlineStr">
        <is>
          <t>P-MAN-90006-N1</t>
        </is>
      </c>
      <c r="B353" s="14" t="inlineStr">
        <is>
          <t>102-CCM-006</t>
        </is>
      </c>
      <c r="C353" s="14" t="inlineStr">
        <is>
          <t>MAN-90006</t>
        </is>
      </c>
      <c r="D353" s="14" t="inlineStr">
        <is>
          <t>380</t>
        </is>
      </c>
      <c r="E353" s="14" t="inlineStr">
        <is>
          <t>50</t>
        </is>
      </c>
      <c r="F353" s="14" t="inlineStr">
        <is>
          <t>1kV-XLPE-Arm-CU</t>
        </is>
      </c>
      <c r="G353" s="14" t="inlineStr">
        <is>
          <t>1x240</t>
        </is>
      </c>
      <c r="H353" s="14" t="inlineStr">
        <is>
          <t>SALA ELÉCTRICA 3</t>
        </is>
      </c>
      <c r="I353" s="14" t="inlineStr">
        <is>
          <t>Generador de Emergencia - CCM-006 Barra C</t>
        </is>
      </c>
      <c r="J353" s="14" t="inlineStr">
        <is>
          <t>POTENCIA_BT</t>
        </is>
      </c>
      <c r="K353" s="14" t="inlineStr">
        <is>
          <t>CPF2</t>
        </is>
      </c>
      <c r="L353" s="137" t="n">
        <v>1</v>
      </c>
      <c r="M353" s="144" t="inlineStr">
        <is>
          <t>SI</t>
        </is>
      </c>
      <c r="N353" s="139" t="n">
        <v>2</v>
      </c>
      <c r="O353" s="145" t="n">
        <v>2</v>
      </c>
      <c r="P353" s="141" t="n">
        <v>4</v>
      </c>
      <c r="Q353" s="136" t="inlineStr">
        <is>
          <t>POTENCIA BT GRANDE (≥95mm²)</t>
        </is>
      </c>
      <c r="R353" s="136" t="inlineStr">
        <is>
          <t>TABLERO/CCM</t>
        </is>
      </c>
    </row>
    <row r="354">
      <c r="A354" s="14" t="inlineStr">
        <is>
          <t>P-MAN-90006-N2</t>
        </is>
      </c>
      <c r="B354" s="14" t="inlineStr">
        <is>
          <t>102-CCM-006</t>
        </is>
      </c>
      <c r="C354" s="14" t="inlineStr">
        <is>
          <t>MAN-90006</t>
        </is>
      </c>
      <c r="D354" s="14" t="inlineStr">
        <is>
          <t>380</t>
        </is>
      </c>
      <c r="E354" s="14" t="inlineStr">
        <is>
          <t>50</t>
        </is>
      </c>
      <c r="F354" s="14" t="inlineStr">
        <is>
          <t>1kV-XLPE-Arm-CU</t>
        </is>
      </c>
      <c r="G354" s="14" t="inlineStr">
        <is>
          <t>1x240</t>
        </is>
      </c>
      <c r="H354" s="14" t="inlineStr">
        <is>
          <t>SALA ELÉCTRICA 3</t>
        </is>
      </c>
      <c r="I354" s="14" t="inlineStr">
        <is>
          <t>Generador de Emergencia - CCM-006 Barra C 102-LP-001 (NORMAL\</t>
        </is>
      </c>
      <c r="J354" s="14" t="inlineStr">
        <is>
          <t>POTENCIA_BT</t>
        </is>
      </c>
      <c r="K354" s="14" t="inlineStr">
        <is>
          <t>CPF2</t>
        </is>
      </c>
      <c r="L354" s="137" t="n">
        <v>1</v>
      </c>
      <c r="M354" s="144" t="inlineStr">
        <is>
          <t>SI</t>
        </is>
      </c>
      <c r="N354" s="139" t="n">
        <v>2</v>
      </c>
      <c r="O354" s="145" t="n">
        <v>2</v>
      </c>
      <c r="P354" s="141" t="n">
        <v>4</v>
      </c>
      <c r="Q354" s="136" t="inlineStr">
        <is>
          <t>POTENCIA BT GRANDE (≥95mm²)</t>
        </is>
      </c>
      <c r="R354" s="136" t="inlineStr">
        <is>
          <t>TABLERO/CCM</t>
        </is>
      </c>
    </row>
    <row r="355">
      <c r="A355" s="14" t="inlineStr">
        <is>
          <t>P-102-JBI-001</t>
        </is>
      </c>
      <c r="B355" s="14" t="inlineStr">
        <is>
          <t>102-LP-001</t>
        </is>
      </c>
      <c r="C355" s="14" t="inlineStr">
        <is>
          <t>102-JBI-001</t>
        </is>
      </c>
      <c r="D355" s="14" t="inlineStr">
        <is>
          <t>380</t>
        </is>
      </c>
      <c r="E355" s="14" t="inlineStr">
        <is>
          <t>150</t>
        </is>
      </c>
      <c r="F355" s="14" t="inlineStr">
        <is>
          <t>1kV-XLPE-Arm-T-CU</t>
        </is>
      </c>
      <c r="G355" s="14" t="inlineStr">
        <is>
          <t>4x10+T</t>
        </is>
      </c>
      <c r="H355" s="14" t="inlineStr">
        <is>
          <t>SALA ELÉCTRICA 3</t>
        </is>
      </c>
      <c r="I355" s="14" t="inlineStr"/>
      <c r="J355" s="14" t="inlineStr">
        <is>
          <t>POTENCIA_BT</t>
        </is>
      </c>
      <c r="K355" s="14" t="inlineStr">
        <is>
          <t>CPF2</t>
        </is>
      </c>
      <c r="L355" s="137" t="n">
        <v>5</v>
      </c>
      <c r="M355" s="144" t="inlineStr">
        <is>
          <t>SI</t>
        </is>
      </c>
      <c r="N355" s="139" t="n">
        <v>10</v>
      </c>
      <c r="O355" s="145" t="n">
        <v>2</v>
      </c>
      <c r="P355" s="141" t="n">
        <v>12</v>
      </c>
      <c r="Q355" s="136" t="inlineStr">
        <is>
          <t>POTENCIA BT PEQUEÑA (10-25mm²)</t>
        </is>
      </c>
      <c r="R355" s="136" t="inlineStr">
        <is>
          <t>TABLERO/CCM</t>
        </is>
      </c>
    </row>
    <row r="356">
      <c r="A356" s="14" t="inlineStr">
        <is>
          <t>P-102-JBI-002</t>
        </is>
      </c>
      <c r="B356" s="14" t="inlineStr">
        <is>
          <t>102-LP-001</t>
        </is>
      </c>
      <c r="C356" s="14" t="inlineStr">
        <is>
          <t>102-JBI-002</t>
        </is>
      </c>
      <c r="D356" s="14" t="inlineStr">
        <is>
          <t>380</t>
        </is>
      </c>
      <c r="E356" s="14" t="inlineStr">
        <is>
          <t>130</t>
        </is>
      </c>
      <c r="F356" s="14" t="inlineStr">
        <is>
          <t>1kV-XLPE-Arm-T-CU</t>
        </is>
      </c>
      <c r="G356" s="14" t="inlineStr">
        <is>
          <t>4x10+T</t>
        </is>
      </c>
      <c r="H356" s="14" t="inlineStr">
        <is>
          <t>Iluminación ext. normal - Área PTA</t>
        </is>
      </c>
      <c r="I356" s="14" t="inlineStr">
        <is>
          <t>Iluminación ext. normal - Áreas Unidad Trat de Condensado 260  y Efluentes</t>
        </is>
      </c>
      <c r="J356" s="14" t="inlineStr">
        <is>
          <t>POTENCIA_BT</t>
        </is>
      </c>
      <c r="K356" s="14" t="inlineStr">
        <is>
          <t>CPF2</t>
        </is>
      </c>
      <c r="L356" s="137" t="n">
        <v>5</v>
      </c>
      <c r="M356" s="144" t="inlineStr">
        <is>
          <t>SI</t>
        </is>
      </c>
      <c r="N356" s="139" t="n">
        <v>10</v>
      </c>
      <c r="O356" s="145" t="n">
        <v>2</v>
      </c>
      <c r="P356" s="141" t="n">
        <v>12</v>
      </c>
      <c r="Q356" s="136" t="inlineStr">
        <is>
          <t>POTENCIA BT PEQUEÑA (10-25mm²)</t>
        </is>
      </c>
      <c r="R356" s="136" t="inlineStr">
        <is>
          <t>ILUMINACION</t>
        </is>
      </c>
    </row>
    <row r="357">
      <c r="A357" s="14" t="inlineStr">
        <is>
          <t>P-102-JBI-003</t>
        </is>
      </c>
      <c r="B357" s="14" t="inlineStr">
        <is>
          <t>102-LP-001</t>
        </is>
      </c>
      <c r="C357" s="14" t="inlineStr">
        <is>
          <t>102-JBI-003</t>
        </is>
      </c>
      <c r="D357" s="14" t="inlineStr">
        <is>
          <t>380</t>
        </is>
      </c>
      <c r="E357" s="14" t="inlineStr">
        <is>
          <t>220</t>
        </is>
      </c>
      <c r="F357" s="14" t="inlineStr">
        <is>
          <t>1kV-XLPE-Arm-T-CU</t>
        </is>
      </c>
      <c r="G357" s="14" t="inlineStr">
        <is>
          <t>4x10+T</t>
        </is>
      </c>
      <c r="H357" s="14" t="inlineStr">
        <is>
          <t>Iluminación ext. normal - Área PTA</t>
        </is>
      </c>
      <c r="I357" s="14" t="inlineStr"/>
      <c r="J357" s="14" t="inlineStr">
        <is>
          <t>POTENCIA_BT</t>
        </is>
      </c>
      <c r="K357" s="14" t="inlineStr">
        <is>
          <t>CPF2</t>
        </is>
      </c>
      <c r="L357" s="137" t="n">
        <v>5</v>
      </c>
      <c r="M357" s="144" t="inlineStr">
        <is>
          <t>SI</t>
        </is>
      </c>
      <c r="N357" s="139" t="n">
        <v>10</v>
      </c>
      <c r="O357" s="145" t="n">
        <v>2</v>
      </c>
      <c r="P357" s="141" t="n">
        <v>12</v>
      </c>
      <c r="Q357" s="136" t="inlineStr">
        <is>
          <t>POTENCIA BT PEQUEÑA (10-25mm²)</t>
        </is>
      </c>
      <c r="R357" s="136" t="inlineStr">
        <is>
          <t>ILUMINACION</t>
        </is>
      </c>
    </row>
    <row r="358">
      <c r="A358" s="14" t="inlineStr">
        <is>
          <t>P-102-JBI-004</t>
        </is>
      </c>
      <c r="B358" s="14" t="inlineStr">
        <is>
          <t>102-LP-001</t>
        </is>
      </c>
      <c r="C358" s="14" t="inlineStr">
        <is>
          <t>102-JBI-004</t>
        </is>
      </c>
      <c r="D358" s="14" t="inlineStr">
        <is>
          <t>380</t>
        </is>
      </c>
      <c r="E358" s="14" t="inlineStr">
        <is>
          <t>150</t>
        </is>
      </c>
      <c r="F358" s="14" t="inlineStr">
        <is>
          <t>1kV-XLPE-Arm-T-CU</t>
        </is>
      </c>
      <c r="G358" s="14" t="inlineStr">
        <is>
          <t>4x10+T</t>
        </is>
      </c>
      <c r="H358" s="14" t="inlineStr">
        <is>
          <t>Iluminación ext. normal - Área 942 HOT OIL</t>
        </is>
      </c>
      <c r="I358" s="14" t="inlineStr">
        <is>
          <t>Iluminación ext. normal - Áreas Unidad Proc de Gas 140 y Skid Gas Comb</t>
        </is>
      </c>
      <c r="J358" s="14" t="inlineStr">
        <is>
          <t>POTENCIA_BT</t>
        </is>
      </c>
      <c r="K358" s="14" t="inlineStr">
        <is>
          <t>CPF2</t>
        </is>
      </c>
      <c r="L358" s="137" t="n">
        <v>5</v>
      </c>
      <c r="M358" s="144" t="inlineStr">
        <is>
          <t>SI</t>
        </is>
      </c>
      <c r="N358" s="139" t="n">
        <v>10</v>
      </c>
      <c r="O358" s="145" t="n">
        <v>2</v>
      </c>
      <c r="P358" s="141" t="n">
        <v>12</v>
      </c>
      <c r="Q358" s="136" t="inlineStr">
        <is>
          <t>POTENCIA BT PEQUEÑA (10-25mm²)</t>
        </is>
      </c>
      <c r="R358" s="136" t="inlineStr">
        <is>
          <t>ILUMINACION</t>
        </is>
      </c>
    </row>
    <row r="359">
      <c r="A359" s="14" t="inlineStr">
        <is>
          <t>P-102-JBI-005</t>
        </is>
      </c>
      <c r="B359" s="14" t="inlineStr">
        <is>
          <t>102-LP-001</t>
        </is>
      </c>
      <c r="C359" s="14" t="inlineStr">
        <is>
          <t>102-JBI-005</t>
        </is>
      </c>
      <c r="D359" s="14" t="inlineStr">
        <is>
          <t>380</t>
        </is>
      </c>
      <c r="E359" s="14" t="inlineStr">
        <is>
          <t>130</t>
        </is>
      </c>
      <c r="F359" s="14" t="inlineStr">
        <is>
          <t>1kV-XLPE-Arm-T-CU</t>
        </is>
      </c>
      <c r="G359" s="14" t="inlineStr">
        <is>
          <t>4x10+T</t>
        </is>
      </c>
      <c r="H359" s="14" t="inlineStr">
        <is>
          <t>Iluminación ext. normal - Área 942 HOT OIL</t>
        </is>
      </c>
      <c r="I359" s="14" t="inlineStr">
        <is>
          <t>Iluminación ext. normal - Áreas Compresores 291/292/293 y Serv. Comp A</t>
        </is>
      </c>
      <c r="J359" s="14" t="inlineStr">
        <is>
          <t>POTENCIA_BT</t>
        </is>
      </c>
      <c r="K359" s="14" t="inlineStr">
        <is>
          <t>CPF2</t>
        </is>
      </c>
      <c r="L359" s="137" t="n">
        <v>5</v>
      </c>
      <c r="M359" s="144" t="inlineStr">
        <is>
          <t>SI</t>
        </is>
      </c>
      <c r="N359" s="139" t="n">
        <v>10</v>
      </c>
      <c r="O359" s="145" t="n">
        <v>2</v>
      </c>
      <c r="P359" s="141" t="n">
        <v>12</v>
      </c>
      <c r="Q359" s="136" t="inlineStr">
        <is>
          <t>POTENCIA BT PEQUEÑA (10-25mm²)</t>
        </is>
      </c>
      <c r="R359" s="136" t="inlineStr">
        <is>
          <t>MOTOR/ACCIONAMIENTO</t>
        </is>
      </c>
    </row>
    <row r="360">
      <c r="A360" s="14" t="inlineStr">
        <is>
          <t>P-102-JBI-006</t>
        </is>
      </c>
      <c r="B360" s="14" t="inlineStr">
        <is>
          <t>102-LP-001</t>
        </is>
      </c>
      <c r="C360" s="14" t="inlineStr">
        <is>
          <t>102-JBI-006</t>
        </is>
      </c>
      <c r="D360" s="14" t="inlineStr">
        <is>
          <t>380</t>
        </is>
      </c>
      <c r="E360" s="14" t="inlineStr">
        <is>
          <t>200</t>
        </is>
      </c>
      <c r="F360" s="14" t="inlineStr">
        <is>
          <t>1kV-XLPE-Arm-T-CU</t>
        </is>
      </c>
      <c r="G360" s="14" t="inlineStr">
        <is>
          <t>4x10+T</t>
        </is>
      </c>
      <c r="H360" s="14" t="inlineStr">
        <is>
          <t>Iluminación ext. normal - Área 942 HOT OIL</t>
        </is>
      </c>
      <c r="I360" s="14" t="inlineStr">
        <is>
          <t>Iluminación ext. normal - Áreas Almacenamiento de cond e Iny. De Agua A</t>
        </is>
      </c>
      <c r="J360" s="14" t="inlineStr">
        <is>
          <t>POTENCIA_BT</t>
        </is>
      </c>
      <c r="K360" s="14" t="inlineStr">
        <is>
          <t>CPF2</t>
        </is>
      </c>
      <c r="L360" s="137" t="n">
        <v>5</v>
      </c>
      <c r="M360" s="144" t="inlineStr">
        <is>
          <t>SI</t>
        </is>
      </c>
      <c r="N360" s="139" t="n">
        <v>10</v>
      </c>
      <c r="O360" s="145" t="n">
        <v>2</v>
      </c>
      <c r="P360" s="141" t="n">
        <v>12</v>
      </c>
      <c r="Q360" s="136" t="inlineStr">
        <is>
          <t>POTENCIA BT PEQUEÑA (10-25mm²)</t>
        </is>
      </c>
      <c r="R360" s="136" t="inlineStr">
        <is>
          <t>ILUMINACION</t>
        </is>
      </c>
    </row>
    <row r="361">
      <c r="A361" s="14" t="inlineStr">
        <is>
          <t>P-102-JBI-007</t>
        </is>
      </c>
      <c r="B361" s="14" t="inlineStr">
        <is>
          <t>102-LP-001</t>
        </is>
      </c>
      <c r="C361" s="14" t="inlineStr">
        <is>
          <t>102-JBI-007</t>
        </is>
      </c>
      <c r="D361" s="14" t="inlineStr">
        <is>
          <t>380</t>
        </is>
      </c>
      <c r="E361" s="14" t="inlineStr">
        <is>
          <t>80</t>
        </is>
      </c>
      <c r="F361" s="14" t="inlineStr">
        <is>
          <t>1kV-XLPE-Arm-T-CU</t>
        </is>
      </c>
      <c r="G361" s="14" t="inlineStr">
        <is>
          <t>4x10+T</t>
        </is>
      </c>
      <c r="H361" s="14" t="inlineStr">
        <is>
          <t>Iluminación ext. normal - Área 942 HOT OIL</t>
        </is>
      </c>
      <c r="I361" s="14" t="inlineStr">
        <is>
          <t>Iluminación ext. normal- Salas Elect 3 /4 y Shelter INS007 A</t>
        </is>
      </c>
      <c r="J361" s="14" t="inlineStr">
        <is>
          <t>POTENCIA_BT</t>
        </is>
      </c>
      <c r="K361" s="14" t="inlineStr">
        <is>
          <t>CPF2</t>
        </is>
      </c>
      <c r="L361" s="137" t="n">
        <v>5</v>
      </c>
      <c r="M361" s="144" t="inlineStr">
        <is>
          <t>SI</t>
        </is>
      </c>
      <c r="N361" s="139" t="n">
        <v>10</v>
      </c>
      <c r="O361" s="145" t="n">
        <v>2</v>
      </c>
      <c r="P361" s="141" t="n">
        <v>12</v>
      </c>
      <c r="Q361" s="136" t="inlineStr">
        <is>
          <t>POTENCIA BT PEQUEÑA (10-25mm²)</t>
        </is>
      </c>
      <c r="R361" s="136" t="inlineStr">
        <is>
          <t>ILUMINACION</t>
        </is>
      </c>
    </row>
    <row r="362">
      <c r="A362" s="14" t="inlineStr">
        <is>
          <t>P-102-JBI-008</t>
        </is>
      </c>
      <c r="B362" s="14" t="inlineStr">
        <is>
          <t>102-LP-001</t>
        </is>
      </c>
      <c r="C362" s="14" t="inlineStr">
        <is>
          <t>102-JBI-008</t>
        </is>
      </c>
      <c r="D362" s="14" t="inlineStr">
        <is>
          <t>380</t>
        </is>
      </c>
      <c r="E362" s="14" t="inlineStr">
        <is>
          <t>220</t>
        </is>
      </c>
      <c r="F362" s="14" t="inlineStr">
        <is>
          <t>1kV-XLPE-Arm-T-CU</t>
        </is>
      </c>
      <c r="G362" s="14" t="inlineStr">
        <is>
          <t>4x10+T</t>
        </is>
      </c>
      <c r="H362" s="14" t="inlineStr">
        <is>
          <t>Iluminación ext. normal - Área 942 HOT OIL</t>
        </is>
      </c>
      <c r="I362" s="14" t="inlineStr"/>
      <c r="J362" s="14" t="inlineStr">
        <is>
          <t>POTENCIA_BT</t>
        </is>
      </c>
      <c r="K362" s="14" t="inlineStr">
        <is>
          <t>CPF2</t>
        </is>
      </c>
      <c r="L362" s="137" t="n">
        <v>5</v>
      </c>
      <c r="M362" s="144" t="inlineStr">
        <is>
          <t>SI</t>
        </is>
      </c>
      <c r="N362" s="139" t="n">
        <v>10</v>
      </c>
      <c r="O362" s="145" t="n">
        <v>2</v>
      </c>
      <c r="P362" s="141" t="n">
        <v>12</v>
      </c>
      <c r="Q362" s="136" t="inlineStr">
        <is>
          <t>POTENCIA BT PEQUEÑA (10-25mm²)</t>
        </is>
      </c>
      <c r="R362" s="136" t="inlineStr">
        <is>
          <t>ILUMINACION</t>
        </is>
      </c>
    </row>
    <row r="363">
      <c r="A363" s="14" t="inlineStr">
        <is>
          <t>P-102-JBI-009</t>
        </is>
      </c>
      <c r="B363" s="14" t="inlineStr">
        <is>
          <t>102-LP-001</t>
        </is>
      </c>
      <c r="C363" s="14" t="inlineStr">
        <is>
          <t>102-JBI-009</t>
        </is>
      </c>
      <c r="D363" s="14" t="inlineStr">
        <is>
          <t>380</t>
        </is>
      </c>
      <c r="E363" s="14" t="inlineStr">
        <is>
          <t>200</t>
        </is>
      </c>
      <c r="F363" s="14" t="inlineStr">
        <is>
          <t>1kV-XLPE-Arm-T-CU</t>
        </is>
      </c>
      <c r="G363" s="14" t="inlineStr">
        <is>
          <t>4x10+T</t>
        </is>
      </c>
      <c r="H363" s="14" t="inlineStr">
        <is>
          <t>Iluminación ext. normal- Área Servicios Aire y Nitrógeno</t>
        </is>
      </c>
      <c r="I363" s="14" t="inlineStr"/>
      <c r="J363" s="14" t="inlineStr">
        <is>
          <t>POTENCIA_BT</t>
        </is>
      </c>
      <c r="K363" s="14" t="inlineStr">
        <is>
          <t>CPF2</t>
        </is>
      </c>
      <c r="L363" s="137" t="n">
        <v>5</v>
      </c>
      <c r="M363" s="144" t="inlineStr">
        <is>
          <t>SI</t>
        </is>
      </c>
      <c r="N363" s="139" t="n">
        <v>10</v>
      </c>
      <c r="O363" s="145" t="n">
        <v>2</v>
      </c>
      <c r="P363" s="141" t="n">
        <v>12</v>
      </c>
      <c r="Q363" s="136" t="inlineStr">
        <is>
          <t>POTENCIA BT PEQUEÑA (10-25mm²)</t>
        </is>
      </c>
      <c r="R363" s="136" t="inlineStr">
        <is>
          <t>ILUMINACION</t>
        </is>
      </c>
    </row>
    <row r="364">
      <c r="A364" s="14" t="inlineStr">
        <is>
          <t>P-102-JBI-010</t>
        </is>
      </c>
      <c r="B364" s="14" t="inlineStr">
        <is>
          <t>102-LP-001</t>
        </is>
      </c>
      <c r="C364" s="14" t="inlineStr">
        <is>
          <t>102-JBI-010</t>
        </is>
      </c>
      <c r="D364" s="14" t="inlineStr">
        <is>
          <t>380</t>
        </is>
      </c>
      <c r="E364" s="14" t="inlineStr">
        <is>
          <t>100</t>
        </is>
      </c>
      <c r="F364" s="14" t="inlineStr">
        <is>
          <t>1kV-XLPE-Arm-T-CU</t>
        </is>
      </c>
      <c r="G364" s="14" t="inlineStr">
        <is>
          <t>4x10+T</t>
        </is>
      </c>
      <c r="H364" s="14" t="inlineStr">
        <is>
          <t>Iluminación ext. normal- Área KOD</t>
        </is>
      </c>
      <c r="I364" s="14" t="inlineStr">
        <is>
          <t>Iluminación Vial Calle E A</t>
        </is>
      </c>
      <c r="J364" s="14" t="inlineStr">
        <is>
          <t>POTENCIA_BT</t>
        </is>
      </c>
      <c r="K364" s="14" t="inlineStr">
        <is>
          <t>CPF2</t>
        </is>
      </c>
      <c r="L364" s="137" t="n">
        <v>5</v>
      </c>
      <c r="M364" s="144" t="inlineStr">
        <is>
          <t>SI</t>
        </is>
      </c>
      <c r="N364" s="139" t="n">
        <v>10</v>
      </c>
      <c r="O364" s="145" t="n">
        <v>2</v>
      </c>
      <c r="P364" s="141" t="n">
        <v>12</v>
      </c>
      <c r="Q364" s="136" t="inlineStr">
        <is>
          <t>POTENCIA BT PEQUEÑA (10-25mm²)</t>
        </is>
      </c>
      <c r="R364" s="136" t="inlineStr">
        <is>
          <t>ILUMINACION</t>
        </is>
      </c>
    </row>
    <row r="365">
      <c r="A365" s="14" t="inlineStr">
        <is>
          <t>P-102-JBI-011</t>
        </is>
      </c>
      <c r="B365" s="14" t="inlineStr">
        <is>
          <t>102-LP-001</t>
        </is>
      </c>
      <c r="C365" s="14" t="inlineStr">
        <is>
          <t>102-JBI-011</t>
        </is>
      </c>
      <c r="D365" s="14" t="inlineStr">
        <is>
          <t>380</t>
        </is>
      </c>
      <c r="E365" s="14" t="inlineStr">
        <is>
          <t>100</t>
        </is>
      </c>
      <c r="F365" s="14" t="inlineStr">
        <is>
          <t>1kV-XLPE-Arm-T-CU</t>
        </is>
      </c>
      <c r="G365" s="14" t="inlineStr">
        <is>
          <t>4x10+T</t>
        </is>
      </c>
      <c r="H365" s="14" t="inlineStr">
        <is>
          <t>Iluminación ext. normal- Área KOD</t>
        </is>
      </c>
      <c r="I365" s="14" t="inlineStr">
        <is>
          <t>Iluminación Vial Calle E1 A</t>
        </is>
      </c>
      <c r="J365" s="14" t="inlineStr">
        <is>
          <t>POTENCIA_BT</t>
        </is>
      </c>
      <c r="K365" s="14" t="inlineStr">
        <is>
          <t>CPF2</t>
        </is>
      </c>
      <c r="L365" s="137" t="n">
        <v>5</v>
      </c>
      <c r="M365" s="144" t="inlineStr">
        <is>
          <t>SI</t>
        </is>
      </c>
      <c r="N365" s="139" t="n">
        <v>10</v>
      </c>
      <c r="O365" s="145" t="n">
        <v>2</v>
      </c>
      <c r="P365" s="141" t="n">
        <v>12</v>
      </c>
      <c r="Q365" s="136" t="inlineStr">
        <is>
          <t>POTENCIA BT PEQUEÑA (10-25mm²)</t>
        </is>
      </c>
      <c r="R365" s="136" t="inlineStr">
        <is>
          <t>ILUMINACION</t>
        </is>
      </c>
    </row>
    <row r="366">
      <c r="A366" s="14" t="inlineStr">
        <is>
          <t>P-102-JBI-012</t>
        </is>
      </c>
      <c r="B366" s="14" t="inlineStr">
        <is>
          <t>102-LP-001</t>
        </is>
      </c>
      <c r="C366" s="14" t="inlineStr">
        <is>
          <t>102-JBI-012</t>
        </is>
      </c>
      <c r="D366" s="14" t="inlineStr">
        <is>
          <t>380</t>
        </is>
      </c>
      <c r="E366" s="14" t="inlineStr">
        <is>
          <t>100</t>
        </is>
      </c>
      <c r="F366" s="14" t="inlineStr">
        <is>
          <t>1kV-XLPE-Arm-T-CU</t>
        </is>
      </c>
      <c r="G366" s="14" t="inlineStr">
        <is>
          <t>4x10+T</t>
        </is>
      </c>
      <c r="H366" s="14" t="inlineStr">
        <is>
          <t>Iluminación ext. normal- Área KOD</t>
        </is>
      </c>
      <c r="I366" s="14" t="inlineStr">
        <is>
          <t>Iluminación Vial Calle 2 A</t>
        </is>
      </c>
      <c r="J366" s="14" t="inlineStr">
        <is>
          <t>POTENCIA_BT</t>
        </is>
      </c>
      <c r="K366" s="14" t="inlineStr">
        <is>
          <t>CPF2</t>
        </is>
      </c>
      <c r="L366" s="137" t="n">
        <v>5</v>
      </c>
      <c r="M366" s="144" t="inlineStr">
        <is>
          <t>SI</t>
        </is>
      </c>
      <c r="N366" s="139" t="n">
        <v>10</v>
      </c>
      <c r="O366" s="145" t="n">
        <v>2</v>
      </c>
      <c r="P366" s="141" t="n">
        <v>12</v>
      </c>
      <c r="Q366" s="136" t="inlineStr">
        <is>
          <t>POTENCIA BT PEQUEÑA (10-25mm²)</t>
        </is>
      </c>
      <c r="R366" s="136" t="inlineStr">
        <is>
          <t>ILUMINACION</t>
        </is>
      </c>
    </row>
    <row r="367">
      <c r="A367" s="14" t="inlineStr">
        <is>
          <t>P-102-JBI-013</t>
        </is>
      </c>
      <c r="B367" s="14" t="inlineStr">
        <is>
          <t>102-LP-001</t>
        </is>
      </c>
      <c r="C367" s="14" t="inlineStr">
        <is>
          <t>102-JBI-013</t>
        </is>
      </c>
      <c r="D367" s="14" t="inlineStr">
        <is>
          <t>380</t>
        </is>
      </c>
      <c r="E367" s="14" t="inlineStr">
        <is>
          <t>100</t>
        </is>
      </c>
      <c r="F367" s="14" t="inlineStr">
        <is>
          <t>1kV-XLPE-Arm-T-CU</t>
        </is>
      </c>
      <c r="G367" s="14" t="inlineStr">
        <is>
          <t>4x10+T</t>
        </is>
      </c>
      <c r="H367" s="14" t="inlineStr">
        <is>
          <t>Iluminación ext. normal- Área KOD</t>
        </is>
      </c>
      <c r="I367" s="14" t="inlineStr">
        <is>
          <t>Iluminación Vial Calle 3 A</t>
        </is>
      </c>
      <c r="J367" s="14" t="inlineStr">
        <is>
          <t>POTENCIA_BT</t>
        </is>
      </c>
      <c r="K367" s="14" t="inlineStr">
        <is>
          <t>CPF2</t>
        </is>
      </c>
      <c r="L367" s="137" t="n">
        <v>5</v>
      </c>
      <c r="M367" s="144" t="inlineStr">
        <is>
          <t>SI</t>
        </is>
      </c>
      <c r="N367" s="139" t="n">
        <v>10</v>
      </c>
      <c r="O367" s="145" t="n">
        <v>2</v>
      </c>
      <c r="P367" s="141" t="n">
        <v>12</v>
      </c>
      <c r="Q367" s="136" t="inlineStr">
        <is>
          <t>POTENCIA BT PEQUEÑA (10-25mm²)</t>
        </is>
      </c>
      <c r="R367" s="136" t="inlineStr">
        <is>
          <t>ILUMINACION</t>
        </is>
      </c>
    </row>
    <row r="368">
      <c r="A368" s="14" t="inlineStr">
        <is>
          <t>P-102-TM-001-1</t>
        </is>
      </c>
      <c r="B368" s="14" t="inlineStr">
        <is>
          <t>102-LP-001</t>
        </is>
      </c>
      <c r="C368" s="14" t="inlineStr">
        <is>
          <t>102-TM-001-1</t>
        </is>
      </c>
      <c r="D368" s="14" t="inlineStr">
        <is>
          <t>380</t>
        </is>
      </c>
      <c r="E368" s="14" t="inlineStr">
        <is>
          <t>150</t>
        </is>
      </c>
      <c r="F368" s="14" t="inlineStr">
        <is>
          <t>1kV-XLPE-Arm-T-CU</t>
        </is>
      </c>
      <c r="G368" s="14" t="inlineStr">
        <is>
          <t>4x25/16</t>
        </is>
      </c>
      <c r="H368" s="14" t="inlineStr">
        <is>
          <t>Iluminación ext. normal- Área KOD</t>
        </is>
      </c>
      <c r="I368" s="14" t="inlineStr"/>
      <c r="J368" s="14" t="inlineStr">
        <is>
          <t>POTENCIA_BT</t>
        </is>
      </c>
      <c r="K368" s="14" t="inlineStr">
        <is>
          <t>CPF2</t>
        </is>
      </c>
      <c r="L368" s="137" t="n">
        <v>5</v>
      </c>
      <c r="M368" s="144" t="inlineStr">
        <is>
          <t>SI</t>
        </is>
      </c>
      <c r="N368" s="139" t="n">
        <v>10</v>
      </c>
      <c r="O368" s="145" t="n">
        <v>2</v>
      </c>
      <c r="P368" s="141" t="n">
        <v>12</v>
      </c>
      <c r="Q368" s="136" t="inlineStr">
        <is>
          <t>POTENCIA BT PEQUEÑA (10-25mm²)</t>
        </is>
      </c>
      <c r="R368" s="136" t="inlineStr">
        <is>
          <t>ILUMINACION</t>
        </is>
      </c>
    </row>
    <row r="369">
      <c r="A369" s="14" t="inlineStr">
        <is>
          <t>P-102-TM-001-2</t>
        </is>
      </c>
      <c r="B369" s="14" t="inlineStr">
        <is>
          <t>102-TM-001-1</t>
        </is>
      </c>
      <c r="C369" s="14" t="inlineStr">
        <is>
          <t>102-TM-001-2</t>
        </is>
      </c>
      <c r="D369" s="14" t="inlineStr">
        <is>
          <t>380</t>
        </is>
      </c>
      <c r="E369" s="14" t="inlineStr">
        <is>
          <t>50</t>
        </is>
      </c>
      <c r="F369" s="14" t="inlineStr">
        <is>
          <t>1kV-XLPE-Arm-T-CU</t>
        </is>
      </c>
      <c r="G369" s="14" t="inlineStr">
        <is>
          <t>4x25/16</t>
        </is>
      </c>
      <c r="H369" s="14" t="inlineStr">
        <is>
          <t>Tomacorrientes - Área PTA</t>
        </is>
      </c>
      <c r="I369" s="14" t="inlineStr"/>
      <c r="J369" s="14" t="inlineStr">
        <is>
          <t>POTENCIA_BT</t>
        </is>
      </c>
      <c r="K369" s="14" t="inlineStr">
        <is>
          <t>CPF2</t>
        </is>
      </c>
      <c r="L369" s="137" t="n">
        <v>5</v>
      </c>
      <c r="M369" s="144" t="inlineStr">
        <is>
          <t>SI</t>
        </is>
      </c>
      <c r="N369" s="139" t="n">
        <v>10</v>
      </c>
      <c r="O369" s="145" t="n">
        <v>2</v>
      </c>
      <c r="P369" s="141" t="n">
        <v>12</v>
      </c>
      <c r="Q369" s="136" t="inlineStr">
        <is>
          <t>POTENCIA BT PEQUEÑA (10-25mm²)</t>
        </is>
      </c>
      <c r="R369" s="136" t="inlineStr">
        <is>
          <t>TOMACORRIENTE</t>
        </is>
      </c>
    </row>
    <row r="370">
      <c r="A370" s="14" t="inlineStr">
        <is>
          <t>P-102-TM-002-1</t>
        </is>
      </c>
      <c r="B370" s="14" t="inlineStr">
        <is>
          <t>102-LP-001</t>
        </is>
      </c>
      <c r="C370" s="14" t="inlineStr">
        <is>
          <t>102-TM-002-1</t>
        </is>
      </c>
      <c r="D370" s="14" t="inlineStr">
        <is>
          <t>380</t>
        </is>
      </c>
      <c r="E370" s="14" t="inlineStr">
        <is>
          <t>150</t>
        </is>
      </c>
      <c r="F370" s="14" t="inlineStr">
        <is>
          <t>1kV-XLPE-Arm-T-CU</t>
        </is>
      </c>
      <c r="G370" s="14" t="inlineStr">
        <is>
          <t>4x25/16</t>
        </is>
      </c>
      <c r="H370" s="14" t="inlineStr">
        <is>
          <t>Tomacorrientes - Área PTA</t>
        </is>
      </c>
      <c r="I370" s="14" t="inlineStr">
        <is>
          <t>Tomacorrientes - Áreas Unidad Trat de Condensado 260  y Efluentes A</t>
        </is>
      </c>
      <c r="J370" s="14" t="inlineStr">
        <is>
          <t>POTENCIA_BT</t>
        </is>
      </c>
      <c r="K370" s="14" t="inlineStr">
        <is>
          <t>CPF2</t>
        </is>
      </c>
      <c r="L370" s="137" t="n">
        <v>5</v>
      </c>
      <c r="M370" s="144" t="inlineStr">
        <is>
          <t>SI</t>
        </is>
      </c>
      <c r="N370" s="139" t="n">
        <v>10</v>
      </c>
      <c r="O370" s="145" t="n">
        <v>2</v>
      </c>
      <c r="P370" s="141" t="n">
        <v>12</v>
      </c>
      <c r="Q370" s="136" t="inlineStr">
        <is>
          <t>POTENCIA BT PEQUEÑA (10-25mm²)</t>
        </is>
      </c>
      <c r="R370" s="136" t="inlineStr">
        <is>
          <t>TOMACORRIENTE</t>
        </is>
      </c>
    </row>
    <row r="371">
      <c r="A371" s="14" t="inlineStr">
        <is>
          <t>P-102-TM-002-2</t>
        </is>
      </c>
      <c r="B371" s="14" t="inlineStr">
        <is>
          <t>102-TM-002-1</t>
        </is>
      </c>
      <c r="C371" s="14" t="inlineStr">
        <is>
          <t>102-TM-002-2</t>
        </is>
      </c>
      <c r="D371" s="14" t="inlineStr">
        <is>
          <t>380</t>
        </is>
      </c>
      <c r="E371" s="14" t="inlineStr">
        <is>
          <t>50</t>
        </is>
      </c>
      <c r="F371" s="14" t="inlineStr">
        <is>
          <t>1kV-XLPE-Arm-T-CU</t>
        </is>
      </c>
      <c r="G371" s="14" t="inlineStr">
        <is>
          <t>4x25/16</t>
        </is>
      </c>
      <c r="H371" s="14" t="inlineStr">
        <is>
          <t>Tomacorrientes - Área PTA</t>
        </is>
      </c>
      <c r="I371" s="14" t="inlineStr">
        <is>
          <t>Tomacorrientes - Áreas Unidad Trat de Condensado 260  y Efluentes A</t>
        </is>
      </c>
      <c r="J371" s="14" t="inlineStr">
        <is>
          <t>POTENCIA_BT</t>
        </is>
      </c>
      <c r="K371" s="14" t="inlineStr">
        <is>
          <t>CPF2</t>
        </is>
      </c>
      <c r="L371" s="137" t="n">
        <v>5</v>
      </c>
      <c r="M371" s="144" t="inlineStr">
        <is>
          <t>SI</t>
        </is>
      </c>
      <c r="N371" s="139" t="n">
        <v>10</v>
      </c>
      <c r="O371" s="145" t="n">
        <v>2</v>
      </c>
      <c r="P371" s="141" t="n">
        <v>12</v>
      </c>
      <c r="Q371" s="136" t="inlineStr">
        <is>
          <t>POTENCIA BT PEQUEÑA (10-25mm²)</t>
        </is>
      </c>
      <c r="R371" s="136" t="inlineStr">
        <is>
          <t>TOMACORRIENTE</t>
        </is>
      </c>
    </row>
    <row r="372">
      <c r="A372" s="14" t="inlineStr">
        <is>
          <t>P-102-TM-003-1</t>
        </is>
      </c>
      <c r="B372" s="14" t="inlineStr">
        <is>
          <t>102-LP-001</t>
        </is>
      </c>
      <c r="C372" s="14" t="inlineStr">
        <is>
          <t>102-TM-003-1</t>
        </is>
      </c>
      <c r="D372" s="14" t="inlineStr">
        <is>
          <t>380</t>
        </is>
      </c>
      <c r="E372" s="14" t="inlineStr">
        <is>
          <t>150</t>
        </is>
      </c>
      <c r="F372" s="14" t="inlineStr">
        <is>
          <t>1kV-XLPE-Arm-T-CU</t>
        </is>
      </c>
      <c r="G372" s="14" t="inlineStr">
        <is>
          <t>4x25/16</t>
        </is>
      </c>
      <c r="H372" s="14" t="inlineStr">
        <is>
          <t>Tomacorrientes - Área PTA</t>
        </is>
      </c>
      <c r="I372" s="14" t="inlineStr"/>
      <c r="J372" s="14" t="inlineStr">
        <is>
          <t>POTENCIA_BT</t>
        </is>
      </c>
      <c r="K372" s="14" t="inlineStr">
        <is>
          <t>CPF2</t>
        </is>
      </c>
      <c r="L372" s="137" t="n">
        <v>5</v>
      </c>
      <c r="M372" s="144" t="inlineStr">
        <is>
          <t>SI</t>
        </is>
      </c>
      <c r="N372" s="139" t="n">
        <v>10</v>
      </c>
      <c r="O372" s="145" t="n">
        <v>2</v>
      </c>
      <c r="P372" s="141" t="n">
        <v>12</v>
      </c>
      <c r="Q372" s="136" t="inlineStr">
        <is>
          <t>POTENCIA BT PEQUEÑA (10-25mm²)</t>
        </is>
      </c>
      <c r="R372" s="136" t="inlineStr">
        <is>
          <t>TOMACORRIENTE</t>
        </is>
      </c>
    </row>
    <row r="373">
      <c r="A373" s="14" t="inlineStr">
        <is>
          <t>P-102-TM-003-2</t>
        </is>
      </c>
      <c r="B373" s="14" t="inlineStr">
        <is>
          <t>102-TM-003-1</t>
        </is>
      </c>
      <c r="C373" s="14" t="inlineStr">
        <is>
          <t>102-TM-003-2</t>
        </is>
      </c>
      <c r="D373" s="14" t="inlineStr">
        <is>
          <t>380</t>
        </is>
      </c>
      <c r="E373" s="14" t="inlineStr">
        <is>
          <t>50</t>
        </is>
      </c>
      <c r="F373" s="14" t="inlineStr">
        <is>
          <t>1kV-XLPE-Arm-T-CU</t>
        </is>
      </c>
      <c r="G373" s="14" t="inlineStr">
        <is>
          <t>4x25/16</t>
        </is>
      </c>
      <c r="H373" s="14" t="inlineStr">
        <is>
          <t>Tomacorrientes - Área 942 HOT OIL</t>
        </is>
      </c>
      <c r="I373" s="14" t="inlineStr"/>
      <c r="J373" s="14" t="inlineStr">
        <is>
          <t>POTENCIA_BT</t>
        </is>
      </c>
      <c r="K373" s="14" t="inlineStr">
        <is>
          <t>CPF2</t>
        </is>
      </c>
      <c r="L373" s="137" t="n">
        <v>5</v>
      </c>
      <c r="M373" s="144" t="inlineStr">
        <is>
          <t>SI</t>
        </is>
      </c>
      <c r="N373" s="139" t="n">
        <v>10</v>
      </c>
      <c r="O373" s="145" t="n">
        <v>2</v>
      </c>
      <c r="P373" s="141" t="n">
        <v>12</v>
      </c>
      <c r="Q373" s="136" t="inlineStr">
        <is>
          <t>POTENCIA BT PEQUEÑA (10-25mm²)</t>
        </is>
      </c>
      <c r="R373" s="136" t="inlineStr">
        <is>
          <t>TOMACORRIENTE</t>
        </is>
      </c>
    </row>
    <row r="374">
      <c r="A374" s="14" t="inlineStr">
        <is>
          <t>P-102-TM-004-1</t>
        </is>
      </c>
      <c r="B374" s="14" t="inlineStr">
        <is>
          <t>102-LP-001</t>
        </is>
      </c>
      <c r="C374" s="14" t="inlineStr">
        <is>
          <t>102-TM-004-1</t>
        </is>
      </c>
      <c r="D374" s="14" t="inlineStr">
        <is>
          <t>380</t>
        </is>
      </c>
      <c r="E374" s="14" t="inlineStr">
        <is>
          <t>150</t>
        </is>
      </c>
      <c r="F374" s="14" t="inlineStr">
        <is>
          <t>1kV-XLPE-Arm-T-CU</t>
        </is>
      </c>
      <c r="G374" s="14" t="inlineStr">
        <is>
          <t>4x25/16</t>
        </is>
      </c>
      <c r="H374" s="14" t="inlineStr">
        <is>
          <t>Tomacorrientes - Área 942 HOT OIL</t>
        </is>
      </c>
      <c r="I374" s="14" t="inlineStr">
        <is>
          <t>Tomacorrientes - Áreas Unidad Proc de Gas 140 y Skid Gas Comb A</t>
        </is>
      </c>
      <c r="J374" s="14" t="inlineStr">
        <is>
          <t>POTENCIA_BT</t>
        </is>
      </c>
      <c r="K374" s="14" t="inlineStr">
        <is>
          <t>CPF2</t>
        </is>
      </c>
      <c r="L374" s="137" t="n">
        <v>5</v>
      </c>
      <c r="M374" s="144" t="inlineStr">
        <is>
          <t>SI</t>
        </is>
      </c>
      <c r="N374" s="139" t="n">
        <v>10</v>
      </c>
      <c r="O374" s="145" t="n">
        <v>2</v>
      </c>
      <c r="P374" s="141" t="n">
        <v>12</v>
      </c>
      <c r="Q374" s="136" t="inlineStr">
        <is>
          <t>POTENCIA BT PEQUEÑA (10-25mm²)</t>
        </is>
      </c>
      <c r="R374" s="136" t="inlineStr">
        <is>
          <t>TOMACORRIENTE</t>
        </is>
      </c>
    </row>
    <row r="375">
      <c r="A375" s="14" t="inlineStr">
        <is>
          <t>P-102-TM-004-2</t>
        </is>
      </c>
      <c r="B375" s="14" t="inlineStr">
        <is>
          <t>102-TM-004-1</t>
        </is>
      </c>
      <c r="C375" s="14" t="inlineStr">
        <is>
          <t>102-TM-004-2</t>
        </is>
      </c>
      <c r="D375" s="14" t="inlineStr">
        <is>
          <t>380</t>
        </is>
      </c>
      <c r="E375" s="14" t="inlineStr">
        <is>
          <t>50</t>
        </is>
      </c>
      <c r="F375" s="14" t="inlineStr">
        <is>
          <t>1kV-XLPE-Arm-T-CU</t>
        </is>
      </c>
      <c r="G375" s="14" t="inlineStr">
        <is>
          <t>4x25/16</t>
        </is>
      </c>
      <c r="H375" s="14" t="inlineStr">
        <is>
          <t>Tomacorrientes - Área 942 HOT OIL</t>
        </is>
      </c>
      <c r="I375" s="14" t="inlineStr">
        <is>
          <t>Tomacorrientes - Áreas Unidad Proc de Gas 140 y Skid Gas Comb A</t>
        </is>
      </c>
      <c r="J375" s="14" t="inlineStr">
        <is>
          <t>POTENCIA_BT</t>
        </is>
      </c>
      <c r="K375" s="14" t="inlineStr">
        <is>
          <t>CPF2</t>
        </is>
      </c>
      <c r="L375" s="137" t="n">
        <v>5</v>
      </c>
      <c r="M375" s="144" t="inlineStr">
        <is>
          <t>SI</t>
        </is>
      </c>
      <c r="N375" s="139" t="n">
        <v>10</v>
      </c>
      <c r="O375" s="145" t="n">
        <v>2</v>
      </c>
      <c r="P375" s="141" t="n">
        <v>12</v>
      </c>
      <c r="Q375" s="136" t="inlineStr">
        <is>
          <t>POTENCIA BT PEQUEÑA (10-25mm²)</t>
        </is>
      </c>
      <c r="R375" s="136" t="inlineStr">
        <is>
          <t>TOMACORRIENTE</t>
        </is>
      </c>
    </row>
    <row r="376">
      <c r="A376" s="14" t="inlineStr">
        <is>
          <t>P-102-TM-005-1</t>
        </is>
      </c>
      <c r="B376" s="14" t="inlineStr">
        <is>
          <t>102-LP-001</t>
        </is>
      </c>
      <c r="C376" s="14" t="inlineStr">
        <is>
          <t>102-TM-005-1</t>
        </is>
      </c>
      <c r="D376" s="14" t="inlineStr">
        <is>
          <t>380</t>
        </is>
      </c>
      <c r="E376" s="14" t="inlineStr">
        <is>
          <t>150</t>
        </is>
      </c>
      <c r="F376" s="14" t="inlineStr">
        <is>
          <t>1kV-XLPE-Arm-T-CU</t>
        </is>
      </c>
      <c r="G376" s="14" t="inlineStr">
        <is>
          <t>4x25/16</t>
        </is>
      </c>
      <c r="H376" s="14" t="inlineStr">
        <is>
          <t>Tomacorrientes - Área 942 HOT OIL</t>
        </is>
      </c>
      <c r="I376" s="14" t="inlineStr">
        <is>
          <t>Tomacorrientes - Áreas Compresores 291/292/293 y Serv. Comp A</t>
        </is>
      </c>
      <c r="J376" s="14" t="inlineStr">
        <is>
          <t>POTENCIA_BT</t>
        </is>
      </c>
      <c r="K376" s="14" t="inlineStr">
        <is>
          <t>CPF2</t>
        </is>
      </c>
      <c r="L376" s="137" t="n">
        <v>5</v>
      </c>
      <c r="M376" s="144" t="inlineStr">
        <is>
          <t>SI</t>
        </is>
      </c>
      <c r="N376" s="139" t="n">
        <v>10</v>
      </c>
      <c r="O376" s="145" t="n">
        <v>2</v>
      </c>
      <c r="P376" s="141" t="n">
        <v>12</v>
      </c>
      <c r="Q376" s="136" t="inlineStr">
        <is>
          <t>POTENCIA BT PEQUEÑA (10-25mm²)</t>
        </is>
      </c>
      <c r="R376" s="136" t="inlineStr">
        <is>
          <t>MOTOR/ACCIONAMIENTO</t>
        </is>
      </c>
    </row>
    <row r="377">
      <c r="A377" s="14" t="inlineStr">
        <is>
          <t>P-102-TM-005-2</t>
        </is>
      </c>
      <c r="B377" s="14" t="inlineStr">
        <is>
          <t>102-TM-005-1</t>
        </is>
      </c>
      <c r="C377" s="14" t="inlineStr">
        <is>
          <t>102-TM-005-2</t>
        </is>
      </c>
      <c r="D377" s="14" t="inlineStr">
        <is>
          <t>380</t>
        </is>
      </c>
      <c r="E377" s="14" t="inlineStr">
        <is>
          <t>50</t>
        </is>
      </c>
      <c r="F377" s="14" t="inlineStr">
        <is>
          <t>1kV-XLPE-Arm-T-CU</t>
        </is>
      </c>
      <c r="G377" s="14" t="inlineStr">
        <is>
          <t>4x25/16</t>
        </is>
      </c>
      <c r="H377" s="14" t="inlineStr">
        <is>
          <t>Tomacorrientes - Área 942 HOT OIL</t>
        </is>
      </c>
      <c r="I377" s="14" t="inlineStr">
        <is>
          <t>Tomacorrientes - Áreas Compresores 291/292/293 y Serv. Comp A</t>
        </is>
      </c>
      <c r="J377" s="14" t="inlineStr">
        <is>
          <t>POTENCIA_BT</t>
        </is>
      </c>
      <c r="K377" s="14" t="inlineStr">
        <is>
          <t>CPF2</t>
        </is>
      </c>
      <c r="L377" s="137" t="n">
        <v>5</v>
      </c>
      <c r="M377" s="144" t="inlineStr">
        <is>
          <t>SI</t>
        </is>
      </c>
      <c r="N377" s="139" t="n">
        <v>10</v>
      </c>
      <c r="O377" s="145" t="n">
        <v>2</v>
      </c>
      <c r="P377" s="141" t="n">
        <v>12</v>
      </c>
      <c r="Q377" s="136" t="inlineStr">
        <is>
          <t>POTENCIA BT PEQUEÑA (10-25mm²)</t>
        </is>
      </c>
      <c r="R377" s="136" t="inlineStr">
        <is>
          <t>MOTOR/ACCIONAMIENTO</t>
        </is>
      </c>
    </row>
    <row r="378">
      <c r="A378" s="14" t="inlineStr">
        <is>
          <t>P-102-TM-006-1</t>
        </is>
      </c>
      <c r="B378" s="14" t="inlineStr">
        <is>
          <t>102-LP-001</t>
        </is>
      </c>
      <c r="C378" s="14" t="inlineStr">
        <is>
          <t>102-TM-006-1</t>
        </is>
      </c>
      <c r="D378" s="14" t="inlineStr">
        <is>
          <t>380</t>
        </is>
      </c>
      <c r="E378" s="14" t="inlineStr">
        <is>
          <t>150</t>
        </is>
      </c>
      <c r="F378" s="14" t="inlineStr">
        <is>
          <t>1kV-XLPE-Arm-T-CU</t>
        </is>
      </c>
      <c r="G378" s="14" t="inlineStr">
        <is>
          <t>4x25/16</t>
        </is>
      </c>
      <c r="H378" s="14" t="inlineStr">
        <is>
          <t>Tomacorrientes - Área 942 HOT OIL</t>
        </is>
      </c>
      <c r="I378" s="14" t="inlineStr">
        <is>
          <t>Tomacorrientes - Salas Elect 3 /4 y Shelter INS007 A</t>
        </is>
      </c>
      <c r="J378" s="14" t="inlineStr">
        <is>
          <t>POTENCIA_BT</t>
        </is>
      </c>
      <c r="K378" s="14" t="inlineStr">
        <is>
          <t>CPF2</t>
        </is>
      </c>
      <c r="L378" s="137" t="n">
        <v>5</v>
      </c>
      <c r="M378" s="144" t="inlineStr">
        <is>
          <t>SI</t>
        </is>
      </c>
      <c r="N378" s="139" t="n">
        <v>10</v>
      </c>
      <c r="O378" s="145" t="n">
        <v>2</v>
      </c>
      <c r="P378" s="141" t="n">
        <v>12</v>
      </c>
      <c r="Q378" s="136" t="inlineStr">
        <is>
          <t>POTENCIA BT PEQUEÑA (10-25mm²)</t>
        </is>
      </c>
      <c r="R378" s="136" t="inlineStr">
        <is>
          <t>TOMACORRIENTE</t>
        </is>
      </c>
    </row>
    <row r="379">
      <c r="A379" s="14" t="inlineStr">
        <is>
          <t>P-102-TM-006-2</t>
        </is>
      </c>
      <c r="B379" s="14" t="inlineStr">
        <is>
          <t>102-TM-006-1</t>
        </is>
      </c>
      <c r="C379" s="14" t="inlineStr">
        <is>
          <t>102-TM-006-2</t>
        </is>
      </c>
      <c r="D379" s="14" t="inlineStr">
        <is>
          <t>380</t>
        </is>
      </c>
      <c r="E379" s="14" t="inlineStr">
        <is>
          <t>50</t>
        </is>
      </c>
      <c r="F379" s="14" t="inlineStr">
        <is>
          <t>1kV-XLPE-Arm-T-CU</t>
        </is>
      </c>
      <c r="G379" s="14" t="inlineStr">
        <is>
          <t>4x25/16</t>
        </is>
      </c>
      <c r="H379" s="14" t="inlineStr">
        <is>
          <t>Tomacorrientes - Área 942 HOT OIL</t>
        </is>
      </c>
      <c r="I379" s="14" t="inlineStr">
        <is>
          <t>Tomacorrientes - Salas Elect 3 /4 y Shelter INS007 102-LP-002 (EMERGENCIA\</t>
        </is>
      </c>
      <c r="J379" s="14" t="inlineStr">
        <is>
          <t>POTENCIA_BT</t>
        </is>
      </c>
      <c r="K379" s="14" t="inlineStr">
        <is>
          <t>CPF2</t>
        </is>
      </c>
      <c r="L379" s="137" t="n">
        <v>5</v>
      </c>
      <c r="M379" s="144" t="inlineStr">
        <is>
          <t>SI</t>
        </is>
      </c>
      <c r="N379" s="139" t="n">
        <v>10</v>
      </c>
      <c r="O379" s="145" t="n">
        <v>2</v>
      </c>
      <c r="P379" s="141" t="n">
        <v>12</v>
      </c>
      <c r="Q379" s="136" t="inlineStr">
        <is>
          <t>POTENCIA BT PEQUEÑA (10-25mm²)</t>
        </is>
      </c>
      <c r="R379" s="136" t="inlineStr">
        <is>
          <t>TOMACORRIENTE</t>
        </is>
      </c>
    </row>
    <row r="380">
      <c r="A380" s="14" t="inlineStr">
        <is>
          <t>P-102-JBIE-001</t>
        </is>
      </c>
      <c r="B380" s="14" t="inlineStr">
        <is>
          <t>102-LP-002</t>
        </is>
      </c>
      <c r="C380" s="14" t="inlineStr">
        <is>
          <t>102-JBIE-001</t>
        </is>
      </c>
      <c r="D380" s="14" t="inlineStr">
        <is>
          <t>380</t>
        </is>
      </c>
      <c r="E380" s="14" t="inlineStr">
        <is>
          <t>150</t>
        </is>
      </c>
      <c r="F380" s="14" t="inlineStr">
        <is>
          <t>1kV-XLPE-Arm-T-RF-CU</t>
        </is>
      </c>
      <c r="G380" s="14" t="inlineStr">
        <is>
          <t>4x10+T</t>
        </is>
      </c>
      <c r="H380" s="14" t="inlineStr">
        <is>
          <t>Tomacorrientes - Área 942 HOT OIL</t>
        </is>
      </c>
      <c r="I380" s="14" t="inlineStr"/>
      <c r="J380" s="14" t="inlineStr">
        <is>
          <t>POTENCIA_BT</t>
        </is>
      </c>
      <c r="K380" s="14" t="inlineStr">
        <is>
          <t>CPF2</t>
        </is>
      </c>
      <c r="L380" s="137" t="n">
        <v>5</v>
      </c>
      <c r="M380" s="144" t="inlineStr">
        <is>
          <t>SI</t>
        </is>
      </c>
      <c r="N380" s="139" t="n">
        <v>10</v>
      </c>
      <c r="O380" s="145" t="n">
        <v>2</v>
      </c>
      <c r="P380" s="141" t="n">
        <v>12</v>
      </c>
      <c r="Q380" s="136" t="inlineStr">
        <is>
          <t>POTENCIA BT PEQUEÑA (10-25mm²)</t>
        </is>
      </c>
      <c r="R380" s="136" t="inlineStr">
        <is>
          <t>TOMACORRIENTE</t>
        </is>
      </c>
    </row>
    <row r="381">
      <c r="A381" s="14" t="inlineStr">
        <is>
          <t>P-102-JBIE-002</t>
        </is>
      </c>
      <c r="B381" s="14" t="inlineStr">
        <is>
          <t>102-LP-002</t>
        </is>
      </c>
      <c r="C381" s="14" t="inlineStr">
        <is>
          <t>102-JBIE-002</t>
        </is>
      </c>
      <c r="D381" s="14" t="inlineStr">
        <is>
          <t>380</t>
        </is>
      </c>
      <c r="E381" s="14" t="inlineStr">
        <is>
          <t>130</t>
        </is>
      </c>
      <c r="F381" s="14" t="inlineStr">
        <is>
          <t>1kV-XLPE-Arm-T-RF-CU</t>
        </is>
      </c>
      <c r="G381" s="14" t="inlineStr">
        <is>
          <t>4x10+T</t>
        </is>
      </c>
      <c r="H381" s="14" t="inlineStr">
        <is>
          <t>Iluminación ext. emergencia - Área PTA</t>
        </is>
      </c>
      <c r="I381" s="14" t="inlineStr">
        <is>
          <t>Iluminación ext. emergencia - Áreas Unidad Trat de Condensado 260  y Efluentes A</t>
        </is>
      </c>
      <c r="J381" s="14" t="inlineStr">
        <is>
          <t>POTENCIA_BT</t>
        </is>
      </c>
      <c r="K381" s="14" t="inlineStr">
        <is>
          <t>CPF2</t>
        </is>
      </c>
      <c r="L381" s="137" t="n">
        <v>5</v>
      </c>
      <c r="M381" s="144" t="inlineStr">
        <is>
          <t>SI</t>
        </is>
      </c>
      <c r="N381" s="139" t="n">
        <v>10</v>
      </c>
      <c r="O381" s="145" t="n">
        <v>2</v>
      </c>
      <c r="P381" s="141" t="n">
        <v>12</v>
      </c>
      <c r="Q381" s="136" t="inlineStr">
        <is>
          <t>POTENCIA BT PEQUEÑA (10-25mm²)</t>
        </is>
      </c>
      <c r="R381" s="136" t="inlineStr">
        <is>
          <t>ILUMINACION</t>
        </is>
      </c>
    </row>
    <row r="382">
      <c r="A382" s="14" t="inlineStr">
        <is>
          <t>P-102-JBIE-003</t>
        </is>
      </c>
      <c r="B382" s="14" t="inlineStr">
        <is>
          <t>102-LP-002</t>
        </is>
      </c>
      <c r="C382" s="14" t="inlineStr">
        <is>
          <t>102-JBIE-003</t>
        </is>
      </c>
      <c r="D382" s="14" t="inlineStr">
        <is>
          <t>380</t>
        </is>
      </c>
      <c r="E382" s="14" t="inlineStr">
        <is>
          <t>220</t>
        </is>
      </c>
      <c r="F382" s="14" t="inlineStr">
        <is>
          <t>1kV-XLPE-Arm-T-RF-CU</t>
        </is>
      </c>
      <c r="G382" s="14" t="inlineStr">
        <is>
          <t>4x10+T</t>
        </is>
      </c>
      <c r="H382" s="14" t="inlineStr">
        <is>
          <t>Iluminación ext. emergencia - Área PTA</t>
        </is>
      </c>
      <c r="I382" s="14" t="inlineStr"/>
      <c r="J382" s="14" t="inlineStr">
        <is>
          <t>POTENCIA_BT</t>
        </is>
      </c>
      <c r="K382" s="14" t="inlineStr">
        <is>
          <t>CPF2</t>
        </is>
      </c>
      <c r="L382" s="137" t="n">
        <v>5</v>
      </c>
      <c r="M382" s="144" t="inlineStr">
        <is>
          <t>SI</t>
        </is>
      </c>
      <c r="N382" s="139" t="n">
        <v>10</v>
      </c>
      <c r="O382" s="145" t="n">
        <v>2</v>
      </c>
      <c r="P382" s="141" t="n">
        <v>12</v>
      </c>
      <c r="Q382" s="136" t="inlineStr">
        <is>
          <t>POTENCIA BT PEQUEÑA (10-25mm²)</t>
        </is>
      </c>
      <c r="R382" s="136" t="inlineStr">
        <is>
          <t>ILUMINACION</t>
        </is>
      </c>
    </row>
    <row r="383">
      <c r="A383" s="14" t="inlineStr">
        <is>
          <t>P-102-JBIE-004</t>
        </is>
      </c>
      <c r="B383" s="14" t="inlineStr">
        <is>
          <t>102-LP-002</t>
        </is>
      </c>
      <c r="C383" s="14" t="inlineStr">
        <is>
          <t>102-JBIE-004</t>
        </is>
      </c>
      <c r="D383" s="14" t="inlineStr">
        <is>
          <t>380</t>
        </is>
      </c>
      <c r="E383" s="14" t="inlineStr">
        <is>
          <t>150</t>
        </is>
      </c>
      <c r="F383" s="14" t="inlineStr">
        <is>
          <t>1kV-XLPE-Arm-T-RF-CU</t>
        </is>
      </c>
      <c r="G383" s="14" t="inlineStr">
        <is>
          <t>4x10+T</t>
        </is>
      </c>
      <c r="H383" s="14" t="inlineStr">
        <is>
          <t>Iluminación ext. emergencia - Área 942 HOT OIL</t>
        </is>
      </c>
      <c r="I383" s="14" t="inlineStr">
        <is>
          <t>Iluminación ext. emergencia - Áreas Unidad Proc de Gas 140 y Skid Gas Comb A</t>
        </is>
      </c>
      <c r="J383" s="14" t="inlineStr">
        <is>
          <t>POTENCIA_BT</t>
        </is>
      </c>
      <c r="K383" s="14" t="inlineStr">
        <is>
          <t>CPF2</t>
        </is>
      </c>
      <c r="L383" s="137" t="n">
        <v>5</v>
      </c>
      <c r="M383" s="144" t="inlineStr">
        <is>
          <t>SI</t>
        </is>
      </c>
      <c r="N383" s="139" t="n">
        <v>10</v>
      </c>
      <c r="O383" s="145" t="n">
        <v>2</v>
      </c>
      <c r="P383" s="141" t="n">
        <v>12</v>
      </c>
      <c r="Q383" s="136" t="inlineStr">
        <is>
          <t>POTENCIA BT PEQUEÑA (10-25mm²)</t>
        </is>
      </c>
      <c r="R383" s="136" t="inlineStr">
        <is>
          <t>ILUMINACION</t>
        </is>
      </c>
    </row>
    <row r="384">
      <c r="A384" s="14" t="inlineStr">
        <is>
          <t>P-102-JBIE-005</t>
        </is>
      </c>
      <c r="B384" s="14" t="inlineStr">
        <is>
          <t>102-LP-002</t>
        </is>
      </c>
      <c r="C384" s="14" t="inlineStr">
        <is>
          <t>102-JBIE-005</t>
        </is>
      </c>
      <c r="D384" s="14" t="inlineStr">
        <is>
          <t>380</t>
        </is>
      </c>
      <c r="E384" s="14" t="inlineStr">
        <is>
          <t>130</t>
        </is>
      </c>
      <c r="F384" s="14" t="inlineStr">
        <is>
          <t>1kV-XLPE-Arm-T-RF-CU</t>
        </is>
      </c>
      <c r="G384" s="14" t="inlineStr">
        <is>
          <t>4x10+T</t>
        </is>
      </c>
      <c r="H384" s="14" t="inlineStr">
        <is>
          <t>Iluminación ext. emergencia - Área 942 HOT OIL</t>
        </is>
      </c>
      <c r="I384" s="14" t="inlineStr">
        <is>
          <t>Iluminación ext. emergencia - Áreas Compresores 291/292/293 y Serv. Comp A</t>
        </is>
      </c>
      <c r="J384" s="14" t="inlineStr">
        <is>
          <t>POTENCIA_BT</t>
        </is>
      </c>
      <c r="K384" s="14" t="inlineStr">
        <is>
          <t>CPF2</t>
        </is>
      </c>
      <c r="L384" s="137" t="n">
        <v>5</v>
      </c>
      <c r="M384" s="144" t="inlineStr">
        <is>
          <t>SI</t>
        </is>
      </c>
      <c r="N384" s="139" t="n">
        <v>10</v>
      </c>
      <c r="O384" s="145" t="n">
        <v>2</v>
      </c>
      <c r="P384" s="141" t="n">
        <v>12</v>
      </c>
      <c r="Q384" s="136" t="inlineStr">
        <is>
          <t>POTENCIA BT PEQUEÑA (10-25mm²)</t>
        </is>
      </c>
      <c r="R384" s="136" t="inlineStr">
        <is>
          <t>MOTOR/ACCIONAMIENTO</t>
        </is>
      </c>
    </row>
    <row r="385">
      <c r="A385" s="14" t="inlineStr">
        <is>
          <t>P-102-JBIE-006</t>
        </is>
      </c>
      <c r="B385" s="14" t="inlineStr">
        <is>
          <t>102-LP-002</t>
        </is>
      </c>
      <c r="C385" s="14" t="inlineStr">
        <is>
          <t>102-JBIE-006</t>
        </is>
      </c>
      <c r="D385" s="14" t="inlineStr">
        <is>
          <t>380</t>
        </is>
      </c>
      <c r="E385" s="14" t="inlineStr">
        <is>
          <t>200</t>
        </is>
      </c>
      <c r="F385" s="14" t="inlineStr">
        <is>
          <t>1kV-XLPE-Arm-T-RF-CU</t>
        </is>
      </c>
      <c r="G385" s="14" t="inlineStr">
        <is>
          <t>4x10+T</t>
        </is>
      </c>
      <c r="H385" s="14" t="inlineStr">
        <is>
          <t>Iluminación ext. emergencia - Área 942 HOT OIL</t>
        </is>
      </c>
      <c r="I385" s="14" t="inlineStr">
        <is>
          <t>Iluminación ext. emergencia - Áreas Almacenamiento de cond e Iny. De Agua A</t>
        </is>
      </c>
      <c r="J385" s="14" t="inlineStr">
        <is>
          <t>POTENCIA_BT</t>
        </is>
      </c>
      <c r="K385" s="14" t="inlineStr">
        <is>
          <t>CPF2</t>
        </is>
      </c>
      <c r="L385" s="137" t="n">
        <v>5</v>
      </c>
      <c r="M385" s="144" t="inlineStr">
        <is>
          <t>SI</t>
        </is>
      </c>
      <c r="N385" s="139" t="n">
        <v>10</v>
      </c>
      <c r="O385" s="145" t="n">
        <v>2</v>
      </c>
      <c r="P385" s="141" t="n">
        <v>12</v>
      </c>
      <c r="Q385" s="136" t="inlineStr">
        <is>
          <t>POTENCIA BT PEQUEÑA (10-25mm²)</t>
        </is>
      </c>
      <c r="R385" s="136" t="inlineStr">
        <is>
          <t>ILUMINACION</t>
        </is>
      </c>
    </row>
    <row r="386">
      <c r="A386" s="14" t="inlineStr">
        <is>
          <t>P-102-JBIE-007</t>
        </is>
      </c>
      <c r="B386" s="14" t="inlineStr">
        <is>
          <t>102-LP-002</t>
        </is>
      </c>
      <c r="C386" s="14" t="inlineStr">
        <is>
          <t>102-JBIE-007</t>
        </is>
      </c>
      <c r="D386" s="14" t="inlineStr">
        <is>
          <t>380</t>
        </is>
      </c>
      <c r="E386" s="14" t="inlineStr">
        <is>
          <t>80</t>
        </is>
      </c>
      <c r="F386" s="14" t="inlineStr">
        <is>
          <t>1kV-XLPE-Arm-T-RF-CU</t>
        </is>
      </c>
      <c r="G386" s="14" t="inlineStr">
        <is>
          <t>4x10+T</t>
        </is>
      </c>
      <c r="H386" s="14" t="inlineStr">
        <is>
          <t>Iluminación ext. emergencia - Área 942 HOT OIL</t>
        </is>
      </c>
      <c r="I386" s="14" t="inlineStr">
        <is>
          <t>Iluminación ext. emergencia - Salas Elect 3 /4 y Shelter INS007 A</t>
        </is>
      </c>
      <c r="J386" s="14" t="inlineStr">
        <is>
          <t>POTENCIA_BT</t>
        </is>
      </c>
      <c r="K386" s="14" t="inlineStr">
        <is>
          <t>CPF2</t>
        </is>
      </c>
      <c r="L386" s="137" t="n">
        <v>5</v>
      </c>
      <c r="M386" s="144" t="inlineStr">
        <is>
          <t>SI</t>
        </is>
      </c>
      <c r="N386" s="139" t="n">
        <v>10</v>
      </c>
      <c r="O386" s="145" t="n">
        <v>2</v>
      </c>
      <c r="P386" s="141" t="n">
        <v>12</v>
      </c>
      <c r="Q386" s="136" t="inlineStr">
        <is>
          <t>POTENCIA BT PEQUEÑA (10-25mm²)</t>
        </is>
      </c>
      <c r="R386" s="136" t="inlineStr">
        <is>
          <t>ILUMINACION</t>
        </is>
      </c>
    </row>
    <row r="387">
      <c r="A387" s="14" t="inlineStr">
        <is>
          <t>P-102-JBIE-008</t>
        </is>
      </c>
      <c r="B387" s="14" t="inlineStr">
        <is>
          <t>102-LP-002</t>
        </is>
      </c>
      <c r="C387" s="14" t="inlineStr">
        <is>
          <t>102-JBIE-008</t>
        </is>
      </c>
      <c r="D387" s="14" t="inlineStr">
        <is>
          <t>380</t>
        </is>
      </c>
      <c r="E387" s="14" t="inlineStr">
        <is>
          <t>220</t>
        </is>
      </c>
      <c r="F387" s="14" t="inlineStr">
        <is>
          <t>1kV-XLPE-Arm-T-RF-CU</t>
        </is>
      </c>
      <c r="G387" s="14" t="inlineStr">
        <is>
          <t>4x10+T</t>
        </is>
      </c>
      <c r="H387" s="14" t="inlineStr">
        <is>
          <t>Iluminación ext. emergencia - Área 942 HOT OIL</t>
        </is>
      </c>
      <c r="I387" s="14" t="inlineStr"/>
      <c r="J387" s="14" t="inlineStr">
        <is>
          <t>POTENCIA_BT</t>
        </is>
      </c>
      <c r="K387" s="14" t="inlineStr">
        <is>
          <t>CPF2</t>
        </is>
      </c>
      <c r="L387" s="137" t="n">
        <v>5</v>
      </c>
      <c r="M387" s="144" t="inlineStr">
        <is>
          <t>SI</t>
        </is>
      </c>
      <c r="N387" s="139" t="n">
        <v>10</v>
      </c>
      <c r="O387" s="145" t="n">
        <v>2</v>
      </c>
      <c r="P387" s="141" t="n">
        <v>12</v>
      </c>
      <c r="Q387" s="136" t="inlineStr">
        <is>
          <t>POTENCIA BT PEQUEÑA (10-25mm²)</t>
        </is>
      </c>
      <c r="R387" s="136" t="inlineStr">
        <is>
          <t>ILUMINACION</t>
        </is>
      </c>
    </row>
    <row r="388">
      <c r="A388" s="14" t="inlineStr">
        <is>
          <t>P-102-JBIE-009</t>
        </is>
      </c>
      <c r="B388" s="14" t="inlineStr">
        <is>
          <t>102-LP-002</t>
        </is>
      </c>
      <c r="C388" s="14" t="inlineStr">
        <is>
          <t>102-JBIE-009</t>
        </is>
      </c>
      <c r="D388" s="14" t="inlineStr">
        <is>
          <t>380</t>
        </is>
      </c>
      <c r="E388" s="14" t="inlineStr">
        <is>
          <t>200</t>
        </is>
      </c>
      <c r="F388" s="14" t="inlineStr">
        <is>
          <t>1kV-XLPE-Arm-T-RF-CU</t>
        </is>
      </c>
      <c r="G388" s="14" t="inlineStr">
        <is>
          <t>4x10+T</t>
        </is>
      </c>
      <c r="H388" s="14" t="inlineStr">
        <is>
          <t>Iluminación ext. emergencia - Área Servicios Aire y Nitrógeno</t>
        </is>
      </c>
      <c r="I388" s="14" t="inlineStr"/>
      <c r="J388" s="14" t="inlineStr">
        <is>
          <t>POTENCIA_BT</t>
        </is>
      </c>
      <c r="K388" s="14" t="inlineStr">
        <is>
          <t>CPF2</t>
        </is>
      </c>
      <c r="L388" s="137" t="n">
        <v>5</v>
      </c>
      <c r="M388" s="144" t="inlineStr">
        <is>
          <t>SI</t>
        </is>
      </c>
      <c r="N388" s="139" t="n">
        <v>10</v>
      </c>
      <c r="O388" s="145" t="n">
        <v>2</v>
      </c>
      <c r="P388" s="141" t="n">
        <v>12</v>
      </c>
      <c r="Q388" s="136" t="inlineStr">
        <is>
          <t>POTENCIA BT PEQUEÑA (10-25mm²)</t>
        </is>
      </c>
      <c r="R388" s="136" t="inlineStr">
        <is>
          <t>ILUMINACION</t>
        </is>
      </c>
    </row>
    <row r="389">
      <c r="A389" s="14" t="inlineStr">
        <is>
          <t>P-102-JBIE-010</t>
        </is>
      </c>
      <c r="B389" s="14" t="inlineStr">
        <is>
          <t>102-LP-002</t>
        </is>
      </c>
      <c r="C389" s="14" t="inlineStr">
        <is>
          <t>102-JBIE-010</t>
        </is>
      </c>
      <c r="D389" s="14" t="inlineStr">
        <is>
          <t>380</t>
        </is>
      </c>
      <c r="E389" s="14" t="inlineStr">
        <is>
          <t>100</t>
        </is>
      </c>
      <c r="F389" s="14" t="inlineStr">
        <is>
          <t>1kV-XLPE-Arm-T-RF-CU</t>
        </is>
      </c>
      <c r="G389" s="14" t="inlineStr">
        <is>
          <t>4x10+T</t>
        </is>
      </c>
      <c r="H389" s="14" t="inlineStr">
        <is>
          <t>Iluminación ext. emergencia - Área KOD</t>
        </is>
      </c>
      <c r="I389" s="14" t="inlineStr">
        <is>
          <t>Iluminación Vial Emergencia Calle E y E1 A</t>
        </is>
      </c>
      <c r="J389" s="14" t="inlineStr">
        <is>
          <t>POTENCIA_BT</t>
        </is>
      </c>
      <c r="K389" s="14" t="inlineStr">
        <is>
          <t>CPF2</t>
        </is>
      </c>
      <c r="L389" s="137" t="n">
        <v>5</v>
      </c>
      <c r="M389" s="144" t="inlineStr">
        <is>
          <t>SI</t>
        </is>
      </c>
      <c r="N389" s="139" t="n">
        <v>10</v>
      </c>
      <c r="O389" s="145" t="n">
        <v>2</v>
      </c>
      <c r="P389" s="141" t="n">
        <v>12</v>
      </c>
      <c r="Q389" s="136" t="inlineStr">
        <is>
          <t>POTENCIA BT PEQUEÑA (10-25mm²)</t>
        </is>
      </c>
      <c r="R389" s="136" t="inlineStr">
        <is>
          <t>ILUMINACION</t>
        </is>
      </c>
    </row>
    <row r="390">
      <c r="A390" s="14" t="inlineStr">
        <is>
          <t>P-102-JBIE-011</t>
        </is>
      </c>
      <c r="B390" s="14" t="inlineStr">
        <is>
          <t>102-LP-002</t>
        </is>
      </c>
      <c r="C390" s="14" t="inlineStr">
        <is>
          <t>102-JBIE-011</t>
        </is>
      </c>
      <c r="D390" s="14" t="inlineStr">
        <is>
          <t>380</t>
        </is>
      </c>
      <c r="E390" s="14" t="inlineStr">
        <is>
          <t>100</t>
        </is>
      </c>
      <c r="F390" s="14" t="inlineStr">
        <is>
          <t>1kV-XLPE-Arm-T-RF-CU</t>
        </is>
      </c>
      <c r="G390" s="14" t="inlineStr">
        <is>
          <t>4x10+T</t>
        </is>
      </c>
      <c r="H390" s="14" t="inlineStr">
        <is>
          <t>Iluminación ext. emergencia - Área KOD</t>
        </is>
      </c>
      <c r="I390" s="14" t="inlineStr">
        <is>
          <t>Iluminación Vial Emergencia Calle 2 y 3 102-DP-001-TRA</t>
        </is>
      </c>
      <c r="J390" s="14" t="inlineStr">
        <is>
          <t>POTENCIA_BT</t>
        </is>
      </c>
      <c r="K390" s="14" t="inlineStr">
        <is>
          <t>CPF2</t>
        </is>
      </c>
      <c r="L390" s="137" t="n">
        <v>5</v>
      </c>
      <c r="M390" s="144" t="inlineStr">
        <is>
          <t>SI</t>
        </is>
      </c>
      <c r="N390" s="139" t="n">
        <v>10</v>
      </c>
      <c r="O390" s="145" t="n">
        <v>2</v>
      </c>
      <c r="P390" s="141" t="n">
        <v>12</v>
      </c>
      <c r="Q390" s="136" t="inlineStr">
        <is>
          <t>POTENCIA BT PEQUEÑA (10-25mm²)</t>
        </is>
      </c>
      <c r="R390" s="136" t="inlineStr">
        <is>
          <t>ILUMINACION</t>
        </is>
      </c>
    </row>
    <row r="391">
      <c r="A391" s="14" t="inlineStr">
        <is>
          <t>P-102-JBT-140</t>
        </is>
      </c>
      <c r="B391" s="14" t="inlineStr">
        <is>
          <t>102-DP-001-TRA</t>
        </is>
      </c>
      <c r="C391" s="14" t="inlineStr">
        <is>
          <t>102-JBT-140</t>
        </is>
      </c>
      <c r="D391" s="14" t="inlineStr">
        <is>
          <t>380</t>
        </is>
      </c>
      <c r="E391" s="14" t="inlineStr">
        <is>
          <t>150</t>
        </is>
      </c>
      <c r="F391" s="14" t="inlineStr">
        <is>
          <t>1kV-XLPE-Arm-T-CU</t>
        </is>
      </c>
      <c r="G391" s="14" t="inlineStr">
        <is>
          <t>4x4+T</t>
        </is>
      </c>
      <c r="H391" s="14" t="inlineStr">
        <is>
          <t>Iluminación ext. emergencia - Área KOD</t>
        </is>
      </c>
      <c r="I391" s="14" t="inlineStr">
        <is>
          <t>JUNCTION BOX  TRACING - MODULO 140 A</t>
        </is>
      </c>
      <c r="J391" s="14" t="inlineStr">
        <is>
          <t>POTENCIA_BT</t>
        </is>
      </c>
      <c r="K391" s="14" t="inlineStr">
        <is>
          <t>CPF2</t>
        </is>
      </c>
      <c r="L391" s="137" t="n">
        <v>5</v>
      </c>
      <c r="M391" s="144" t="inlineStr">
        <is>
          <t>SI</t>
        </is>
      </c>
      <c r="N391" s="139" t="n">
        <v>10</v>
      </c>
      <c r="O391" s="145" t="n">
        <v>2</v>
      </c>
      <c r="P391" s="141" t="n">
        <v>12</v>
      </c>
      <c r="Q391" s="136" t="inlineStr">
        <is>
          <t>POTENCIA BT MUY PEQ (&lt;10mm²)</t>
        </is>
      </c>
      <c r="R391" s="136" t="inlineStr">
        <is>
          <t>ILUMINACION</t>
        </is>
      </c>
    </row>
    <row r="392">
      <c r="A392" s="14" t="inlineStr">
        <is>
          <t>P-102-JBT-260</t>
        </is>
      </c>
      <c r="B392" s="14" t="inlineStr">
        <is>
          <t>102-DP-001-TRA</t>
        </is>
      </c>
      <c r="C392" s="14" t="inlineStr">
        <is>
          <t>102-JBT-260</t>
        </is>
      </c>
      <c r="D392" s="14" t="inlineStr">
        <is>
          <t>380</t>
        </is>
      </c>
      <c r="E392" s="14" t="inlineStr">
        <is>
          <t>130</t>
        </is>
      </c>
      <c r="F392" s="14" t="inlineStr">
        <is>
          <t>1kV-XLPE-Arm-T-CU</t>
        </is>
      </c>
      <c r="G392" s="14" t="inlineStr">
        <is>
          <t>4x4+T</t>
        </is>
      </c>
      <c r="H392" s="14" t="inlineStr">
        <is>
          <t>Iluminación ext. emergencia - Área KOD</t>
        </is>
      </c>
      <c r="I392" s="14" t="inlineStr">
        <is>
          <t>JUNCTION BOX  TRACING - MODULO 260 A</t>
        </is>
      </c>
      <c r="J392" s="14" t="inlineStr">
        <is>
          <t>POTENCIA_BT</t>
        </is>
      </c>
      <c r="K392" s="14" t="inlineStr">
        <is>
          <t>CPF2</t>
        </is>
      </c>
      <c r="L392" s="137" t="n">
        <v>5</v>
      </c>
      <c r="M392" s="144" t="inlineStr">
        <is>
          <t>SI</t>
        </is>
      </c>
      <c r="N392" s="139" t="n">
        <v>10</v>
      </c>
      <c r="O392" s="145" t="n">
        <v>2</v>
      </c>
      <c r="P392" s="141" t="n">
        <v>12</v>
      </c>
      <c r="Q392" s="136" t="inlineStr">
        <is>
          <t>POTENCIA BT MUY PEQ (&lt;10mm²)</t>
        </is>
      </c>
      <c r="R392" s="136" t="inlineStr">
        <is>
          <t>ILUMINACION</t>
        </is>
      </c>
    </row>
    <row r="393">
      <c r="A393" s="14" t="inlineStr">
        <is>
          <t>P-102-JBT-290</t>
        </is>
      </c>
      <c r="B393" s="14" t="inlineStr">
        <is>
          <t>102-DP-001-TRA</t>
        </is>
      </c>
      <c r="C393" s="14" t="inlineStr">
        <is>
          <t>102-JBT-290</t>
        </is>
      </c>
      <c r="D393" s="14" t="inlineStr">
        <is>
          <t>380</t>
        </is>
      </c>
      <c r="E393" s="14" t="inlineStr">
        <is>
          <t>220</t>
        </is>
      </c>
      <c r="F393" s="14" t="inlineStr">
        <is>
          <t>1kV-XLPE-Arm-T-CU</t>
        </is>
      </c>
      <c r="G393" s="14" t="inlineStr">
        <is>
          <t>4x4+T</t>
        </is>
      </c>
      <c r="H393" s="14" t="inlineStr">
        <is>
          <t>Iluminación ext. emergencia - Área KOD</t>
        </is>
      </c>
      <c r="I393" s="14" t="inlineStr">
        <is>
          <t>JUNCTION BOX  TRACING - MODULO 290 A</t>
        </is>
      </c>
      <c r="J393" s="14" t="inlineStr">
        <is>
          <t>POTENCIA_BT</t>
        </is>
      </c>
      <c r="K393" s="14" t="inlineStr">
        <is>
          <t>CPF2</t>
        </is>
      </c>
      <c r="L393" s="137" t="n">
        <v>5</v>
      </c>
      <c r="M393" s="144" t="inlineStr">
        <is>
          <t>SI</t>
        </is>
      </c>
      <c r="N393" s="139" t="n">
        <v>10</v>
      </c>
      <c r="O393" s="145" t="n">
        <v>2</v>
      </c>
      <c r="P393" s="141" t="n">
        <v>12</v>
      </c>
      <c r="Q393" s="136" t="inlineStr">
        <is>
          <t>POTENCIA BT MUY PEQ (&lt;10mm²)</t>
        </is>
      </c>
      <c r="R393" s="136" t="inlineStr">
        <is>
          <t>ILUMINACION</t>
        </is>
      </c>
    </row>
    <row r="394">
      <c r="A394" s="14" t="inlineStr">
        <is>
          <t>P-102-JBT-291</t>
        </is>
      </c>
      <c r="B394" s="14" t="inlineStr">
        <is>
          <t>102-DP-001-TRA</t>
        </is>
      </c>
      <c r="C394" s="14" t="inlineStr">
        <is>
          <t>102-JBT-291</t>
        </is>
      </c>
      <c r="D394" s="14" t="inlineStr">
        <is>
          <t>380</t>
        </is>
      </c>
      <c r="E394" s="14" t="inlineStr">
        <is>
          <t>150</t>
        </is>
      </c>
      <c r="F394" s="14" t="inlineStr">
        <is>
          <t>1kV-XLPE-Arm-T-CU</t>
        </is>
      </c>
      <c r="G394" s="14" t="inlineStr">
        <is>
          <t>4x4+T</t>
        </is>
      </c>
      <c r="H394" s="14" t="inlineStr">
        <is>
          <t>Iluminación ext. emergencia - Área KOD</t>
        </is>
      </c>
      <c r="I394" s="14" t="inlineStr">
        <is>
          <t>JUNCTION BOX  TRACING - MODULO 291 A</t>
        </is>
      </c>
      <c r="J394" s="14" t="inlineStr">
        <is>
          <t>POTENCIA_BT</t>
        </is>
      </c>
      <c r="K394" s="14" t="inlineStr">
        <is>
          <t>CPF2</t>
        </is>
      </c>
      <c r="L394" s="137" t="n">
        <v>5</v>
      </c>
      <c r="M394" s="144" t="inlineStr">
        <is>
          <t>SI</t>
        </is>
      </c>
      <c r="N394" s="139" t="n">
        <v>10</v>
      </c>
      <c r="O394" s="145" t="n">
        <v>2</v>
      </c>
      <c r="P394" s="141" t="n">
        <v>12</v>
      </c>
      <c r="Q394" s="136" t="inlineStr">
        <is>
          <t>POTENCIA BT MUY PEQ (&lt;10mm²)</t>
        </is>
      </c>
      <c r="R394" s="136" t="inlineStr">
        <is>
          <t>ILUMINACION</t>
        </is>
      </c>
    </row>
    <row r="395">
      <c r="A395" s="14" t="inlineStr">
        <is>
          <t>P-102-JBT-292</t>
        </is>
      </c>
      <c r="B395" s="14" t="inlineStr">
        <is>
          <t>102-DP-001-TRA</t>
        </is>
      </c>
      <c r="C395" s="14" t="inlineStr">
        <is>
          <t>102-JBT-292</t>
        </is>
      </c>
      <c r="D395" s="14" t="inlineStr">
        <is>
          <t>380</t>
        </is>
      </c>
      <c r="E395" s="14" t="inlineStr">
        <is>
          <t>140</t>
        </is>
      </c>
      <c r="F395" s="14" t="inlineStr">
        <is>
          <t>1kV-XLPE-Arm-T-CU</t>
        </is>
      </c>
      <c r="G395" s="14" t="inlineStr">
        <is>
          <t>4x4+T</t>
        </is>
      </c>
      <c r="H395" s="14" t="inlineStr">
        <is>
          <t>Iluminación ext. emergencia - Área KOD</t>
        </is>
      </c>
      <c r="I395" s="14" t="inlineStr">
        <is>
          <t>JUNCTION BOX  TRACING - MODULO 292 A</t>
        </is>
      </c>
      <c r="J395" s="14" t="inlineStr">
        <is>
          <t>POTENCIA_BT</t>
        </is>
      </c>
      <c r="K395" s="14" t="inlineStr">
        <is>
          <t>CPF2</t>
        </is>
      </c>
      <c r="L395" s="137" t="n">
        <v>5</v>
      </c>
      <c r="M395" s="144" t="inlineStr">
        <is>
          <t>SI</t>
        </is>
      </c>
      <c r="N395" s="139" t="n">
        <v>10</v>
      </c>
      <c r="O395" s="145" t="n">
        <v>2</v>
      </c>
      <c r="P395" s="141" t="n">
        <v>12</v>
      </c>
      <c r="Q395" s="136" t="inlineStr">
        <is>
          <t>POTENCIA BT MUY PEQ (&lt;10mm²)</t>
        </is>
      </c>
      <c r="R395" s="136" t="inlineStr">
        <is>
          <t>ILUMINACION</t>
        </is>
      </c>
    </row>
    <row r="396">
      <c r="A396" s="14" t="inlineStr">
        <is>
          <t>P-102-JBT-293</t>
        </is>
      </c>
      <c r="B396" s="14" t="inlineStr">
        <is>
          <t>102-DP-001-TRA</t>
        </is>
      </c>
      <c r="C396" s="14" t="inlineStr">
        <is>
          <t>102-JBT-293</t>
        </is>
      </c>
      <c r="D396" s="14" t="inlineStr">
        <is>
          <t>380</t>
        </is>
      </c>
      <c r="E396" s="14" t="inlineStr">
        <is>
          <t>130</t>
        </is>
      </c>
      <c r="F396" s="14" t="inlineStr">
        <is>
          <t>1kV-XLPE-Arm-T-CU</t>
        </is>
      </c>
      <c r="G396" s="14" t="inlineStr">
        <is>
          <t>4x4+T</t>
        </is>
      </c>
      <c r="H396" s="14" t="inlineStr">
        <is>
          <t>Iluminación ext. emergencia - Área KOD</t>
        </is>
      </c>
      <c r="I396" s="14" t="inlineStr">
        <is>
          <t>JUNCTION BOX  TRACING - MODULO 293 A</t>
        </is>
      </c>
      <c r="J396" s="14" t="inlineStr">
        <is>
          <t>POTENCIA_BT</t>
        </is>
      </c>
      <c r="K396" s="14" t="inlineStr">
        <is>
          <t>CPF2</t>
        </is>
      </c>
      <c r="L396" s="137" t="n">
        <v>5</v>
      </c>
      <c r="M396" s="144" t="inlineStr">
        <is>
          <t>SI</t>
        </is>
      </c>
      <c r="N396" s="139" t="n">
        <v>10</v>
      </c>
      <c r="O396" s="145" t="n">
        <v>2</v>
      </c>
      <c r="P396" s="141" t="n">
        <v>12</v>
      </c>
      <c r="Q396" s="136" t="inlineStr">
        <is>
          <t>POTENCIA BT MUY PEQ (&lt;10mm²)</t>
        </is>
      </c>
      <c r="R396" s="136" t="inlineStr">
        <is>
          <t>ILUMINACION</t>
        </is>
      </c>
    </row>
    <row r="397">
      <c r="A397" s="14" t="inlineStr">
        <is>
          <t>P-102-JBT-001</t>
        </is>
      </c>
      <c r="B397" s="14" t="inlineStr">
        <is>
          <t>102-DP-001-TRA</t>
        </is>
      </c>
      <c r="C397" s="14" t="inlineStr">
        <is>
          <t>102-JBT-001</t>
        </is>
      </c>
      <c r="D397" s="14" t="inlineStr">
        <is>
          <t>380</t>
        </is>
      </c>
      <c r="E397" s="14" t="inlineStr">
        <is>
          <t>150</t>
        </is>
      </c>
      <c r="F397" s="14" t="inlineStr">
        <is>
          <t>1kV-XLPE-Arm-T-CU</t>
        </is>
      </c>
      <c r="G397" s="14" t="inlineStr">
        <is>
          <t>4x4+T</t>
        </is>
      </c>
      <c r="H397" s="14" t="inlineStr">
        <is>
          <t>Iluminación ext. emergencia - Área KOD</t>
        </is>
      </c>
      <c r="I397" s="14" t="inlineStr">
        <is>
          <t>JUNCTION BOX  TRACING EN CAMPO A</t>
        </is>
      </c>
      <c r="J397" s="14" t="inlineStr">
        <is>
          <t>POTENCIA_BT</t>
        </is>
      </c>
      <c r="K397" s="14" t="inlineStr">
        <is>
          <t>CPF2</t>
        </is>
      </c>
      <c r="L397" s="137" t="n">
        <v>5</v>
      </c>
      <c r="M397" s="144" t="inlineStr">
        <is>
          <t>SI</t>
        </is>
      </c>
      <c r="N397" s="139" t="n">
        <v>10</v>
      </c>
      <c r="O397" s="145" t="n">
        <v>2</v>
      </c>
      <c r="P397" s="141" t="n">
        <v>12</v>
      </c>
      <c r="Q397" s="136" t="inlineStr">
        <is>
          <t>POTENCIA BT MUY PEQ (&lt;10mm²)</t>
        </is>
      </c>
      <c r="R397" s="136" t="inlineStr">
        <is>
          <t>ILUMINACION</t>
        </is>
      </c>
    </row>
    <row r="398">
      <c r="A398" s="14" t="inlineStr">
        <is>
          <t>P-102-JBT-002</t>
        </is>
      </c>
      <c r="B398" s="14" t="inlineStr">
        <is>
          <t>102-DP-001-TRA</t>
        </is>
      </c>
      <c r="C398" s="14" t="inlineStr">
        <is>
          <t>102-JBT-002</t>
        </is>
      </c>
      <c r="D398" s="14" t="inlineStr">
        <is>
          <t>380</t>
        </is>
      </c>
      <c r="E398" s="14" t="inlineStr">
        <is>
          <t>150</t>
        </is>
      </c>
      <c r="F398" s="14" t="inlineStr">
        <is>
          <t>1kV-XLPE-Arm-T-CU</t>
        </is>
      </c>
      <c r="G398" s="14" t="inlineStr">
        <is>
          <t>4x4+T</t>
        </is>
      </c>
      <c r="H398" s="14" t="inlineStr">
        <is>
          <t>Iluminación ext. emergencia - Área KOD</t>
        </is>
      </c>
      <c r="I398" s="14" t="inlineStr">
        <is>
          <t>JUNCTION BOX  TRACING EN CAMPO A</t>
        </is>
      </c>
      <c r="J398" s="14" t="inlineStr">
        <is>
          <t>POTENCIA_BT</t>
        </is>
      </c>
      <c r="K398" s="14" t="inlineStr">
        <is>
          <t>CPF2</t>
        </is>
      </c>
      <c r="L398" s="137" t="n">
        <v>5</v>
      </c>
      <c r="M398" s="144" t="inlineStr">
        <is>
          <t>SI</t>
        </is>
      </c>
      <c r="N398" s="139" t="n">
        <v>10</v>
      </c>
      <c r="O398" s="145" t="n">
        <v>2</v>
      </c>
      <c r="P398" s="141" t="n">
        <v>12</v>
      </c>
      <c r="Q398" s="136" t="inlineStr">
        <is>
          <t>POTENCIA BT MUY PEQ (&lt;10mm²)</t>
        </is>
      </c>
      <c r="R398" s="136" t="inlineStr">
        <is>
          <t>ILUMINACION</t>
        </is>
      </c>
    </row>
    <row r="399">
      <c r="A399" s="14" t="inlineStr">
        <is>
          <t>P-102-JBT-003</t>
        </is>
      </c>
      <c r="B399" s="14" t="inlineStr">
        <is>
          <t>102-DP-001-TRA</t>
        </is>
      </c>
      <c r="C399" s="14" t="inlineStr">
        <is>
          <t>102-JBT-003</t>
        </is>
      </c>
      <c r="D399" s="14" t="inlineStr">
        <is>
          <t>380</t>
        </is>
      </c>
      <c r="E399" s="14" t="inlineStr">
        <is>
          <t>150</t>
        </is>
      </c>
      <c r="F399" s="14" t="inlineStr">
        <is>
          <t>1kV-XLPE-Arm-T-CU</t>
        </is>
      </c>
      <c r="G399" s="14" t="inlineStr">
        <is>
          <t>4x4+T</t>
        </is>
      </c>
      <c r="H399" s="14" t="inlineStr">
        <is>
          <t>Iluminación ext. emergencia - Área KOD</t>
        </is>
      </c>
      <c r="I399" s="14" t="inlineStr">
        <is>
          <t>JUNCTION BOX  TRACING EN CAMPO</t>
        </is>
      </c>
      <c r="J399" s="14" t="inlineStr">
        <is>
          <t>POTENCIA_BT</t>
        </is>
      </c>
      <c r="K399" s="14" t="inlineStr">
        <is>
          <t>CPF2</t>
        </is>
      </c>
      <c r="L399" s="137" t="n">
        <v>5</v>
      </c>
      <c r="M399" s="144" t="inlineStr">
        <is>
          <t>SI</t>
        </is>
      </c>
      <c r="N399" s="139" t="n">
        <v>10</v>
      </c>
      <c r="O399" s="145" t="n">
        <v>2</v>
      </c>
      <c r="P399" s="141" t="n">
        <v>12</v>
      </c>
      <c r="Q399" s="136" t="inlineStr">
        <is>
          <t>POTENCIA BT MUY PEQ (&lt;10mm²)</t>
        </is>
      </c>
      <c r="R399" s="136" t="inlineStr">
        <is>
          <t>ILUMINACION</t>
        </is>
      </c>
    </row>
    <row r="400">
      <c r="A400" s="14" t="inlineStr">
        <is>
          <t>P-102-JBT-004</t>
        </is>
      </c>
      <c r="B400" s="14" t="inlineStr">
        <is>
          <t>102-DP-001-TRA</t>
        </is>
      </c>
      <c r="C400" s="14" t="inlineStr">
        <is>
          <t>102-JBT-004</t>
        </is>
      </c>
      <c r="D400" s="14" t="inlineStr">
        <is>
          <t>380</t>
        </is>
      </c>
      <c r="E400" s="14" t="inlineStr">
        <is>
          <t>150</t>
        </is>
      </c>
      <c r="F400" s="14" t="inlineStr">
        <is>
          <t>1kV-XLPE-Arm-T-CU</t>
        </is>
      </c>
      <c r="G400" s="14" t="inlineStr">
        <is>
          <t>4x4+T</t>
        </is>
      </c>
      <c r="H400" s="14" t="inlineStr">
        <is>
          <t>Iluminación ext. emergencia - Área KOD</t>
        </is>
      </c>
      <c r="I400" s="14" t="inlineStr">
        <is>
          <t>JUNCTION BOX  TRACING EN CAMPO A</t>
        </is>
      </c>
      <c r="J400" s="14" t="inlineStr">
        <is>
          <t>POTENCIA_BT</t>
        </is>
      </c>
      <c r="K400" s="14" t="inlineStr">
        <is>
          <t>CPF2</t>
        </is>
      </c>
      <c r="L400" s="137" t="n">
        <v>5</v>
      </c>
      <c r="M400" s="144" t="inlineStr">
        <is>
          <t>SI</t>
        </is>
      </c>
      <c r="N400" s="139" t="n">
        <v>10</v>
      </c>
      <c r="O400" s="145" t="n">
        <v>2</v>
      </c>
      <c r="P400" s="141" t="n">
        <v>12</v>
      </c>
      <c r="Q400" s="136" t="inlineStr">
        <is>
          <t>POTENCIA BT MUY PEQ (&lt;10mm²)</t>
        </is>
      </c>
      <c r="R400" s="136" t="inlineStr">
        <is>
          <t>ILUMINACION</t>
        </is>
      </c>
    </row>
    <row r="401">
      <c r="A401" s="14" t="inlineStr">
        <is>
          <t>P-102-JBT-005</t>
        </is>
      </c>
      <c r="B401" s="14" t="inlineStr">
        <is>
          <t>102-DP-001-TRA</t>
        </is>
      </c>
      <c r="C401" s="14" t="inlineStr">
        <is>
          <t>102-JBT-005</t>
        </is>
      </c>
      <c r="D401" s="14" t="inlineStr">
        <is>
          <t>380</t>
        </is>
      </c>
      <c r="E401" s="14" t="inlineStr">
        <is>
          <t>150</t>
        </is>
      </c>
      <c r="F401" s="14" t="inlineStr">
        <is>
          <t>1kV-XLPE-Arm-T-CU</t>
        </is>
      </c>
      <c r="G401" s="14" t="inlineStr">
        <is>
          <t>4x4+T</t>
        </is>
      </c>
      <c r="H401" s="14" t="inlineStr">
        <is>
          <t>Iluminación ext. emergencia - Área KOD</t>
        </is>
      </c>
      <c r="I401" s="14" t="inlineStr">
        <is>
          <t>JUNCTION BOX  TRACING EN CAMPO A</t>
        </is>
      </c>
      <c r="J401" s="14" t="inlineStr">
        <is>
          <t>POTENCIA_BT</t>
        </is>
      </c>
      <c r="K401" s="14" t="inlineStr">
        <is>
          <t>CPF2</t>
        </is>
      </c>
      <c r="L401" s="137" t="n">
        <v>5</v>
      </c>
      <c r="M401" s="144" t="inlineStr">
        <is>
          <t>SI</t>
        </is>
      </c>
      <c r="N401" s="139" t="n">
        <v>10</v>
      </c>
      <c r="O401" s="145" t="n">
        <v>2</v>
      </c>
      <c r="P401" s="141" t="n">
        <v>12</v>
      </c>
      <c r="Q401" s="136" t="inlineStr">
        <is>
          <t>POTENCIA BT MUY PEQ (&lt;10mm²)</t>
        </is>
      </c>
      <c r="R401" s="136" t="inlineStr">
        <is>
          <t>ILUMINACION</t>
        </is>
      </c>
    </row>
    <row r="402">
      <c r="A402" s="14" t="inlineStr">
        <is>
          <t>P-102-JBT-006</t>
        </is>
      </c>
      <c r="B402" s="14" t="inlineStr">
        <is>
          <t>102-DP-001-TRA</t>
        </is>
      </c>
      <c r="C402" s="14" t="inlineStr">
        <is>
          <t>102-JBT-006</t>
        </is>
      </c>
      <c r="D402" s="14" t="inlineStr">
        <is>
          <t>380</t>
        </is>
      </c>
      <c r="E402" s="14" t="inlineStr">
        <is>
          <t>150</t>
        </is>
      </c>
      <c r="F402" s="14" t="inlineStr">
        <is>
          <t>1kV-XLPE-Arm-T-CU</t>
        </is>
      </c>
      <c r="G402" s="14" t="inlineStr">
        <is>
          <t>4x4+T</t>
        </is>
      </c>
      <c r="H402" s="14" t="inlineStr">
        <is>
          <t>Iluminación ext. emergencia - Área KOD</t>
        </is>
      </c>
      <c r="I402" s="14" t="inlineStr">
        <is>
          <t>JUNCTION BOX  TRACING EN CAMPO</t>
        </is>
      </c>
      <c r="J402" s="14" t="inlineStr">
        <is>
          <t>POTENCIA_BT</t>
        </is>
      </c>
      <c r="K402" s="14" t="inlineStr">
        <is>
          <t>CPF2</t>
        </is>
      </c>
      <c r="L402" s="137" t="n">
        <v>5</v>
      </c>
      <c r="M402" s="144" t="inlineStr">
        <is>
          <t>SI</t>
        </is>
      </c>
      <c r="N402" s="139" t="n">
        <v>10</v>
      </c>
      <c r="O402" s="145" t="n">
        <v>2</v>
      </c>
      <c r="P402" s="141" t="n">
        <v>12</v>
      </c>
      <c r="Q402" s="136" t="inlineStr">
        <is>
          <t>POTENCIA BT MUY PEQ (&lt;10mm²)</t>
        </is>
      </c>
      <c r="R402" s="136" t="inlineStr">
        <is>
          <t>ILUMINACION</t>
        </is>
      </c>
    </row>
    <row r="403">
      <c r="A403" s="14" t="inlineStr">
        <is>
          <t>P-102-DP-473A</t>
        </is>
      </c>
      <c r="B403" s="14" t="inlineStr">
        <is>
          <t>102-DP-471</t>
        </is>
      </c>
      <c r="C403" s="14" t="inlineStr">
        <is>
          <t>102-DP-473A</t>
        </is>
      </c>
      <c r="D403" s="14" t="inlineStr">
        <is>
          <t>220</t>
        </is>
      </c>
      <c r="E403" s="14" t="inlineStr">
        <is>
          <t>10</t>
        </is>
      </c>
      <c r="F403" s="14" t="inlineStr">
        <is>
          <t>1kV-XLPE-CU</t>
        </is>
      </c>
      <c r="G403" s="14" t="inlineStr">
        <is>
          <t>2x16</t>
        </is>
      </c>
      <c r="H403" s="14" t="inlineStr">
        <is>
          <t>Iluminación ext. emergencia - Área KOD</t>
        </is>
      </c>
      <c r="I403" s="14" t="inlineStr">
        <is>
          <t>Tablero Conversión 220VAC/24VCC (Alimentador A\ 0</t>
        </is>
      </c>
      <c r="J403" s="14" t="inlineStr">
        <is>
          <t>POTENCIA_BT</t>
        </is>
      </c>
      <c r="K403" s="14" t="inlineStr">
        <is>
          <t>CPF2</t>
        </is>
      </c>
      <c r="L403" s="137" t="n">
        <v>2</v>
      </c>
      <c r="M403" s="138" t="inlineStr">
        <is>
          <t>NO</t>
        </is>
      </c>
      <c r="N403" s="139" t="n">
        <v>4</v>
      </c>
      <c r="O403" s="140" t="n">
        <v>0</v>
      </c>
      <c r="P403" s="141" t="n">
        <v>4</v>
      </c>
      <c r="Q403" s="136" t="inlineStr">
        <is>
          <t>POTENCIA BT PEQUEÑA (10-25mm²)</t>
        </is>
      </c>
      <c r="R403" s="136" t="inlineStr">
        <is>
          <t>ILUMINACION</t>
        </is>
      </c>
    </row>
    <row r="404">
      <c r="A404" s="14" t="inlineStr">
        <is>
          <t>P-102-DP-473B</t>
        </is>
      </c>
      <c r="B404" s="14" t="inlineStr">
        <is>
          <t>102-DP-471</t>
        </is>
      </c>
      <c r="C404" s="14" t="inlineStr">
        <is>
          <t>102-DP-473B</t>
        </is>
      </c>
      <c r="D404" s="14" t="inlineStr">
        <is>
          <t>220</t>
        </is>
      </c>
      <c r="E404" s="14" t="inlineStr">
        <is>
          <t>10</t>
        </is>
      </c>
      <c r="F404" s="14" t="inlineStr">
        <is>
          <t>1kV-XLPE-CU</t>
        </is>
      </c>
      <c r="G404" s="14" t="inlineStr">
        <is>
          <t>2x16</t>
        </is>
      </c>
      <c r="H404" s="14" t="inlineStr">
        <is>
          <t>Iluminación ext. emergencia - Área KOD</t>
        </is>
      </c>
      <c r="I404" s="14" t="inlineStr">
        <is>
          <t>Tablero Conversión 220VAC/24VCC (Alimentador B\ 0</t>
        </is>
      </c>
      <c r="J404" s="14" t="inlineStr">
        <is>
          <t>POTENCIA_BT</t>
        </is>
      </c>
      <c r="K404" s="14" t="inlineStr">
        <is>
          <t>CPF2</t>
        </is>
      </c>
      <c r="L404" s="137" t="n">
        <v>2</v>
      </c>
      <c r="M404" s="138" t="inlineStr">
        <is>
          <t>NO</t>
        </is>
      </c>
      <c r="N404" s="139" t="n">
        <v>4</v>
      </c>
      <c r="O404" s="140" t="n">
        <v>0</v>
      </c>
      <c r="P404" s="141" t="n">
        <v>4</v>
      </c>
      <c r="Q404" s="136" t="inlineStr">
        <is>
          <t>POTENCIA BT PEQUEÑA (10-25mm²)</t>
        </is>
      </c>
      <c r="R404" s="136" t="inlineStr">
        <is>
          <t>ILUMINACION</t>
        </is>
      </c>
    </row>
    <row r="405">
      <c r="A405" s="14" t="inlineStr">
        <is>
          <t>P-CPF-COM-27A</t>
        </is>
      </c>
      <c r="B405" s="14" t="inlineStr">
        <is>
          <t>102-DP-471</t>
        </is>
      </c>
      <c r="C405" s="14" t="inlineStr">
        <is>
          <t>CPF-COM-27A</t>
        </is>
      </c>
      <c r="D405" s="14" t="inlineStr">
        <is>
          <t>220</t>
        </is>
      </c>
      <c r="E405" s="14" t="inlineStr">
        <is>
          <t>20</t>
        </is>
      </c>
      <c r="F405" s="14" t="inlineStr">
        <is>
          <t>1kV-XLPE-CU</t>
        </is>
      </c>
      <c r="G405" s="14" t="inlineStr">
        <is>
          <t>2x4</t>
        </is>
      </c>
      <c r="H405" s="14" t="inlineStr">
        <is>
          <t>Iluminación ext. emergencia - Área KOD</t>
        </is>
      </c>
      <c r="I405" s="14" t="inlineStr">
        <is>
          <t>Gabinete de comunicaciones IT/OT (42U\ (Alimentador A\ 0</t>
        </is>
      </c>
      <c r="J405" s="14" t="inlineStr">
        <is>
          <t>POTENCIA_BT</t>
        </is>
      </c>
      <c r="K405" s="14" t="inlineStr">
        <is>
          <t>CPF2</t>
        </is>
      </c>
      <c r="L405" s="137" t="n">
        <v>2</v>
      </c>
      <c r="M405" s="138" t="inlineStr">
        <is>
          <t>NO</t>
        </is>
      </c>
      <c r="N405" s="139" t="n">
        <v>4</v>
      </c>
      <c r="O405" s="140" t="n">
        <v>0</v>
      </c>
      <c r="P405" s="141" t="n">
        <v>4</v>
      </c>
      <c r="Q405" s="136" t="inlineStr">
        <is>
          <t>POTENCIA BT MUY PEQ (&lt;10mm²)</t>
        </is>
      </c>
      <c r="R405" s="136" t="inlineStr">
        <is>
          <t>ILUMINACION</t>
        </is>
      </c>
    </row>
    <row r="406">
      <c r="A406" s="14" t="inlineStr">
        <is>
          <t>P-CPF-COM-27B</t>
        </is>
      </c>
      <c r="B406" s="14" t="inlineStr">
        <is>
          <t>102-DP-471</t>
        </is>
      </c>
      <c r="C406" s="14" t="inlineStr">
        <is>
          <t>CPF-COM-27B</t>
        </is>
      </c>
      <c r="D406" s="14" t="inlineStr">
        <is>
          <t>220</t>
        </is>
      </c>
      <c r="E406" s="14" t="inlineStr">
        <is>
          <t>20</t>
        </is>
      </c>
      <c r="F406" s="14" t="inlineStr">
        <is>
          <t>1kV-XLPE-CU</t>
        </is>
      </c>
      <c r="G406" s="14" t="inlineStr">
        <is>
          <t>2x4</t>
        </is>
      </c>
      <c r="H406" s="14" t="inlineStr">
        <is>
          <t>Iluminación ext. emergencia - Área KOD</t>
        </is>
      </c>
      <c r="I406" s="14" t="inlineStr">
        <is>
          <t>Gabinete de comunicaciones IT/OT (42U\ (Alimentador B\ 0</t>
        </is>
      </c>
      <c r="J406" s="14" t="inlineStr">
        <is>
          <t>POTENCIA_BT</t>
        </is>
      </c>
      <c r="K406" s="14" t="inlineStr">
        <is>
          <t>CPF2</t>
        </is>
      </c>
      <c r="L406" s="137" t="n">
        <v>2</v>
      </c>
      <c r="M406" s="138" t="inlineStr">
        <is>
          <t>NO</t>
        </is>
      </c>
      <c r="N406" s="139" t="n">
        <v>4</v>
      </c>
      <c r="O406" s="140" t="n">
        <v>0</v>
      </c>
      <c r="P406" s="141" t="n">
        <v>4</v>
      </c>
      <c r="Q406" s="136" t="inlineStr">
        <is>
          <t>POTENCIA BT MUY PEQ (&lt;10mm²)</t>
        </is>
      </c>
      <c r="R406" s="136" t="inlineStr">
        <is>
          <t>ILUMINACION</t>
        </is>
      </c>
    </row>
    <row r="407">
      <c r="A407" s="14" t="inlineStr">
        <is>
          <t>P-CP-29153</t>
        </is>
      </c>
      <c r="B407" s="14" t="inlineStr">
        <is>
          <t>102-DP-471</t>
        </is>
      </c>
      <c r="C407" s="14" t="inlineStr">
        <is>
          <t>CP-29153</t>
        </is>
      </c>
      <c r="D407" s="14" t="inlineStr">
        <is>
          <t>220</t>
        </is>
      </c>
      <c r="E407" s="14" t="inlineStr">
        <is>
          <t>180</t>
        </is>
      </c>
      <c r="F407" s="14" t="inlineStr">
        <is>
          <t>1kV-XLPE-Arm-RF-CU</t>
        </is>
      </c>
      <c r="G407" s="14" t="inlineStr">
        <is>
          <t>2x6</t>
        </is>
      </c>
      <c r="H407" s="14" t="inlineStr">
        <is>
          <t>Iluminación ext. emergencia - Área KOD</t>
        </is>
      </c>
      <c r="I407" s="14" t="inlineStr"/>
      <c r="J407" s="14" t="inlineStr">
        <is>
          <t>POTENCIA_BT</t>
        </is>
      </c>
      <c r="K407" s="14" t="inlineStr">
        <is>
          <t>CPF2</t>
        </is>
      </c>
      <c r="L407" s="137" t="n">
        <v>2</v>
      </c>
      <c r="M407" s="144" t="inlineStr">
        <is>
          <t>SI</t>
        </is>
      </c>
      <c r="N407" s="139" t="n">
        <v>4</v>
      </c>
      <c r="O407" s="145" t="n">
        <v>2</v>
      </c>
      <c r="P407" s="141" t="n">
        <v>6</v>
      </c>
      <c r="Q407" s="136" t="inlineStr">
        <is>
          <t>POTENCIA BT MUY PEQ (&lt;10mm²)</t>
        </is>
      </c>
      <c r="R407" s="136" t="inlineStr">
        <is>
          <t>ILUMINACION</t>
        </is>
      </c>
    </row>
    <row r="408">
      <c r="A408" s="14" t="inlineStr">
        <is>
          <t>P-CP-29253</t>
        </is>
      </c>
      <c r="B408" s="14" t="inlineStr">
        <is>
          <t>102-DP-471</t>
        </is>
      </c>
      <c r="C408" s="14" t="inlineStr">
        <is>
          <t>CP-29253</t>
        </is>
      </c>
      <c r="D408" s="14" t="inlineStr">
        <is>
          <t>220</t>
        </is>
      </c>
      <c r="E408" s="14" t="inlineStr">
        <is>
          <t>160</t>
        </is>
      </c>
      <c r="F408" s="14" t="inlineStr">
        <is>
          <t>1kV-XLPE-Arm-RF-CU</t>
        </is>
      </c>
      <c r="G408" s="14" t="inlineStr">
        <is>
          <t>2x6</t>
        </is>
      </c>
      <c r="H408" s="14" t="inlineStr">
        <is>
          <t>Iluminación ext. emergencia - Área KOD</t>
        </is>
      </c>
      <c r="I408" s="14" t="inlineStr"/>
      <c r="J408" s="14" t="inlineStr">
        <is>
          <t>POTENCIA_BT</t>
        </is>
      </c>
      <c r="K408" s="14" t="inlineStr">
        <is>
          <t>CPF2</t>
        </is>
      </c>
      <c r="L408" s="137" t="n">
        <v>2</v>
      </c>
      <c r="M408" s="144" t="inlineStr">
        <is>
          <t>SI</t>
        </is>
      </c>
      <c r="N408" s="139" t="n">
        <v>4</v>
      </c>
      <c r="O408" s="145" t="n">
        <v>2</v>
      </c>
      <c r="P408" s="141" t="n">
        <v>6</v>
      </c>
      <c r="Q408" s="136" t="inlineStr">
        <is>
          <t>POTENCIA BT MUY PEQ (&lt;10mm²)</t>
        </is>
      </c>
      <c r="R408" s="136" t="inlineStr">
        <is>
          <t>ILUMINACION</t>
        </is>
      </c>
    </row>
    <row r="409">
      <c r="A409" s="14" t="inlineStr">
        <is>
          <t>P-CP-29353</t>
        </is>
      </c>
      <c r="B409" s="14" t="inlineStr">
        <is>
          <t>102-DP-471</t>
        </is>
      </c>
      <c r="C409" s="14" t="inlineStr">
        <is>
          <t>CP-29353</t>
        </is>
      </c>
      <c r="D409" s="14" t="inlineStr">
        <is>
          <t>220</t>
        </is>
      </c>
      <c r="E409" s="14" t="inlineStr">
        <is>
          <t>140</t>
        </is>
      </c>
      <c r="F409" s="14" t="inlineStr">
        <is>
          <t>1kV-XLPE-Arm-RF-CU</t>
        </is>
      </c>
      <c r="G409" s="14" t="inlineStr">
        <is>
          <t>2x6</t>
        </is>
      </c>
      <c r="H409" s="14" t="inlineStr">
        <is>
          <t>Iluminación ext. emergencia - Área KOD</t>
        </is>
      </c>
      <c r="I409" s="14" t="inlineStr"/>
      <c r="J409" s="14" t="inlineStr">
        <is>
          <t>POTENCIA_BT</t>
        </is>
      </c>
      <c r="K409" s="14" t="inlineStr">
        <is>
          <t>CPF2</t>
        </is>
      </c>
      <c r="L409" s="137" t="n">
        <v>2</v>
      </c>
      <c r="M409" s="144" t="inlineStr">
        <is>
          <t>SI</t>
        </is>
      </c>
      <c r="N409" s="139" t="n">
        <v>4</v>
      </c>
      <c r="O409" s="145" t="n">
        <v>2</v>
      </c>
      <c r="P409" s="141" t="n">
        <v>6</v>
      </c>
      <c r="Q409" s="136" t="inlineStr">
        <is>
          <t>POTENCIA BT MUY PEQ (&lt;10mm²)</t>
        </is>
      </c>
      <c r="R409" s="136" t="inlineStr">
        <is>
          <t>ILUMINACION</t>
        </is>
      </c>
    </row>
    <row r="410">
      <c r="A410" s="14" t="inlineStr">
        <is>
          <t>P-CPF-EAP-93110A</t>
        </is>
      </c>
      <c r="B410" s="14" t="inlineStr">
        <is>
          <t>102-DP-471</t>
        </is>
      </c>
      <c r="C410" s="14" t="inlineStr">
        <is>
          <t>CPF-EAP-93110A</t>
        </is>
      </c>
      <c r="D410" s="14" t="inlineStr">
        <is>
          <t>220</t>
        </is>
      </c>
      <c r="E410" s="14" t="inlineStr">
        <is>
          <t>120</t>
        </is>
      </c>
      <c r="F410" s="14" t="inlineStr">
        <is>
          <t>1kV-XLPE-Arm-RF-CU</t>
        </is>
      </c>
      <c r="G410" s="14" t="inlineStr">
        <is>
          <t>2x4</t>
        </is>
      </c>
      <c r="H410" s="14" t="inlineStr">
        <is>
          <t>Iluminación ext. emergencia - Área KOD</t>
        </is>
      </c>
      <c r="I410" s="14" t="inlineStr"/>
      <c r="J410" s="14" t="inlineStr">
        <is>
          <t>POTENCIA_BT</t>
        </is>
      </c>
      <c r="K410" s="14" t="inlineStr">
        <is>
          <t>CPF2</t>
        </is>
      </c>
      <c r="L410" s="137" t="n">
        <v>2</v>
      </c>
      <c r="M410" s="144" t="inlineStr">
        <is>
          <t>SI</t>
        </is>
      </c>
      <c r="N410" s="139" t="n">
        <v>4</v>
      </c>
      <c r="O410" s="145" t="n">
        <v>2</v>
      </c>
      <c r="P410" s="141" t="n">
        <v>6</v>
      </c>
      <c r="Q410" s="136" t="inlineStr">
        <is>
          <t>POTENCIA BT MUY PEQ (&lt;10mm²)</t>
        </is>
      </c>
      <c r="R410" s="136" t="inlineStr">
        <is>
          <t>ILUMINACION</t>
        </is>
      </c>
    </row>
    <row r="411">
      <c r="A411" s="14" t="inlineStr">
        <is>
          <t>P-CPF-EAP-93110B</t>
        </is>
      </c>
      <c r="B411" s="14" t="inlineStr">
        <is>
          <t>102-DP-471</t>
        </is>
      </c>
      <c r="C411" s="14" t="inlineStr">
        <is>
          <t>CPF-EAP-93110B</t>
        </is>
      </c>
      <c r="D411" s="14" t="inlineStr">
        <is>
          <t>220</t>
        </is>
      </c>
      <c r="E411" s="14" t="inlineStr">
        <is>
          <t>120</t>
        </is>
      </c>
      <c r="F411" s="14" t="inlineStr">
        <is>
          <t>1kV-XLPE-Arm-RF-CU</t>
        </is>
      </c>
      <c r="G411" s="14" t="inlineStr">
        <is>
          <t>2x4</t>
        </is>
      </c>
      <c r="H411" s="14" t="inlineStr">
        <is>
          <t>Iluminación ext. emergencia - Área KOD</t>
        </is>
      </c>
      <c r="I411" s="14" t="inlineStr"/>
      <c r="J411" s="14" t="inlineStr">
        <is>
          <t>POTENCIA_BT</t>
        </is>
      </c>
      <c r="K411" s="14" t="inlineStr">
        <is>
          <t>CPF2</t>
        </is>
      </c>
      <c r="L411" s="137" t="n">
        <v>2</v>
      </c>
      <c r="M411" s="144" t="inlineStr">
        <is>
          <t>SI</t>
        </is>
      </c>
      <c r="N411" s="139" t="n">
        <v>4</v>
      </c>
      <c r="O411" s="145" t="n">
        <v>2</v>
      </c>
      <c r="P411" s="141" t="n">
        <v>6</v>
      </c>
      <c r="Q411" s="136" t="inlineStr">
        <is>
          <t>POTENCIA BT MUY PEQ (&lt;10mm²)</t>
        </is>
      </c>
      <c r="R411" s="136" t="inlineStr">
        <is>
          <t>ILUMINACION</t>
        </is>
      </c>
    </row>
    <row r="412">
      <c r="A412" s="14" t="inlineStr">
        <is>
          <t>P-AIT-26001</t>
        </is>
      </c>
      <c r="B412" s="14" t="inlineStr">
        <is>
          <t>102-DP-471</t>
        </is>
      </c>
      <c r="C412" s="14" t="inlineStr">
        <is>
          <t>AIT-26001</t>
        </is>
      </c>
      <c r="D412" s="14" t="inlineStr">
        <is>
          <t>220</t>
        </is>
      </c>
      <c r="E412" s="14" t="inlineStr">
        <is>
          <t>200</t>
        </is>
      </c>
      <c r="F412" s="14" t="inlineStr">
        <is>
          <t>1kV-XLPE-Arm-RF-CU</t>
        </is>
      </c>
      <c r="G412" s="14" t="inlineStr">
        <is>
          <t>2x4</t>
        </is>
      </c>
      <c r="H412" s="14" t="inlineStr">
        <is>
          <t>Iluminación ext. emergencia - Área KOD</t>
        </is>
      </c>
      <c r="I412" s="14" t="inlineStr">
        <is>
          <t>Analizador de presión de vapor 0</t>
        </is>
      </c>
      <c r="J412" s="14" t="inlineStr">
        <is>
          <t>POTENCIA_BT</t>
        </is>
      </c>
      <c r="K412" s="14" t="inlineStr">
        <is>
          <t>CPF2</t>
        </is>
      </c>
      <c r="L412" s="137" t="n">
        <v>2</v>
      </c>
      <c r="M412" s="144" t="inlineStr">
        <is>
          <t>SI</t>
        </is>
      </c>
      <c r="N412" s="139" t="n">
        <v>4</v>
      </c>
      <c r="O412" s="145" t="n">
        <v>2</v>
      </c>
      <c r="P412" s="141" t="n">
        <v>6</v>
      </c>
      <c r="Q412" s="136" t="inlineStr">
        <is>
          <t>POTENCIA BT MUY PEQ (&lt;10mm²)</t>
        </is>
      </c>
      <c r="R412" s="136" t="inlineStr">
        <is>
          <t>ILUMINACION</t>
        </is>
      </c>
    </row>
    <row r="413">
      <c r="A413" s="14" t="inlineStr">
        <is>
          <t>P-AIT-23310</t>
        </is>
      </c>
      <c r="B413" s="14" t="inlineStr">
        <is>
          <t>102-DP-471</t>
        </is>
      </c>
      <c r="C413" s="14" t="inlineStr">
        <is>
          <t>AIT-23310</t>
        </is>
      </c>
      <c r="D413" s="14" t="inlineStr">
        <is>
          <t>220</t>
        </is>
      </c>
      <c r="E413" s="14" t="inlineStr">
        <is>
          <t>300</t>
        </is>
      </c>
      <c r="F413" s="14" t="inlineStr">
        <is>
          <t>1kV-XLPE-Arm-RF-CU</t>
        </is>
      </c>
      <c r="G413" s="14" t="inlineStr">
        <is>
          <t>2x4</t>
        </is>
      </c>
      <c r="H413" s="14" t="inlineStr">
        <is>
          <t>Iluminación ext. emergencia - Área KOD</t>
        </is>
      </c>
      <c r="I413" s="14" t="inlineStr">
        <is>
          <t>Analizador de presión de vapor 0</t>
        </is>
      </c>
      <c r="J413" s="14" t="inlineStr">
        <is>
          <t>POTENCIA_BT</t>
        </is>
      </c>
      <c r="K413" s="14" t="inlineStr">
        <is>
          <t>CPF2</t>
        </is>
      </c>
      <c r="L413" s="137" t="n">
        <v>2</v>
      </c>
      <c r="M413" s="144" t="inlineStr">
        <is>
          <t>SI</t>
        </is>
      </c>
      <c r="N413" s="139" t="n">
        <v>4</v>
      </c>
      <c r="O413" s="145" t="n">
        <v>2</v>
      </c>
      <c r="P413" s="141" t="n">
        <v>6</v>
      </c>
      <c r="Q413" s="136" t="inlineStr">
        <is>
          <t>POTENCIA BT MUY PEQ (&lt;10mm²)</t>
        </is>
      </c>
      <c r="R413" s="136" t="inlineStr">
        <is>
          <t>ILUMINACION</t>
        </is>
      </c>
    </row>
    <row r="414">
      <c r="A414" s="14" t="inlineStr">
        <is>
          <t>P-AIT-10279</t>
        </is>
      </c>
      <c r="B414" s="14" t="inlineStr">
        <is>
          <t>102-DP-471</t>
        </is>
      </c>
      <c r="C414" s="14" t="inlineStr">
        <is>
          <t>AIT-10279</t>
        </is>
      </c>
      <c r="D414" s="14" t="inlineStr">
        <is>
          <t>220</t>
        </is>
      </c>
      <c r="E414" s="14" t="inlineStr">
        <is>
          <t>200</t>
        </is>
      </c>
      <c r="F414" s="14" t="inlineStr">
        <is>
          <t>1kV-XLPE-Arm-RF-CU</t>
        </is>
      </c>
      <c r="G414" s="14" t="inlineStr">
        <is>
          <t>2x4</t>
        </is>
      </c>
      <c r="H414" s="14" t="inlineStr">
        <is>
          <t>Iluminación ext. emergencia - Área KOD</t>
        </is>
      </c>
      <c r="I414" s="14" t="inlineStr">
        <is>
          <t>Analizador de presión de vapor 0</t>
        </is>
      </c>
      <c r="J414" s="14" t="inlineStr">
        <is>
          <t>POTENCIA_BT</t>
        </is>
      </c>
      <c r="K414" s="14" t="inlineStr">
        <is>
          <t>CPF2</t>
        </is>
      </c>
      <c r="L414" s="137" t="n">
        <v>2</v>
      </c>
      <c r="M414" s="144" t="inlineStr">
        <is>
          <t>SI</t>
        </is>
      </c>
      <c r="N414" s="139" t="n">
        <v>4</v>
      </c>
      <c r="O414" s="145" t="n">
        <v>2</v>
      </c>
      <c r="P414" s="141" t="n">
        <v>6</v>
      </c>
      <c r="Q414" s="136" t="inlineStr">
        <is>
          <t>POTENCIA BT MUY PEQ (&lt;10mm²)</t>
        </is>
      </c>
      <c r="R414" s="136" t="inlineStr">
        <is>
          <t>ILUMINACION</t>
        </is>
      </c>
    </row>
    <row r="415">
      <c r="A415" s="14" t="inlineStr">
        <is>
          <t>P-LCP-94213A</t>
        </is>
      </c>
      <c r="B415" s="14" t="inlineStr">
        <is>
          <t>102-DP-471</t>
        </is>
      </c>
      <c r="C415" s="14" t="inlineStr">
        <is>
          <t>LCP-94213A</t>
        </is>
      </c>
      <c r="D415" s="14" t="inlineStr">
        <is>
          <t>220</t>
        </is>
      </c>
      <c r="E415" s="14" t="inlineStr">
        <is>
          <t>430</t>
        </is>
      </c>
      <c r="F415" s="14" t="inlineStr">
        <is>
          <t>1kV-XLPE-Arm-RF-CU</t>
        </is>
      </c>
      <c r="G415" s="14" t="inlineStr">
        <is>
          <t>2x10</t>
        </is>
      </c>
      <c r="H415" s="14" t="inlineStr">
        <is>
          <t>Iluminación ext. emergencia - Área KOD</t>
        </is>
      </c>
      <c r="I415" s="14" t="inlineStr"/>
      <c r="J415" s="14" t="inlineStr">
        <is>
          <t>POTENCIA_BT</t>
        </is>
      </c>
      <c r="K415" s="14" t="inlineStr">
        <is>
          <t>CPF2</t>
        </is>
      </c>
      <c r="L415" s="137" t="n">
        <v>2</v>
      </c>
      <c r="M415" s="144" t="inlineStr">
        <is>
          <t>SI</t>
        </is>
      </c>
      <c r="N415" s="139" t="n">
        <v>4</v>
      </c>
      <c r="O415" s="145" t="n">
        <v>2</v>
      </c>
      <c r="P415" s="141" t="n">
        <v>6</v>
      </c>
      <c r="Q415" s="136" t="inlineStr">
        <is>
          <t>POTENCIA BT PEQUEÑA (10-25mm²)</t>
        </is>
      </c>
      <c r="R415" s="136" t="inlineStr">
        <is>
          <t>ILUMINACION</t>
        </is>
      </c>
    </row>
    <row r="416">
      <c r="A416" s="14" t="inlineStr">
        <is>
          <t>P-LCP-94213B</t>
        </is>
      </c>
      <c r="B416" s="14" t="inlineStr">
        <is>
          <t>102-DP-471</t>
        </is>
      </c>
      <c r="C416" s="14" t="inlineStr">
        <is>
          <t>LCP-94213B</t>
        </is>
      </c>
      <c r="D416" s="14" t="inlineStr">
        <is>
          <t>220</t>
        </is>
      </c>
      <c r="E416" s="14" t="inlineStr">
        <is>
          <t>430</t>
        </is>
      </c>
      <c r="F416" s="14" t="inlineStr">
        <is>
          <t>1kV-XLPE-Arm-RF-CU</t>
        </is>
      </c>
      <c r="G416" s="14" t="inlineStr">
        <is>
          <t>2x10</t>
        </is>
      </c>
      <c r="H416" s="14" t="inlineStr">
        <is>
          <t>Sigma Heater Local Control Panel- Área 942</t>
        </is>
      </c>
      <c r="I416" s="14" t="inlineStr"/>
      <c r="J416" s="14" t="inlineStr">
        <is>
          <t>POTENCIA_BT</t>
        </is>
      </c>
      <c r="K416" s="14" t="inlineStr">
        <is>
          <t>CPF2</t>
        </is>
      </c>
      <c r="L416" s="137" t="n">
        <v>2</v>
      </c>
      <c r="M416" s="144" t="inlineStr">
        <is>
          <t>SI</t>
        </is>
      </c>
      <c r="N416" s="139" t="n">
        <v>4</v>
      </c>
      <c r="O416" s="145" t="n">
        <v>2</v>
      </c>
      <c r="P416" s="141" t="n">
        <v>6</v>
      </c>
      <c r="Q416" s="136" t="inlineStr">
        <is>
          <t>POTENCIA BT PEQUEÑA (10-25mm²)</t>
        </is>
      </c>
      <c r="R416" s="136" t="inlineStr">
        <is>
          <t>OTROS/VERIFICAR</t>
        </is>
      </c>
    </row>
    <row r="417">
      <c r="A417" s="14" t="inlineStr">
        <is>
          <t>P-LCP-MBE-92020</t>
        </is>
      </c>
      <c r="B417" s="14" t="inlineStr">
        <is>
          <t>102-DP-471</t>
        </is>
      </c>
      <c r="C417" s="14" t="inlineStr">
        <is>
          <t>LCP-MBE-92020</t>
        </is>
      </c>
      <c r="D417" s="14" t="inlineStr">
        <is>
          <t>220</t>
        </is>
      </c>
      <c r="E417" s="14" t="inlineStr">
        <is>
          <t>500</t>
        </is>
      </c>
      <c r="F417" s="14" t="inlineStr">
        <is>
          <t>1kV-XLPE-Arm-RF-CU</t>
        </is>
      </c>
      <c r="G417" s="14" t="inlineStr">
        <is>
          <t>2x6</t>
        </is>
      </c>
      <c r="H417" s="14" t="inlineStr">
        <is>
          <t>Sigma Heater Local Control Panel - Área 942</t>
        </is>
      </c>
      <c r="I417" s="14" t="inlineStr">
        <is>
          <t>SKID GENERACIÓN DE NITRÓGENO (tablero de control\ 0</t>
        </is>
      </c>
      <c r="J417" s="14" t="inlineStr">
        <is>
          <t>POTENCIA_BT</t>
        </is>
      </c>
      <c r="K417" s="14" t="inlineStr">
        <is>
          <t>CPF2</t>
        </is>
      </c>
      <c r="L417" s="137" t="n">
        <v>2</v>
      </c>
      <c r="M417" s="144" t="inlineStr">
        <is>
          <t>SI</t>
        </is>
      </c>
      <c r="N417" s="139" t="n">
        <v>4</v>
      </c>
      <c r="O417" s="145" t="n">
        <v>2</v>
      </c>
      <c r="P417" s="141" t="n">
        <v>6</v>
      </c>
      <c r="Q417" s="136" t="inlineStr">
        <is>
          <t>POTENCIA BT MUY PEQ (&lt;10mm²)</t>
        </is>
      </c>
      <c r="R417" s="136" t="inlineStr">
        <is>
          <t>TABLERO/CCM</t>
        </is>
      </c>
    </row>
    <row r="418">
      <c r="A418" s="14" t="inlineStr">
        <is>
          <t>P-LCP-MBE-92030</t>
        </is>
      </c>
      <c r="B418" s="14" t="inlineStr">
        <is>
          <t>102-DP-471</t>
        </is>
      </c>
      <c r="C418" s="14" t="inlineStr">
        <is>
          <t>LCP-MBE-92030</t>
        </is>
      </c>
      <c r="D418" s="14" t="inlineStr">
        <is>
          <t>220</t>
        </is>
      </c>
      <c r="E418" s="14" t="inlineStr">
        <is>
          <t>500</t>
        </is>
      </c>
      <c r="F418" s="14" t="inlineStr">
        <is>
          <t>1kV-XLPE-Arm-RF-CU</t>
        </is>
      </c>
      <c r="G418" s="14" t="inlineStr">
        <is>
          <t>2x6</t>
        </is>
      </c>
      <c r="H418" s="14" t="inlineStr">
        <is>
          <t>Sigma Heater Local Control Panel - Área 942</t>
        </is>
      </c>
      <c r="I418" s="14" t="inlineStr">
        <is>
          <t>SKID GENERACIÓN DE NITRÓGENO (tablero de control\ 0</t>
        </is>
      </c>
      <c r="J418" s="14" t="inlineStr">
        <is>
          <t>POTENCIA_BT</t>
        </is>
      </c>
      <c r="K418" s="14" t="inlineStr">
        <is>
          <t>CPF2</t>
        </is>
      </c>
      <c r="L418" s="137" t="n">
        <v>2</v>
      </c>
      <c r="M418" s="144" t="inlineStr">
        <is>
          <t>SI</t>
        </is>
      </c>
      <c r="N418" s="139" t="n">
        <v>4</v>
      </c>
      <c r="O418" s="145" t="n">
        <v>2</v>
      </c>
      <c r="P418" s="141" t="n">
        <v>6</v>
      </c>
      <c r="Q418" s="136" t="inlineStr">
        <is>
          <t>POTENCIA BT MUY PEQ (&lt;10mm²)</t>
        </is>
      </c>
      <c r="R418" s="136" t="inlineStr">
        <is>
          <t>TABLERO/CCM</t>
        </is>
      </c>
    </row>
    <row r="419">
      <c r="A419" s="14" t="inlineStr">
        <is>
          <t>P-LCP-100</t>
        </is>
      </c>
      <c r="B419" s="14" t="inlineStr">
        <is>
          <t>102-DP-471</t>
        </is>
      </c>
      <c r="C419" s="14" t="inlineStr">
        <is>
          <t>LCP-100</t>
        </is>
      </c>
      <c r="D419" s="14" t="inlineStr">
        <is>
          <t>220</t>
        </is>
      </c>
      <c r="E419" s="14" t="inlineStr">
        <is>
          <t>380</t>
        </is>
      </c>
      <c r="F419" s="14" t="inlineStr">
        <is>
          <t>1kV-XLPE-Arm-RF-CU</t>
        </is>
      </c>
      <c r="G419" s="14" t="inlineStr">
        <is>
          <t>2x35</t>
        </is>
      </c>
      <c r="H419" s="14" t="inlineStr">
        <is>
          <t>Sigma Heater Local Control Panel - Área 942</t>
        </is>
      </c>
      <c r="I419" s="14" t="inlineStr">
        <is>
          <t>Tablero Ignición Flare 0</t>
        </is>
      </c>
      <c r="J419" s="14" t="inlineStr">
        <is>
          <t>POTENCIA_BT</t>
        </is>
      </c>
      <c r="K419" s="14" t="inlineStr">
        <is>
          <t>CPF2</t>
        </is>
      </c>
      <c r="L419" s="137" t="n">
        <v>2</v>
      </c>
      <c r="M419" s="144" t="inlineStr">
        <is>
          <t>SI</t>
        </is>
      </c>
      <c r="N419" s="139" t="n">
        <v>4</v>
      </c>
      <c r="O419" s="145" t="n">
        <v>2</v>
      </c>
      <c r="P419" s="141" t="n">
        <v>6</v>
      </c>
      <c r="Q419" s="136" t="inlineStr">
        <is>
          <t>POTENCIA BT MEDIANA (35-70mm²)</t>
        </is>
      </c>
      <c r="R419" s="136" t="inlineStr">
        <is>
          <t>TABLERO/CCM</t>
        </is>
      </c>
    </row>
    <row r="420">
      <c r="A420" s="14" t="inlineStr">
        <is>
          <t>P-CPF-EAP-95130</t>
        </is>
      </c>
      <c r="B420" s="14" t="inlineStr">
        <is>
          <t>102-DP-471</t>
        </is>
      </c>
      <c r="C420" s="14" t="inlineStr">
        <is>
          <t>CPF-EAP-95130</t>
        </is>
      </c>
      <c r="D420" s="14" t="inlineStr">
        <is>
          <t>220</t>
        </is>
      </c>
      <c r="E420" s="14" t="inlineStr">
        <is>
          <t>370</t>
        </is>
      </c>
      <c r="F420" s="14" t="inlineStr">
        <is>
          <t>1kV-XLPE-Arm-RF-CU</t>
        </is>
      </c>
      <c r="G420" s="14" t="inlineStr">
        <is>
          <t>2x4</t>
        </is>
      </c>
      <c r="H420" s="14" t="inlineStr">
        <is>
          <t>Sigma Heater Local Control Panel - Área 942</t>
        </is>
      </c>
      <c r="I420" s="14" t="inlineStr"/>
      <c r="J420" s="14" t="inlineStr">
        <is>
          <t>POTENCIA_BT</t>
        </is>
      </c>
      <c r="K420" s="14" t="inlineStr">
        <is>
          <t>CPF2</t>
        </is>
      </c>
      <c r="L420" s="137" t="n">
        <v>2</v>
      </c>
      <c r="M420" s="144" t="inlineStr">
        <is>
          <t>SI</t>
        </is>
      </c>
      <c r="N420" s="139" t="n">
        <v>4</v>
      </c>
      <c r="O420" s="145" t="n">
        <v>2</v>
      </c>
      <c r="P420" s="141" t="n">
        <v>6</v>
      </c>
      <c r="Q420" s="136" t="inlineStr">
        <is>
          <t>POTENCIA BT MUY PEQ (&lt;10mm²)</t>
        </is>
      </c>
      <c r="R420" s="136" t="inlineStr">
        <is>
          <t>OTROS/VERIFICAR</t>
        </is>
      </c>
    </row>
    <row r="421">
      <c r="A421" s="14" t="inlineStr">
        <is>
          <t>P-CPF-PAY-23310A</t>
        </is>
      </c>
      <c r="B421" s="14" t="inlineStr">
        <is>
          <t>102-DP-471</t>
        </is>
      </c>
      <c r="C421" s="14" t="inlineStr">
        <is>
          <t>CPF-PAY-23310A</t>
        </is>
      </c>
      <c r="D421" s="14" t="inlineStr">
        <is>
          <t>220</t>
        </is>
      </c>
      <c r="E421" s="14" t="inlineStr">
        <is>
          <t>20</t>
        </is>
      </c>
      <c r="F421" s="14" t="inlineStr">
        <is>
          <t>1kV-XLPE-CU</t>
        </is>
      </c>
      <c r="G421" s="14" t="inlineStr">
        <is>
          <t>2x4</t>
        </is>
      </c>
      <c r="H421" s="14" t="inlineStr">
        <is>
          <t>Sigma Heater Local Control Panel - Área 942</t>
        </is>
      </c>
      <c r="I421" s="14" t="inlineStr"/>
      <c r="J421" s="14" t="inlineStr">
        <is>
          <t>POTENCIA_BT</t>
        </is>
      </c>
      <c r="K421" s="14" t="inlineStr">
        <is>
          <t>CPF2</t>
        </is>
      </c>
      <c r="L421" s="137" t="n">
        <v>2</v>
      </c>
      <c r="M421" s="138" t="inlineStr">
        <is>
          <t>NO</t>
        </is>
      </c>
      <c r="N421" s="139" t="n">
        <v>4</v>
      </c>
      <c r="O421" s="140" t="n">
        <v>0</v>
      </c>
      <c r="P421" s="141" t="n">
        <v>4</v>
      </c>
      <c r="Q421" s="136" t="inlineStr">
        <is>
          <t>POTENCIA BT MUY PEQ (&lt;10mm²)</t>
        </is>
      </c>
      <c r="R421" s="136" t="inlineStr">
        <is>
          <t>OTROS/VERIFICAR</t>
        </is>
      </c>
    </row>
    <row r="422">
      <c r="A422" s="14" t="inlineStr">
        <is>
          <t>P-CPF-PAY-23310B</t>
        </is>
      </c>
      <c r="B422" s="14" t="inlineStr">
        <is>
          <t>102-DP-471</t>
        </is>
      </c>
      <c r="C422" s="14" t="inlineStr">
        <is>
          <t>CPF-PAY-23310B</t>
        </is>
      </c>
      <c r="D422" s="14" t="inlineStr">
        <is>
          <t>220</t>
        </is>
      </c>
      <c r="E422" s="14" t="inlineStr">
        <is>
          <t>20</t>
        </is>
      </c>
      <c r="F422" s="14" t="inlineStr">
        <is>
          <t>1kV-XLPE-CU</t>
        </is>
      </c>
      <c r="G422" s="14" t="inlineStr">
        <is>
          <t>2x4</t>
        </is>
      </c>
      <c r="H422" s="14" t="inlineStr">
        <is>
          <t>Sigma Heater Local Control Panel - Área 942</t>
        </is>
      </c>
      <c r="I422" s="14" t="inlineStr"/>
      <c r="J422" s="14" t="inlineStr">
        <is>
          <t>POTENCIA_BT</t>
        </is>
      </c>
      <c r="K422" s="14" t="inlineStr">
        <is>
          <t>CPF2</t>
        </is>
      </c>
      <c r="L422" s="137" t="n">
        <v>2</v>
      </c>
      <c r="M422" s="138" t="inlineStr">
        <is>
          <t>NO</t>
        </is>
      </c>
      <c r="N422" s="139" t="n">
        <v>4</v>
      </c>
      <c r="O422" s="140" t="n">
        <v>0</v>
      </c>
      <c r="P422" s="141" t="n">
        <v>4</v>
      </c>
      <c r="Q422" s="136" t="inlineStr">
        <is>
          <t>POTENCIA BT MUY PEQ (&lt;10mm²)</t>
        </is>
      </c>
      <c r="R422" s="136" t="inlineStr">
        <is>
          <t>OTROS/VERIFICAR</t>
        </is>
      </c>
    </row>
    <row r="423">
      <c r="A423" s="14" t="inlineStr">
        <is>
          <t>P-CA-001</t>
        </is>
      </c>
      <c r="B423" s="14" t="inlineStr">
        <is>
          <t>102-DP-472</t>
        </is>
      </c>
      <c r="C423" s="14" t="inlineStr">
        <is>
          <t>CA-001</t>
        </is>
      </c>
      <c r="D423" s="14" t="inlineStr">
        <is>
          <t>380</t>
        </is>
      </c>
      <c r="E423" s="14" t="inlineStr">
        <is>
          <t>15</t>
        </is>
      </c>
      <c r="F423" s="14" t="inlineStr">
        <is>
          <t>1kV-XLPE-CU</t>
        </is>
      </c>
      <c r="G423" s="14" t="inlineStr">
        <is>
          <t>4x4</t>
        </is>
      </c>
      <c r="H423" s="14" t="inlineStr">
        <is>
          <t>Sigma Heater Local Control Panel - Área 942</t>
        </is>
      </c>
      <c r="I423" s="14" t="inlineStr">
        <is>
          <t>AIRE ACONDICIONADO 1 (A confirmar con Proveedor del Shelter\ 0</t>
        </is>
      </c>
      <c r="J423" s="14" t="inlineStr">
        <is>
          <t>POTENCIA_BT</t>
        </is>
      </c>
      <c r="K423" s="14" t="inlineStr">
        <is>
          <t>CPF2</t>
        </is>
      </c>
      <c r="L423" s="137" t="n">
        <v>4</v>
      </c>
      <c r="M423" s="138" t="inlineStr">
        <is>
          <t>NO</t>
        </is>
      </c>
      <c r="N423" s="139" t="n">
        <v>8</v>
      </c>
      <c r="O423" s="140" t="n">
        <v>0</v>
      </c>
      <c r="P423" s="141" t="n">
        <v>8</v>
      </c>
      <c r="Q423" s="136" t="inlineStr">
        <is>
          <t>POTENCIA BT MUY PEQ (&lt;10mm²)</t>
        </is>
      </c>
      <c r="R423" s="136" t="inlineStr">
        <is>
          <t>OTROS/VERIFICAR</t>
        </is>
      </c>
    </row>
    <row r="424">
      <c r="A424" s="14" t="inlineStr">
        <is>
          <t>P-CI-001</t>
        </is>
      </c>
      <c r="B424" s="14" t="inlineStr">
        <is>
          <t>102-DP-472</t>
        </is>
      </c>
      <c r="C424" s="14" t="inlineStr">
        <is>
          <t>CI-001</t>
        </is>
      </c>
      <c r="D424" s="14" t="inlineStr">
        <is>
          <t>220</t>
        </is>
      </c>
      <c r="E424" s="14" t="inlineStr">
        <is>
          <t>15</t>
        </is>
      </c>
      <c r="F424" s="14" t="inlineStr">
        <is>
          <t>1kV-XLPE-CU</t>
        </is>
      </c>
      <c r="G424" s="14" t="inlineStr">
        <is>
          <t>2x4</t>
        </is>
      </c>
      <c r="H424" s="14" t="inlineStr">
        <is>
          <t>Sigma Heater Local Control Panel - Área 942</t>
        </is>
      </c>
      <c r="I424" s="14" t="inlineStr">
        <is>
          <t>ILUMINACIÓN INTERIOR (A confirmar con Proveedor del Shelter\ 0</t>
        </is>
      </c>
      <c r="J424" s="14" t="inlineStr">
        <is>
          <t>POTENCIA_BT</t>
        </is>
      </c>
      <c r="K424" s="14" t="inlineStr">
        <is>
          <t>CPF2</t>
        </is>
      </c>
      <c r="L424" s="137" t="n">
        <v>2</v>
      </c>
      <c r="M424" s="138" t="inlineStr">
        <is>
          <t>NO</t>
        </is>
      </c>
      <c r="N424" s="139" t="n">
        <v>4</v>
      </c>
      <c r="O424" s="140" t="n">
        <v>0</v>
      </c>
      <c r="P424" s="141" t="n">
        <v>4</v>
      </c>
      <c r="Q424" s="136" t="inlineStr">
        <is>
          <t>POTENCIA BT MUY PEQ (&lt;10mm²)</t>
        </is>
      </c>
      <c r="R424" s="136" t="inlineStr">
        <is>
          <t>ILUMINACION</t>
        </is>
      </c>
    </row>
    <row r="425">
      <c r="A425" s="14" t="inlineStr">
        <is>
          <t>P-CIN-001</t>
        </is>
      </c>
      <c r="B425" s="14" t="inlineStr">
        <is>
          <t>102-DP-472</t>
        </is>
      </c>
      <c r="C425" s="14" t="inlineStr">
        <is>
          <t>CIN-001</t>
        </is>
      </c>
      <c r="D425" s="14" t="inlineStr">
        <is>
          <t>220</t>
        </is>
      </c>
      <c r="E425" s="14" t="inlineStr">
        <is>
          <t>15</t>
        </is>
      </c>
      <c r="F425" s="14" t="inlineStr">
        <is>
          <t>1kV-XLPE-CU</t>
        </is>
      </c>
      <c r="G425" s="14" t="inlineStr">
        <is>
          <t>2x4</t>
        </is>
      </c>
      <c r="H425" s="14" t="inlineStr">
        <is>
          <t>Sigma Heater Local Control Panel - Área 942</t>
        </is>
      </c>
      <c r="I425" s="14" t="inlineStr">
        <is>
          <t>DETECCIÓN DE INCENDIO (A confirmar con Proveedor del Shelter\ 0</t>
        </is>
      </c>
      <c r="J425" s="14" t="inlineStr">
        <is>
          <t>POTENCIA_BT</t>
        </is>
      </c>
      <c r="K425" s="14" t="inlineStr">
        <is>
          <t>CPF2</t>
        </is>
      </c>
      <c r="L425" s="137" t="n">
        <v>2</v>
      </c>
      <c r="M425" s="138" t="inlineStr">
        <is>
          <t>NO</t>
        </is>
      </c>
      <c r="N425" s="139" t="n">
        <v>4</v>
      </c>
      <c r="O425" s="140" t="n">
        <v>0</v>
      </c>
      <c r="P425" s="141" t="n">
        <v>4</v>
      </c>
      <c r="Q425" s="136" t="inlineStr">
        <is>
          <t>POTENCIA BT MUY PEQ (&lt;10mm²)</t>
        </is>
      </c>
      <c r="R425" s="136" t="inlineStr">
        <is>
          <t>OTROS/VERIFICAR</t>
        </is>
      </c>
    </row>
    <row r="426">
      <c r="A426" s="14" t="inlineStr">
        <is>
          <t>P-CT-001</t>
        </is>
      </c>
      <c r="B426" s="14" t="inlineStr">
        <is>
          <t>102-DP-472</t>
        </is>
      </c>
      <c r="C426" s="14" t="inlineStr">
        <is>
          <t>CT-001</t>
        </is>
      </c>
      <c r="D426" s="14" t="inlineStr">
        <is>
          <t>220</t>
        </is>
      </c>
      <c r="E426" s="14" t="inlineStr">
        <is>
          <t>15</t>
        </is>
      </c>
      <c r="F426" s="14" t="inlineStr">
        <is>
          <t>1kV-XLPE-CU</t>
        </is>
      </c>
      <c r="G426" s="14" t="inlineStr">
        <is>
          <t>2x4</t>
        </is>
      </c>
      <c r="H426" s="14" t="inlineStr">
        <is>
          <t>Sigma Heater Local Control Panel - Área 942</t>
        </is>
      </c>
      <c r="I426" s="14" t="inlineStr">
        <is>
          <t>TOMACORRIENTES (A confirmar con Proveedor del Shelter\ 0</t>
        </is>
      </c>
      <c r="J426" s="14" t="inlineStr">
        <is>
          <t>POTENCIA_BT</t>
        </is>
      </c>
      <c r="K426" s="14" t="inlineStr">
        <is>
          <t>CPF2</t>
        </is>
      </c>
      <c r="L426" s="137" t="n">
        <v>2</v>
      </c>
      <c r="M426" s="138" t="inlineStr">
        <is>
          <t>NO</t>
        </is>
      </c>
      <c r="N426" s="139" t="n">
        <v>4</v>
      </c>
      <c r="O426" s="140" t="n">
        <v>0</v>
      </c>
      <c r="P426" s="141" t="n">
        <v>4</v>
      </c>
      <c r="Q426" s="136" t="inlineStr">
        <is>
          <t>POTENCIA BT MUY PEQ (&lt;10mm²)</t>
        </is>
      </c>
      <c r="R426" s="136" t="inlineStr">
        <is>
          <t>TOMACORRIENTE</t>
        </is>
      </c>
    </row>
    <row r="427">
      <c r="A427" s="14" t="inlineStr">
        <is>
          <t>P-CA-002</t>
        </is>
      </c>
      <c r="B427" s="14" t="inlineStr">
        <is>
          <t>102-DP-472</t>
        </is>
      </c>
      <c r="C427" s="14" t="inlineStr">
        <is>
          <t>CA-002</t>
        </is>
      </c>
      <c r="D427" s="14" t="inlineStr">
        <is>
          <t>380</t>
        </is>
      </c>
      <c r="E427" s="14" t="inlineStr">
        <is>
          <t>15</t>
        </is>
      </c>
      <c r="F427" s="14" t="inlineStr">
        <is>
          <t>1kV-XLPE-CU</t>
        </is>
      </c>
      <c r="G427" s="14" t="inlineStr">
        <is>
          <t>4x4</t>
        </is>
      </c>
      <c r="H427" s="14" t="inlineStr">
        <is>
          <t>Sigma Heater Local Control Panel - Área 942</t>
        </is>
      </c>
      <c r="I427" s="14" t="inlineStr">
        <is>
          <t>AIRE ACONDICIONADO 2 (A confirmar con Proveedor del Shelter\ 0</t>
        </is>
      </c>
      <c r="J427" s="14" t="inlineStr">
        <is>
          <t>POTENCIA_BT</t>
        </is>
      </c>
      <c r="K427" s="14" t="inlineStr">
        <is>
          <t>CPF2</t>
        </is>
      </c>
      <c r="L427" s="137" t="n">
        <v>4</v>
      </c>
      <c r="M427" s="138" t="inlineStr">
        <is>
          <t>NO</t>
        </is>
      </c>
      <c r="N427" s="139" t="n">
        <v>8</v>
      </c>
      <c r="O427" s="140" t="n">
        <v>0</v>
      </c>
      <c r="P427" s="141" t="n">
        <v>8</v>
      </c>
      <c r="Q427" s="136" t="inlineStr">
        <is>
          <t>POTENCIA BT MUY PEQ (&lt;10mm²)</t>
        </is>
      </c>
      <c r="R427" s="136" t="inlineStr">
        <is>
          <t>OTROS/VERIFICAR</t>
        </is>
      </c>
    </row>
    <row r="428">
      <c r="A428" s="14" t="inlineStr">
        <is>
          <t>P-CA-003</t>
        </is>
      </c>
      <c r="B428" s="14" t="inlineStr">
        <is>
          <t>102-DP-472</t>
        </is>
      </c>
      <c r="C428" s="14" t="inlineStr">
        <is>
          <t>CA-003</t>
        </is>
      </c>
      <c r="D428" s="14" t="inlineStr">
        <is>
          <t>220</t>
        </is>
      </c>
      <c r="E428" s="14" t="inlineStr">
        <is>
          <t>15</t>
        </is>
      </c>
      <c r="F428" s="14" t="inlineStr">
        <is>
          <t>1kV-XLPE-CU</t>
        </is>
      </c>
      <c r="G428" s="14" t="inlineStr">
        <is>
          <t>2x4</t>
        </is>
      </c>
      <c r="H428" s="14" t="inlineStr">
        <is>
          <t>Sigma Heater Local Control Panel - Área 942</t>
        </is>
      </c>
      <c r="I428" s="14" t="inlineStr">
        <is>
          <t>SECUENCIADOR (A confirmar con Proveedor del Shelter\ 0</t>
        </is>
      </c>
      <c r="J428" s="14" t="inlineStr">
        <is>
          <t>POTENCIA_BT</t>
        </is>
      </c>
      <c r="K428" s="14" t="inlineStr">
        <is>
          <t>CPF2</t>
        </is>
      </c>
      <c r="L428" s="137" t="n">
        <v>2</v>
      </c>
      <c r="M428" s="138" t="inlineStr">
        <is>
          <t>NO</t>
        </is>
      </c>
      <c r="N428" s="139" t="n">
        <v>4</v>
      </c>
      <c r="O428" s="140" t="n">
        <v>0</v>
      </c>
      <c r="P428" s="141" t="n">
        <v>4</v>
      </c>
      <c r="Q428" s="136" t="inlineStr">
        <is>
          <t>POTENCIA BT MUY PEQ (&lt;10mm²)</t>
        </is>
      </c>
      <c r="R428" s="136" t="inlineStr">
        <is>
          <t>OTROS/VERIFICAR</t>
        </is>
      </c>
    </row>
    <row r="429">
      <c r="A429" s="14" t="inlineStr">
        <is>
          <t>P-CIE-001</t>
        </is>
      </c>
      <c r="B429" s="14" t="inlineStr">
        <is>
          <t>102-DP-472</t>
        </is>
      </c>
      <c r="C429" s="14" t="inlineStr">
        <is>
          <t>CIE-001</t>
        </is>
      </c>
      <c r="D429" s="14" t="inlineStr">
        <is>
          <t>220</t>
        </is>
      </c>
      <c r="E429" s="14" t="inlineStr">
        <is>
          <t>15</t>
        </is>
      </c>
      <c r="F429" s="14" t="inlineStr">
        <is>
          <t>1kV-XLPE-CU</t>
        </is>
      </c>
      <c r="G429" s="14" t="inlineStr">
        <is>
          <t>2x4</t>
        </is>
      </c>
      <c r="H429" s="14" t="inlineStr">
        <is>
          <t>Sigma Heater Local Control Panel - Área 942</t>
        </is>
      </c>
      <c r="I429" s="14" t="inlineStr">
        <is>
          <t>ILUMINACIÓN EXTERIOR (A confirmar con Proveedor del Shelter\ 102-DP-473 (24Vcc\</t>
        </is>
      </c>
      <c r="J429" s="14" t="inlineStr">
        <is>
          <t>POTENCIA_BT</t>
        </is>
      </c>
      <c r="K429" s="14" t="inlineStr">
        <is>
          <t>CPF2</t>
        </is>
      </c>
      <c r="L429" s="137" t="n">
        <v>2</v>
      </c>
      <c r="M429" s="138" t="inlineStr">
        <is>
          <t>NO</t>
        </is>
      </c>
      <c r="N429" s="139" t="n">
        <v>4</v>
      </c>
      <c r="O429" s="140" t="n">
        <v>0</v>
      </c>
      <c r="P429" s="141" t="n">
        <v>4</v>
      </c>
      <c r="Q429" s="136" t="inlineStr">
        <is>
          <t>POTENCIA BT MUY PEQ (&lt;10mm²)</t>
        </is>
      </c>
      <c r="R429" s="136" t="inlineStr">
        <is>
          <t>ILUMINACION</t>
        </is>
      </c>
    </row>
    <row r="430">
      <c r="A430" s="14" t="inlineStr">
        <is>
          <t>P-CPF-PCS-SC-07A</t>
        </is>
      </c>
      <c r="B430" s="14" t="inlineStr">
        <is>
          <t>102-DP-473</t>
        </is>
      </c>
      <c r="C430" s="14" t="inlineStr">
        <is>
          <t>CPF-PCS-SC-07A</t>
        </is>
      </c>
      <c r="D430" s="14" t="inlineStr"/>
      <c r="E430" s="14" t="inlineStr">
        <is>
          <t>24</t>
        </is>
      </c>
      <c r="F430" s="14" t="inlineStr"/>
      <c r="G430" s="14" t="inlineStr">
        <is>
          <t>15</t>
        </is>
      </c>
      <c r="H430" s="14" t="inlineStr">
        <is>
          <t>Sigma Heater Local Control Panel - Área 942</t>
        </is>
      </c>
      <c r="I430" s="14" t="inlineStr">
        <is>
          <t>1kV-XLPE-CU 2x25 2 GABINETE DE SISTEMA DE CONTROL DE PROCESOS (ALIM.A\ 0</t>
        </is>
      </c>
      <c r="J430" s="14" t="inlineStr">
        <is>
          <t>CONTROL</t>
        </is>
      </c>
      <c r="K430" s="14" t="inlineStr">
        <is>
          <t>CPF2</t>
        </is>
      </c>
      <c r="L430" s="137" t="n">
        <v>2</v>
      </c>
      <c r="M430" s="138" t="inlineStr">
        <is>
          <t>NO</t>
        </is>
      </c>
      <c r="N430" s="139" t="n">
        <v>4</v>
      </c>
      <c r="O430" s="140" t="n">
        <v>0</v>
      </c>
      <c r="P430" s="141" t="n">
        <v>4</v>
      </c>
      <c r="Q430" s="136" t="inlineStr">
        <is>
          <t>CONTROL</t>
        </is>
      </c>
      <c r="R430" s="136" t="inlineStr">
        <is>
          <t>CONTROL</t>
        </is>
      </c>
    </row>
    <row r="431">
      <c r="A431" s="14" t="inlineStr">
        <is>
          <t>P-CPF-PCS-SC-07B</t>
        </is>
      </c>
      <c r="B431" s="14" t="inlineStr">
        <is>
          <t>102-DP-473</t>
        </is>
      </c>
      <c r="C431" s="14" t="inlineStr">
        <is>
          <t>CPF-PCS-SC-07B</t>
        </is>
      </c>
      <c r="D431" s="14" t="inlineStr"/>
      <c r="E431" s="14" t="inlineStr">
        <is>
          <t>24</t>
        </is>
      </c>
      <c r="F431" s="14" t="inlineStr"/>
      <c r="G431" s="14" t="inlineStr">
        <is>
          <t>15</t>
        </is>
      </c>
      <c r="H431" s="14" t="inlineStr">
        <is>
          <t>Sigma Heater Local Control Panel - Área 942</t>
        </is>
      </c>
      <c r="I431" s="14" t="inlineStr">
        <is>
          <t>1kV-XLPE-CU 2x25 2 GABINETE DE SISTEMA DE CONTROL DE PROCESOS (ALIM.B\ 0</t>
        </is>
      </c>
      <c r="J431" s="14" t="inlineStr">
        <is>
          <t>CONTROL</t>
        </is>
      </c>
      <c r="K431" s="14" t="inlineStr">
        <is>
          <t>CPF2</t>
        </is>
      </c>
      <c r="L431" s="137" t="n">
        <v>2</v>
      </c>
      <c r="M431" s="138" t="inlineStr">
        <is>
          <t>NO</t>
        </is>
      </c>
      <c r="N431" s="139" t="n">
        <v>4</v>
      </c>
      <c r="O431" s="140" t="n">
        <v>0</v>
      </c>
      <c r="P431" s="141" t="n">
        <v>4</v>
      </c>
      <c r="Q431" s="136" t="inlineStr">
        <is>
          <t>CONTROL</t>
        </is>
      </c>
      <c r="R431" s="136" t="inlineStr">
        <is>
          <t>CONTROL</t>
        </is>
      </c>
    </row>
    <row r="432">
      <c r="A432" s="14" t="inlineStr">
        <is>
          <t>P-CPF-PCS-MC-07A</t>
        </is>
      </c>
      <c r="B432" s="14" t="inlineStr">
        <is>
          <t>102-DP-473</t>
        </is>
      </c>
      <c r="C432" s="14" t="inlineStr">
        <is>
          <t>CPF-PCS-MC-07A</t>
        </is>
      </c>
      <c r="D432" s="14" t="inlineStr"/>
      <c r="E432" s="14" t="inlineStr">
        <is>
          <t>24</t>
        </is>
      </c>
      <c r="F432" s="14" t="inlineStr"/>
      <c r="G432" s="14" t="inlineStr">
        <is>
          <t>15</t>
        </is>
      </c>
      <c r="H432" s="14" t="inlineStr">
        <is>
          <t>Sigma Heater Local Control Panel - Área 942</t>
        </is>
      </c>
      <c r="I432" s="14" t="inlineStr">
        <is>
          <t>1kV-XLPE-CU 2x4 2 MARSHALLING DE SISTEMA DE CONTROL DE PROCESOS (ALIM.A\ 0</t>
        </is>
      </c>
      <c r="J432" s="14" t="inlineStr">
        <is>
          <t>SEÑAL</t>
        </is>
      </c>
      <c r="K432" s="14" t="inlineStr">
        <is>
          <t>CPF2</t>
        </is>
      </c>
      <c r="L432" s="137" t="n">
        <v>2</v>
      </c>
      <c r="M432" s="138" t="inlineStr">
        <is>
          <t>NO</t>
        </is>
      </c>
      <c r="N432" s="139" t="n">
        <v>4</v>
      </c>
      <c r="O432" s="140" t="n">
        <v>0</v>
      </c>
      <c r="P432" s="141" t="n">
        <v>4</v>
      </c>
      <c r="Q432" s="136" t="inlineStr">
        <is>
          <t>SEÑAL / INSTRUMENTO</t>
        </is>
      </c>
      <c r="R432" s="136" t="inlineStr">
        <is>
          <t>CONTROL</t>
        </is>
      </c>
    </row>
    <row r="433">
      <c r="A433" s="14" t="inlineStr">
        <is>
          <t>P-CPF-PCS-MC-07B</t>
        </is>
      </c>
      <c r="B433" s="14" t="inlineStr">
        <is>
          <t>102-DP-473</t>
        </is>
      </c>
      <c r="C433" s="14" t="inlineStr">
        <is>
          <t>CPF-PCS-MC-07B</t>
        </is>
      </c>
      <c r="D433" s="14" t="inlineStr"/>
      <c r="E433" s="14" t="inlineStr">
        <is>
          <t>24</t>
        </is>
      </c>
      <c r="F433" s="14" t="inlineStr"/>
      <c r="G433" s="14" t="inlineStr">
        <is>
          <t>15</t>
        </is>
      </c>
      <c r="H433" s="14" t="inlineStr">
        <is>
          <t>Sigma Heater Local Control Panel - Área 942</t>
        </is>
      </c>
      <c r="I433" s="14" t="inlineStr">
        <is>
          <t>1kV-XLPE-CU 2x4 2 MARSHALLING DE SISTEMA DE CONTROL DE PROCESOS (ALIM.B\ 0</t>
        </is>
      </c>
      <c r="J433" s="14" t="inlineStr">
        <is>
          <t>SEÑAL</t>
        </is>
      </c>
      <c r="K433" s="14" t="inlineStr">
        <is>
          <t>CPF2</t>
        </is>
      </c>
      <c r="L433" s="137" t="n">
        <v>2</v>
      </c>
      <c r="M433" s="138" t="inlineStr">
        <is>
          <t>NO</t>
        </is>
      </c>
      <c r="N433" s="139" t="n">
        <v>4</v>
      </c>
      <c r="O433" s="140" t="n">
        <v>0</v>
      </c>
      <c r="P433" s="141" t="n">
        <v>4</v>
      </c>
      <c r="Q433" s="136" t="inlineStr">
        <is>
          <t>SEÑAL / INSTRUMENTO</t>
        </is>
      </c>
      <c r="R433" s="136" t="inlineStr">
        <is>
          <t>CONTROL</t>
        </is>
      </c>
    </row>
    <row r="434">
      <c r="A434" s="14" t="inlineStr">
        <is>
          <t>P-CPF-ESD-SC-07A</t>
        </is>
      </c>
      <c r="B434" s="14" t="inlineStr">
        <is>
          <t>102-DP-473</t>
        </is>
      </c>
      <c r="C434" s="14" t="inlineStr">
        <is>
          <t>CPF-ESD-SC-07A</t>
        </is>
      </c>
      <c r="D434" s="14" t="inlineStr"/>
      <c r="E434" s="14" t="inlineStr">
        <is>
          <t>24</t>
        </is>
      </c>
      <c r="F434" s="14" t="inlineStr"/>
      <c r="G434" s="14" t="inlineStr">
        <is>
          <t>15</t>
        </is>
      </c>
      <c r="H434" s="14" t="inlineStr">
        <is>
          <t>Sigma Heater Local Control Panel - Área 942</t>
        </is>
      </c>
      <c r="I434" s="14" t="inlineStr">
        <is>
          <t>1kV-XLPE-CU 2x50 2 GABINETE DE SISTEMA DE SEG. ESD &amp; FGS (ALIM.A\ 0</t>
        </is>
      </c>
      <c r="J434" s="14" t="inlineStr">
        <is>
          <t>CONTROL</t>
        </is>
      </c>
      <c r="K434" s="14" t="inlineStr">
        <is>
          <t>CPF2</t>
        </is>
      </c>
      <c r="L434" s="137" t="n">
        <v>2</v>
      </c>
      <c r="M434" s="138" t="inlineStr">
        <is>
          <t>NO</t>
        </is>
      </c>
      <c r="N434" s="139" t="n">
        <v>4</v>
      </c>
      <c r="O434" s="140" t="n">
        <v>0</v>
      </c>
      <c r="P434" s="141" t="n">
        <v>4</v>
      </c>
      <c r="Q434" s="136" t="inlineStr">
        <is>
          <t>CONTROL</t>
        </is>
      </c>
      <c r="R434" s="136" t="inlineStr">
        <is>
          <t>OTROS/VERIFICAR</t>
        </is>
      </c>
    </row>
    <row r="435">
      <c r="A435" s="14" t="inlineStr">
        <is>
          <t>P-CPF-ESD-SC-07B</t>
        </is>
      </c>
      <c r="B435" s="14" t="inlineStr">
        <is>
          <t>102-DP-473</t>
        </is>
      </c>
      <c r="C435" s="14" t="inlineStr">
        <is>
          <t>CPF-ESD-SC-07B</t>
        </is>
      </c>
      <c r="D435" s="14" t="inlineStr"/>
      <c r="E435" s="14" t="inlineStr">
        <is>
          <t>24</t>
        </is>
      </c>
      <c r="F435" s="14" t="inlineStr"/>
      <c r="G435" s="14" t="inlineStr">
        <is>
          <t>15</t>
        </is>
      </c>
      <c r="H435" s="14" t="inlineStr">
        <is>
          <t>Sigma Heater Local Control Panel - Área 942</t>
        </is>
      </c>
      <c r="I435" s="14" t="inlineStr">
        <is>
          <t>1kV-XLPE-CU 2x50 2 GABINETE DE SISTEMA DE SEG. ESD &amp; FGS (ALIM.B\ 0</t>
        </is>
      </c>
      <c r="J435" s="14" t="inlineStr">
        <is>
          <t>CONTROL</t>
        </is>
      </c>
      <c r="K435" s="14" t="inlineStr">
        <is>
          <t>CPF2</t>
        </is>
      </c>
      <c r="L435" s="137" t="n">
        <v>2</v>
      </c>
      <c r="M435" s="138" t="inlineStr">
        <is>
          <t>NO</t>
        </is>
      </c>
      <c r="N435" s="139" t="n">
        <v>4</v>
      </c>
      <c r="O435" s="140" t="n">
        <v>0</v>
      </c>
      <c r="P435" s="141" t="n">
        <v>4</v>
      </c>
      <c r="Q435" s="136" t="inlineStr">
        <is>
          <t>CONTROL</t>
        </is>
      </c>
      <c r="R435" s="136" t="inlineStr">
        <is>
          <t>OTROS/VERIFICAR</t>
        </is>
      </c>
    </row>
    <row r="436">
      <c r="A436" s="14" t="inlineStr">
        <is>
          <t>P-CPF-ESD-MC-07A</t>
        </is>
      </c>
      <c r="B436" s="14" t="inlineStr">
        <is>
          <t>102-DP-473</t>
        </is>
      </c>
      <c r="C436" s="14" t="inlineStr">
        <is>
          <t>CPF-ESD-MC-07A</t>
        </is>
      </c>
      <c r="D436" s="14" t="inlineStr"/>
      <c r="E436" s="14" t="inlineStr">
        <is>
          <t>24</t>
        </is>
      </c>
      <c r="F436" s="14" t="inlineStr"/>
      <c r="G436" s="14" t="inlineStr">
        <is>
          <t>15</t>
        </is>
      </c>
      <c r="H436" s="14" t="inlineStr">
        <is>
          <t>Sigma Heater Local Control Panel - Área 942</t>
        </is>
      </c>
      <c r="I436" s="14" t="inlineStr">
        <is>
          <t>1kV-XLPE-CU 2x4 2 MARSHALLING DE  SISTEMA DE SEG. ESD &amp; FGS (ALIM.A\ 0</t>
        </is>
      </c>
      <c r="J436" s="14" t="inlineStr">
        <is>
          <t>SEÑAL</t>
        </is>
      </c>
      <c r="K436" s="14" t="inlineStr">
        <is>
          <t>CPF2</t>
        </is>
      </c>
      <c r="L436" s="137" t="n">
        <v>2</v>
      </c>
      <c r="M436" s="138" t="inlineStr">
        <is>
          <t>NO</t>
        </is>
      </c>
      <c r="N436" s="139" t="n">
        <v>4</v>
      </c>
      <c r="O436" s="140" t="n">
        <v>0</v>
      </c>
      <c r="P436" s="141" t="n">
        <v>4</v>
      </c>
      <c r="Q436" s="136" t="inlineStr">
        <is>
          <t>SEÑAL / INSTRUMENTO</t>
        </is>
      </c>
      <c r="R436" s="136" t="inlineStr">
        <is>
          <t>OTROS/VERIFICAR</t>
        </is>
      </c>
    </row>
    <row r="437">
      <c r="A437" s="14" t="inlineStr">
        <is>
          <t>P-CPF-ESD-MC-07B</t>
        </is>
      </c>
      <c r="B437" s="14" t="inlineStr">
        <is>
          <t>102-DP-473</t>
        </is>
      </c>
      <c r="C437" s="14" t="inlineStr">
        <is>
          <t>CPF-ESD-MC-07B</t>
        </is>
      </c>
      <c r="D437" s="14" t="inlineStr"/>
      <c r="E437" s="14" t="inlineStr">
        <is>
          <t>24</t>
        </is>
      </c>
      <c r="F437" s="14" t="inlineStr"/>
      <c r="G437" s="14" t="inlineStr">
        <is>
          <t>15</t>
        </is>
      </c>
      <c r="H437" s="14" t="inlineStr">
        <is>
          <t>Sigma Heater Local Control Panel - Área 942</t>
        </is>
      </c>
      <c r="I437" s="14" t="inlineStr">
        <is>
          <t>1kV-XLPE-CU 2x4 2 MARSHALLING DE  SISTEMA DE SEG. ESD &amp; FGS (ALIM.B\ 0</t>
        </is>
      </c>
      <c r="J437" s="14" t="inlineStr">
        <is>
          <t>SEÑAL</t>
        </is>
      </c>
      <c r="K437" s="14" t="inlineStr">
        <is>
          <t>CPF2</t>
        </is>
      </c>
      <c r="L437" s="137" t="n">
        <v>2</v>
      </c>
      <c r="M437" s="138" t="inlineStr">
        <is>
          <t>NO</t>
        </is>
      </c>
      <c r="N437" s="139" t="n">
        <v>4</v>
      </c>
      <c r="O437" s="140" t="n">
        <v>0</v>
      </c>
      <c r="P437" s="141" t="n">
        <v>4</v>
      </c>
      <c r="Q437" s="136" t="inlineStr">
        <is>
          <t>SEÑAL / INSTRUMENTO</t>
        </is>
      </c>
      <c r="R437" s="136" t="inlineStr">
        <is>
          <t>OTROS/VERIFICAR</t>
        </is>
      </c>
    </row>
    <row r="438">
      <c r="A438" s="14" t="inlineStr">
        <is>
          <t>P-CPF-PSS-SC-07A</t>
        </is>
      </c>
      <c r="B438" s="14" t="inlineStr">
        <is>
          <t>102-DP-473</t>
        </is>
      </c>
      <c r="C438" s="14" t="inlineStr">
        <is>
          <t>CPF-PSS-SC-07A</t>
        </is>
      </c>
      <c r="D438" s="14" t="inlineStr"/>
      <c r="E438" s="14" t="inlineStr">
        <is>
          <t>24</t>
        </is>
      </c>
      <c r="F438" s="14" t="inlineStr"/>
      <c r="G438" s="14" t="inlineStr">
        <is>
          <t>15</t>
        </is>
      </c>
      <c r="H438" s="14" t="inlineStr">
        <is>
          <t>Sigma Heater Local Control Panel - Área 942</t>
        </is>
      </c>
      <c r="I438" s="14" t="inlineStr">
        <is>
          <t>1kV-XLPE-CU 2x50 2 GABINETE DE SISTEMA DE SEG. DE PROCESOS (ALIM.A\</t>
        </is>
      </c>
      <c r="J438" s="14" t="inlineStr">
        <is>
          <t>CONTROL</t>
        </is>
      </c>
      <c r="K438" s="14" t="inlineStr">
        <is>
          <t>CPF2</t>
        </is>
      </c>
      <c r="L438" s="137" t="n">
        <v>2</v>
      </c>
      <c r="M438" s="138" t="inlineStr">
        <is>
          <t>NO</t>
        </is>
      </c>
      <c r="N438" s="139" t="n">
        <v>4</v>
      </c>
      <c r="O438" s="140" t="n">
        <v>0</v>
      </c>
      <c r="P438" s="141" t="n">
        <v>4</v>
      </c>
      <c r="Q438" s="136" t="inlineStr">
        <is>
          <t>CONTROL</t>
        </is>
      </c>
      <c r="R438" s="136" t="inlineStr">
        <is>
          <t>OTROS/VERIFICAR</t>
        </is>
      </c>
    </row>
    <row r="439">
      <c r="A439" s="14" t="inlineStr">
        <is>
          <t>P-CPF-PSS-SC-07B</t>
        </is>
      </c>
      <c r="B439" s="14" t="inlineStr">
        <is>
          <t>102-DP-473</t>
        </is>
      </c>
      <c r="C439" s="14" t="inlineStr">
        <is>
          <t>CPF-PSS-SC-07B</t>
        </is>
      </c>
      <c r="D439" s="14" t="inlineStr">
        <is>
          <t>110</t>
        </is>
      </c>
      <c r="E439" s="14" t="inlineStr">
        <is>
          <t>350</t>
        </is>
      </c>
      <c r="F439" s="14" t="inlineStr">
        <is>
          <t>1kV-XLPE-CU</t>
        </is>
      </c>
      <c r="G439" s="14" t="inlineStr">
        <is>
          <t>2x50</t>
        </is>
      </c>
      <c r="H439" s="14" t="inlineStr">
        <is>
          <t>Sigma Heater Local Control Panel - Área 942</t>
        </is>
      </c>
      <c r="I439" s="14" t="inlineStr">
        <is>
          <t>GABINETE DE SISTEMA DE SEG. DE PROCESOS (ALIM.B\</t>
        </is>
      </c>
      <c r="J439" s="14" t="inlineStr">
        <is>
          <t>CONTROL</t>
        </is>
      </c>
      <c r="K439" s="14" t="inlineStr">
        <is>
          <t>CPF2</t>
        </is>
      </c>
      <c r="L439" s="137" t="n">
        <v>2</v>
      </c>
      <c r="M439" s="138" t="inlineStr">
        <is>
          <t>NO</t>
        </is>
      </c>
      <c r="N439" s="139" t="n">
        <v>4</v>
      </c>
      <c r="O439" s="140" t="n">
        <v>0</v>
      </c>
      <c r="P439" s="141" t="n">
        <v>4</v>
      </c>
      <c r="Q439" s="136" t="inlineStr">
        <is>
          <t>CONTROL</t>
        </is>
      </c>
      <c r="R439" s="136" t="inlineStr">
        <is>
          <t>OTROS/VERIFICAR</t>
        </is>
      </c>
    </row>
    <row r="440">
      <c r="A440" s="14" t="inlineStr">
        <is>
          <t>P-CPF-PSS-MC-07A</t>
        </is>
      </c>
      <c r="B440" s="14" t="inlineStr">
        <is>
          <t>102-DP-473</t>
        </is>
      </c>
      <c r="C440" s="14" t="inlineStr">
        <is>
          <t>CPF-PSS-MC-07A</t>
        </is>
      </c>
      <c r="D440" s="14" t="inlineStr">
        <is>
          <t>110</t>
        </is>
      </c>
      <c r="E440" s="14" t="inlineStr">
        <is>
          <t>350</t>
        </is>
      </c>
      <c r="F440" s="14" t="inlineStr">
        <is>
          <t>1kV-XLPE-CU</t>
        </is>
      </c>
      <c r="G440" s="14" t="inlineStr">
        <is>
          <t>2x4</t>
        </is>
      </c>
      <c r="H440" s="14" t="inlineStr">
        <is>
          <t>Sigma Heater Local Control Panel - Área 942</t>
        </is>
      </c>
      <c r="I440" s="14" t="inlineStr">
        <is>
          <t>MARSHALLING DE SISTEMA DE SEG.DE PROCESOS (ALIM.A\</t>
        </is>
      </c>
      <c r="J440" s="14" t="inlineStr">
        <is>
          <t>SEÑAL</t>
        </is>
      </c>
      <c r="K440" s="14" t="inlineStr">
        <is>
          <t>CPF2</t>
        </is>
      </c>
      <c r="L440" s="137" t="n">
        <v>2</v>
      </c>
      <c r="M440" s="138" t="inlineStr">
        <is>
          <t>NO</t>
        </is>
      </c>
      <c r="N440" s="139" t="n">
        <v>4</v>
      </c>
      <c r="O440" s="140" t="n">
        <v>0</v>
      </c>
      <c r="P440" s="141" t="n">
        <v>4</v>
      </c>
      <c r="Q440" s="136" t="inlineStr">
        <is>
          <t>SEÑAL / INSTRUMENTO</t>
        </is>
      </c>
      <c r="R440" s="136" t="inlineStr">
        <is>
          <t>OTROS/VERIFICAR</t>
        </is>
      </c>
    </row>
    <row r="441">
      <c r="A441" s="14" t="inlineStr">
        <is>
          <t>P-CPF-PSS-MC-07B</t>
        </is>
      </c>
      <c r="B441" s="14" t="inlineStr">
        <is>
          <t>102-DP-473</t>
        </is>
      </c>
      <c r="C441" s="14" t="inlineStr">
        <is>
          <t>CPF-PSS-MC-07B</t>
        </is>
      </c>
      <c r="D441" s="14" t="inlineStr">
        <is>
          <t>110</t>
        </is>
      </c>
      <c r="E441" s="14" t="inlineStr">
        <is>
          <t>20</t>
        </is>
      </c>
      <c r="F441" s="14" t="inlineStr">
        <is>
          <t>1kV-XLPE-CU</t>
        </is>
      </c>
      <c r="G441" s="14" t="inlineStr">
        <is>
          <t>2x4</t>
        </is>
      </c>
      <c r="H441" s="14" t="inlineStr">
        <is>
          <t>Sigma Heater Local Control Panel - Área 942</t>
        </is>
      </c>
      <c r="I441" s="14" t="inlineStr">
        <is>
          <t>MARSHALLING DE SISTEMA DE SEG.DE PROCESOS (ALIM.B\</t>
        </is>
      </c>
      <c r="J441" s="14" t="inlineStr">
        <is>
          <t>SEÑAL</t>
        </is>
      </c>
      <c r="K441" s="14" t="inlineStr">
        <is>
          <t>CPF2</t>
        </is>
      </c>
      <c r="L441" s="137" t="n">
        <v>2</v>
      </c>
      <c r="M441" s="138" t="inlineStr">
        <is>
          <t>NO</t>
        </is>
      </c>
      <c r="N441" s="139" t="n">
        <v>4</v>
      </c>
      <c r="O441" s="140" t="n">
        <v>0</v>
      </c>
      <c r="P441" s="141" t="n">
        <v>4</v>
      </c>
      <c r="Q441" s="136" t="inlineStr">
        <is>
          <t>SEÑAL / INSTRUMENTO</t>
        </is>
      </c>
      <c r="R441" s="136" t="inlineStr">
        <is>
          <t>OTROS/VERIFICAR</t>
        </is>
      </c>
    </row>
    <row r="442">
      <c r="A442" s="14" t="inlineStr">
        <is>
          <t>P-CPF-COM-07A</t>
        </is>
      </c>
      <c r="B442" s="14" t="inlineStr">
        <is>
          <t>102-DP-473</t>
        </is>
      </c>
      <c r="C442" s="14" t="inlineStr">
        <is>
          <t>CPF-COM-07A</t>
        </is>
      </c>
      <c r="D442" s="14" t="inlineStr">
        <is>
          <t>110</t>
        </is>
      </c>
      <c r="E442" s="14" t="inlineStr">
        <is>
          <t>20</t>
        </is>
      </c>
      <c r="F442" s="14" t="inlineStr">
        <is>
          <t>1kV-XLPE-CU</t>
        </is>
      </c>
      <c r="G442" s="14" t="inlineStr">
        <is>
          <t>2x10</t>
        </is>
      </c>
      <c r="H442" s="14" t="inlineStr">
        <is>
          <t>Sigma Heater Local Control Panel - Área 942</t>
        </is>
      </c>
      <c r="I442" s="14" t="inlineStr">
        <is>
          <t>GABINETE DE COMUNICACIONES (ALIM.A\</t>
        </is>
      </c>
      <c r="J442" s="14" t="inlineStr">
        <is>
          <t>CONTROL</t>
        </is>
      </c>
      <c r="K442" s="14" t="inlineStr">
        <is>
          <t>CPF2</t>
        </is>
      </c>
      <c r="L442" s="137" t="n">
        <v>2</v>
      </c>
      <c r="M442" s="138" t="inlineStr">
        <is>
          <t>NO</t>
        </is>
      </c>
      <c r="N442" s="139" t="n">
        <v>4</v>
      </c>
      <c r="O442" s="140" t="n">
        <v>0</v>
      </c>
      <c r="P442" s="141" t="n">
        <v>4</v>
      </c>
      <c r="Q442" s="136" t="inlineStr">
        <is>
          <t>CONTROL</t>
        </is>
      </c>
      <c r="R442" s="136" t="inlineStr">
        <is>
          <t>OTROS/VERIFICAR</t>
        </is>
      </c>
    </row>
    <row r="443">
      <c r="A443" s="14" t="inlineStr">
        <is>
          <t>P-CPF-COM-07B</t>
        </is>
      </c>
      <c r="B443" s="14" t="inlineStr">
        <is>
          <t>102-DP-473</t>
        </is>
      </c>
      <c r="C443" s="14" t="inlineStr">
        <is>
          <t>CPF-COM-07B</t>
        </is>
      </c>
      <c r="D443" s="14" t="inlineStr">
        <is>
          <t>110</t>
        </is>
      </c>
      <c r="E443" s="14" t="inlineStr">
        <is>
          <t>40</t>
        </is>
      </c>
      <c r="F443" s="14" t="inlineStr">
        <is>
          <t>1kV-XLPE-CU</t>
        </is>
      </c>
      <c r="G443" s="14" t="inlineStr">
        <is>
          <t>2x10</t>
        </is>
      </c>
      <c r="H443" s="14" t="inlineStr">
        <is>
          <t>Sigma Heater Local Control Panel - Área 942</t>
        </is>
      </c>
      <c r="I443" s="14" t="inlineStr">
        <is>
          <t>GABINETE DE COMUNICACIONES (ALIM.B\</t>
        </is>
      </c>
      <c r="J443" s="14" t="inlineStr">
        <is>
          <t>CONTROL</t>
        </is>
      </c>
      <c r="K443" s="14" t="inlineStr">
        <is>
          <t>CPF2</t>
        </is>
      </c>
      <c r="L443" s="137" t="n">
        <v>2</v>
      </c>
      <c r="M443" s="138" t="inlineStr">
        <is>
          <t>NO</t>
        </is>
      </c>
      <c r="N443" s="139" t="n">
        <v>4</v>
      </c>
      <c r="O443" s="140" t="n">
        <v>0</v>
      </c>
      <c r="P443" s="141" t="n">
        <v>4</v>
      </c>
      <c r="Q443" s="136" t="inlineStr">
        <is>
          <t>CONTROL</t>
        </is>
      </c>
      <c r="R443" s="136" t="inlineStr">
        <is>
          <t>OTROS/VERIFICAR</t>
        </is>
      </c>
    </row>
    <row r="444">
      <c r="A444" s="14" t="inlineStr">
        <is>
          <t>P-CPF-CPC-001 A</t>
        </is>
      </c>
      <c r="B444" s="14" t="inlineStr">
        <is>
          <t>102-DP-473</t>
        </is>
      </c>
      <c r="C444" s="14" t="inlineStr">
        <is>
          <t>CPF-CPC-001 A</t>
        </is>
      </c>
      <c r="D444" s="14" t="inlineStr">
        <is>
          <t>110</t>
        </is>
      </c>
      <c r="E444" s="14" t="inlineStr">
        <is>
          <t>40</t>
        </is>
      </c>
      <c r="F444" s="14" t="inlineStr">
        <is>
          <t>1kV-XLPE-CU</t>
        </is>
      </c>
      <c r="G444" s="14" t="inlineStr">
        <is>
          <t>2x25</t>
        </is>
      </c>
      <c r="H444" s="14" t="inlineStr">
        <is>
          <t>Sigma Heater Local Control Panel - Área 942</t>
        </is>
      </c>
      <c r="I444" s="14" t="inlineStr">
        <is>
          <t>TABLERO BOMBAS CONDENSADO FLOWSERVE (ALIM.A\</t>
        </is>
      </c>
      <c r="J444" s="14" t="inlineStr">
        <is>
          <t>CONTROL</t>
        </is>
      </c>
      <c r="K444" s="14" t="inlineStr">
        <is>
          <t>CPF2</t>
        </is>
      </c>
      <c r="L444" s="137" t="n">
        <v>2</v>
      </c>
      <c r="M444" s="138" t="inlineStr">
        <is>
          <t>NO</t>
        </is>
      </c>
      <c r="N444" s="139" t="n">
        <v>4</v>
      </c>
      <c r="O444" s="140" t="n">
        <v>0</v>
      </c>
      <c r="P444" s="141" t="n">
        <v>4</v>
      </c>
      <c r="Q444" s="136" t="inlineStr">
        <is>
          <t>CONTROL</t>
        </is>
      </c>
      <c r="R444" s="136" t="inlineStr">
        <is>
          <t>MOTOR/ACCIONAMIENTO</t>
        </is>
      </c>
    </row>
    <row r="445">
      <c r="A445" s="14" t="inlineStr">
        <is>
          <t>P-CPF-CPC-001 B</t>
        </is>
      </c>
      <c r="B445" s="14" t="inlineStr">
        <is>
          <t>102-DP-473</t>
        </is>
      </c>
      <c r="C445" s="14" t="inlineStr">
        <is>
          <t>CPF-CPC-001 B</t>
        </is>
      </c>
      <c r="D445" s="14" t="inlineStr">
        <is>
          <t>110</t>
        </is>
      </c>
      <c r="E445" s="14" t="inlineStr">
        <is>
          <t>40</t>
        </is>
      </c>
      <c r="F445" s="14" t="inlineStr">
        <is>
          <t>1kV-XLPE-CU</t>
        </is>
      </c>
      <c r="G445" s="14" t="inlineStr">
        <is>
          <t>2x25</t>
        </is>
      </c>
      <c r="H445" s="14" t="inlineStr">
        <is>
          <t>Sigma Heater Local Control Panel - Área 942</t>
        </is>
      </c>
      <c r="I445" s="14" t="inlineStr">
        <is>
          <t>TABLERO BOMBAS CONDENSADO FLOWSERVE (ALIM.B\</t>
        </is>
      </c>
      <c r="J445" s="14" t="inlineStr">
        <is>
          <t>CONTROL</t>
        </is>
      </c>
      <c r="K445" s="14" t="inlineStr">
        <is>
          <t>CPF2</t>
        </is>
      </c>
      <c r="L445" s="137" t="n">
        <v>2</v>
      </c>
      <c r="M445" s="138" t="inlineStr">
        <is>
          <t>NO</t>
        </is>
      </c>
      <c r="N445" s="139" t="n">
        <v>4</v>
      </c>
      <c r="O445" s="140" t="n">
        <v>0</v>
      </c>
      <c r="P445" s="141" t="n">
        <v>4</v>
      </c>
      <c r="Q445" s="136" t="inlineStr">
        <is>
          <t>CONTROL</t>
        </is>
      </c>
      <c r="R445" s="136" t="inlineStr">
        <is>
          <t>MOTOR/ACCIONAMIENTO</t>
        </is>
      </c>
    </row>
    <row r="446">
      <c r="A446" s="14" t="inlineStr">
        <is>
          <t>C-102-TGMT-001A</t>
        </is>
      </c>
      <c r="B446" s="14" t="inlineStr">
        <is>
          <t>670-TGMT-001-K01</t>
        </is>
      </c>
      <c r="C446" s="14" t="inlineStr">
        <is>
          <t>102-TGMT-001A</t>
        </is>
      </c>
      <c r="D446" s="14" t="inlineStr">
        <is>
          <t>110</t>
        </is>
      </c>
      <c r="E446" s="14" t="inlineStr">
        <is>
          <t>40</t>
        </is>
      </c>
      <c r="F446" s="14" t="inlineStr">
        <is>
          <t>1kV-XLPE-Arm-T-CU</t>
        </is>
      </c>
      <c r="G446" s="14" t="inlineStr">
        <is>
          <t>7x2,5+T</t>
        </is>
      </c>
      <c r="H446" s="14" t="inlineStr">
        <is>
          <t>COMANDO</t>
        </is>
      </c>
      <c r="I446" s="14" t="inlineStr">
        <is>
          <t>Interlock Celda Entrada 102-TGMT-001  (BARRA A\</t>
        </is>
      </c>
      <c r="J446" s="14" t="inlineStr">
        <is>
          <t>CONTROL</t>
        </is>
      </c>
      <c r="K446" s="14" t="inlineStr">
        <is>
          <t>CPF2</t>
        </is>
      </c>
      <c r="L446" s="137" t="n">
        <v>8</v>
      </c>
      <c r="M446" s="144" t="inlineStr">
        <is>
          <t>SI</t>
        </is>
      </c>
      <c r="N446" s="139" t="n">
        <v>16</v>
      </c>
      <c r="O446" s="145" t="n">
        <v>2</v>
      </c>
      <c r="P446" s="141" t="n">
        <v>18</v>
      </c>
      <c r="Q446" s="136" t="inlineStr">
        <is>
          <t>CONTROL</t>
        </is>
      </c>
      <c r="R446" s="136" t="inlineStr">
        <is>
          <t>OTROS/VERIFICAR</t>
        </is>
      </c>
    </row>
    <row r="447">
      <c r="A447" s="14" t="inlineStr">
        <is>
          <t>C-102-TGMT-001B</t>
        </is>
      </c>
      <c r="B447" s="14" t="inlineStr">
        <is>
          <t>670-TGMT-001-K14</t>
        </is>
      </c>
      <c r="C447" s="14" t="inlineStr">
        <is>
          <t>102-TGMT-001B</t>
        </is>
      </c>
      <c r="D447" s="14" t="inlineStr">
        <is>
          <t>110</t>
        </is>
      </c>
      <c r="E447" s="14" t="inlineStr">
        <is>
          <t>40</t>
        </is>
      </c>
      <c r="F447" s="14" t="inlineStr">
        <is>
          <t>1kV-XLPE-Arm-T-CU</t>
        </is>
      </c>
      <c r="G447" s="14" t="inlineStr">
        <is>
          <t>7x2,5+T</t>
        </is>
      </c>
      <c r="H447" s="14" t="inlineStr">
        <is>
          <t>COMANDO</t>
        </is>
      </c>
      <c r="I447" s="14" t="inlineStr">
        <is>
          <t>Interlock Celda Entrada 102-TGMT-001  (BARRA B\</t>
        </is>
      </c>
      <c r="J447" s="14" t="inlineStr">
        <is>
          <t>CONTROL</t>
        </is>
      </c>
      <c r="K447" s="14" t="inlineStr">
        <is>
          <t>CPF2</t>
        </is>
      </c>
      <c r="L447" s="137" t="n">
        <v>8</v>
      </c>
      <c r="M447" s="144" t="inlineStr">
        <is>
          <t>SI</t>
        </is>
      </c>
      <c r="N447" s="139" t="n">
        <v>16</v>
      </c>
      <c r="O447" s="145" t="n">
        <v>2</v>
      </c>
      <c r="P447" s="141" t="n">
        <v>18</v>
      </c>
      <c r="Q447" s="136" t="inlineStr">
        <is>
          <t>CONTROL</t>
        </is>
      </c>
      <c r="R447" s="136" t="inlineStr">
        <is>
          <t>OTROS/VERIFICAR</t>
        </is>
      </c>
    </row>
    <row r="448">
      <c r="A448" s="14" t="inlineStr">
        <is>
          <t>C-102-TGMT-002A</t>
        </is>
      </c>
      <c r="B448" s="14" t="inlineStr">
        <is>
          <t>102-TGMT-001-K02</t>
        </is>
      </c>
      <c r="C448" s="14" t="inlineStr">
        <is>
          <t>102-TGMT-002A</t>
        </is>
      </c>
      <c r="D448" s="14" t="inlineStr">
        <is>
          <t>110</t>
        </is>
      </c>
      <c r="E448" s="14" t="inlineStr">
        <is>
          <t>40</t>
        </is>
      </c>
      <c r="F448" s="14" t="inlineStr">
        <is>
          <t>1kV-XLPE-T-CU</t>
        </is>
      </c>
      <c r="G448" s="14" t="inlineStr">
        <is>
          <t>7x2,5+T</t>
        </is>
      </c>
      <c r="H448" s="14" t="inlineStr">
        <is>
          <t>COMANDO</t>
        </is>
      </c>
      <c r="I448" s="14" t="inlineStr">
        <is>
          <t>Interlock Celda Entrada 102-TGMT-002  (BARRA A\</t>
        </is>
      </c>
      <c r="J448" s="14" t="inlineStr">
        <is>
          <t>CONTROL</t>
        </is>
      </c>
      <c r="K448" s="14" t="inlineStr">
        <is>
          <t>CPF2</t>
        </is>
      </c>
      <c r="L448" s="137" t="n">
        <v>8</v>
      </c>
      <c r="M448" s="138" t="inlineStr">
        <is>
          <t>NO</t>
        </is>
      </c>
      <c r="N448" s="139" t="n">
        <v>16</v>
      </c>
      <c r="O448" s="140" t="n">
        <v>0</v>
      </c>
      <c r="P448" s="141" t="n">
        <v>16</v>
      </c>
      <c r="Q448" s="136" t="inlineStr">
        <is>
          <t>CONTROL</t>
        </is>
      </c>
      <c r="R448" s="136" t="inlineStr">
        <is>
          <t>OTROS/VERIFICAR</t>
        </is>
      </c>
    </row>
    <row r="449">
      <c r="A449" s="14" t="inlineStr">
        <is>
          <t>C-102-TGMT-002B</t>
        </is>
      </c>
      <c r="B449" s="14" t="inlineStr">
        <is>
          <t>102-TGMT-001-K11</t>
        </is>
      </c>
      <c r="C449" s="14" t="inlineStr">
        <is>
          <t>102-TGMT-002B</t>
        </is>
      </c>
      <c r="D449" s="14" t="inlineStr">
        <is>
          <t>110</t>
        </is>
      </c>
      <c r="E449" s="14" t="inlineStr">
        <is>
          <t>20</t>
        </is>
      </c>
      <c r="F449" s="14" t="inlineStr">
        <is>
          <t>1kV-XLPE-T-CU</t>
        </is>
      </c>
      <c r="G449" s="14" t="inlineStr">
        <is>
          <t>7x2,5+T</t>
        </is>
      </c>
      <c r="H449" s="14" t="inlineStr">
        <is>
          <t>COMANDO</t>
        </is>
      </c>
      <c r="I449" s="14" t="inlineStr">
        <is>
          <t>Interlock Celda Entrada 102-TGMT-002  (BARRA B\</t>
        </is>
      </c>
      <c r="J449" s="14" t="inlineStr">
        <is>
          <t>CONTROL</t>
        </is>
      </c>
      <c r="K449" s="14" t="inlineStr">
        <is>
          <t>CPF2</t>
        </is>
      </c>
      <c r="L449" s="137" t="n">
        <v>8</v>
      </c>
      <c r="M449" s="138" t="inlineStr">
        <is>
          <t>NO</t>
        </is>
      </c>
      <c r="N449" s="139" t="n">
        <v>16</v>
      </c>
      <c r="O449" s="140" t="n">
        <v>0</v>
      </c>
      <c r="P449" s="141" t="n">
        <v>16</v>
      </c>
      <c r="Q449" s="136" t="inlineStr">
        <is>
          <t>CONTROL</t>
        </is>
      </c>
      <c r="R449" s="136" t="inlineStr">
        <is>
          <t>OTROS/VERIFICAR</t>
        </is>
      </c>
    </row>
    <row r="450">
      <c r="A450" s="14" t="inlineStr">
        <is>
          <t>C-102-CCM-007A</t>
        </is>
      </c>
      <c r="B450" s="14" t="inlineStr">
        <is>
          <t>102-TGMT-001-K03</t>
        </is>
      </c>
      <c r="C450" s="14" t="inlineStr">
        <is>
          <t>102-CCM-007A</t>
        </is>
      </c>
      <c r="D450" s="14" t="inlineStr">
        <is>
          <t>110</t>
        </is>
      </c>
      <c r="E450" s="14" t="inlineStr">
        <is>
          <t>20</t>
        </is>
      </c>
      <c r="F450" s="14" t="inlineStr">
        <is>
          <t>1kV-XLPE-Arm-T-CU</t>
        </is>
      </c>
      <c r="G450" s="14" t="inlineStr">
        <is>
          <t>7x2,5+T</t>
        </is>
      </c>
      <c r="H450" s="14" t="inlineStr">
        <is>
          <t>COMANDO</t>
        </is>
      </c>
      <c r="I450" s="14" t="inlineStr">
        <is>
          <t>Interlock Celda Entrada CCM-007 (BARRA A\</t>
        </is>
      </c>
      <c r="J450" s="14" t="inlineStr">
        <is>
          <t>CONTROL</t>
        </is>
      </c>
      <c r="K450" s="14" t="inlineStr">
        <is>
          <t>CPF2</t>
        </is>
      </c>
      <c r="L450" s="137" t="n">
        <v>8</v>
      </c>
      <c r="M450" s="144" t="inlineStr">
        <is>
          <t>SI</t>
        </is>
      </c>
      <c r="N450" s="139" t="n">
        <v>16</v>
      </c>
      <c r="O450" s="145" t="n">
        <v>2</v>
      </c>
      <c r="P450" s="141" t="n">
        <v>18</v>
      </c>
      <c r="Q450" s="136" t="inlineStr">
        <is>
          <t>CONTROL</t>
        </is>
      </c>
      <c r="R450" s="136" t="inlineStr">
        <is>
          <t>TABLERO/CCM</t>
        </is>
      </c>
    </row>
    <row r="451">
      <c r="A451" s="14" t="inlineStr">
        <is>
          <t>C-102-CCM-007B</t>
        </is>
      </c>
      <c r="B451" s="14" t="inlineStr">
        <is>
          <t>102-TGMT-001-K12</t>
        </is>
      </c>
      <c r="C451" s="14" t="inlineStr">
        <is>
          <t>102-CCM-007B</t>
        </is>
      </c>
      <c r="D451" s="14" t="inlineStr">
        <is>
          <t>110</t>
        </is>
      </c>
      <c r="E451" s="14" t="inlineStr">
        <is>
          <t>30</t>
        </is>
      </c>
      <c r="F451" s="14" t="inlineStr">
        <is>
          <t>1kV-XLPE-Arm-T-CU</t>
        </is>
      </c>
      <c r="G451" s="14" t="inlineStr">
        <is>
          <t>7x2,5+T</t>
        </is>
      </c>
      <c r="H451" s="14" t="inlineStr">
        <is>
          <t>COMANDO</t>
        </is>
      </c>
      <c r="I451" s="14" t="inlineStr">
        <is>
          <t>Interlock Celda Entrada CCM-007 (BARRA B\</t>
        </is>
      </c>
      <c r="J451" s="14" t="inlineStr">
        <is>
          <t>CONTROL</t>
        </is>
      </c>
      <c r="K451" s="14" t="inlineStr">
        <is>
          <t>CPF2</t>
        </is>
      </c>
      <c r="L451" s="137" t="n">
        <v>8</v>
      </c>
      <c r="M451" s="144" t="inlineStr">
        <is>
          <t>SI</t>
        </is>
      </c>
      <c r="N451" s="139" t="n">
        <v>16</v>
      </c>
      <c r="O451" s="145" t="n">
        <v>2</v>
      </c>
      <c r="P451" s="141" t="n">
        <v>18</v>
      </c>
      <c r="Q451" s="136" t="inlineStr">
        <is>
          <t>CONTROL</t>
        </is>
      </c>
      <c r="R451" s="136" t="inlineStr">
        <is>
          <t>TABLERO/CCM</t>
        </is>
      </c>
    </row>
    <row r="452">
      <c r="A452" s="14" t="inlineStr">
        <is>
          <t>C-102-CCM-006A</t>
        </is>
      </c>
      <c r="B452" s="14" t="inlineStr">
        <is>
          <t>102-TGMT-001-K04</t>
        </is>
      </c>
      <c r="C452" s="14" t="inlineStr">
        <is>
          <t>102-CCM-006A</t>
        </is>
      </c>
      <c r="D452" s="14" t="inlineStr">
        <is>
          <t>110</t>
        </is>
      </c>
      <c r="E452" s="14" t="inlineStr">
        <is>
          <t>30</t>
        </is>
      </c>
      <c r="F452" s="14" t="inlineStr">
        <is>
          <t>1kV-XLPE-Arm-T-CU</t>
        </is>
      </c>
      <c r="G452" s="14" t="inlineStr">
        <is>
          <t>7x2,5+T</t>
        </is>
      </c>
      <c r="H452" s="14" t="inlineStr">
        <is>
          <t>COMANDO</t>
        </is>
      </c>
      <c r="I452" s="14" t="inlineStr">
        <is>
          <t>Interlock Celda Entrada CCM-006 (BARRA A\</t>
        </is>
      </c>
      <c r="J452" s="14" t="inlineStr">
        <is>
          <t>CONTROL</t>
        </is>
      </c>
      <c r="K452" s="14" t="inlineStr">
        <is>
          <t>CPF2</t>
        </is>
      </c>
      <c r="L452" s="137" t="n">
        <v>8</v>
      </c>
      <c r="M452" s="144" t="inlineStr">
        <is>
          <t>SI</t>
        </is>
      </c>
      <c r="N452" s="139" t="n">
        <v>16</v>
      </c>
      <c r="O452" s="145" t="n">
        <v>2</v>
      </c>
      <c r="P452" s="141" t="n">
        <v>18</v>
      </c>
      <c r="Q452" s="136" t="inlineStr">
        <is>
          <t>CONTROL</t>
        </is>
      </c>
      <c r="R452" s="136" t="inlineStr">
        <is>
          <t>TABLERO/CCM</t>
        </is>
      </c>
    </row>
    <row r="453">
      <c r="A453" s="14" t="inlineStr">
        <is>
          <t>C-102-CCM-006B</t>
        </is>
      </c>
      <c r="B453" s="14" t="inlineStr">
        <is>
          <t>102-TGMT-001-K13</t>
        </is>
      </c>
      <c r="C453" s="14" t="inlineStr">
        <is>
          <t>102-CCM-006B</t>
        </is>
      </c>
      <c r="D453" s="14" t="inlineStr">
        <is>
          <t>110</t>
        </is>
      </c>
      <c r="E453" s="14" t="inlineStr">
        <is>
          <t>30</t>
        </is>
      </c>
      <c r="F453" s="14" t="inlineStr">
        <is>
          <t>1kV-XLPE-Arm-T-CU</t>
        </is>
      </c>
      <c r="G453" s="14" t="inlineStr">
        <is>
          <t>7x2,5+T</t>
        </is>
      </c>
      <c r="H453" s="14" t="inlineStr">
        <is>
          <t>COMANDO</t>
        </is>
      </c>
      <c r="I453" s="14" t="inlineStr">
        <is>
          <t>Interlock Celda Entrada CCM-006 (BARRA B\</t>
        </is>
      </c>
      <c r="J453" s="14" t="inlineStr">
        <is>
          <t>CONTROL</t>
        </is>
      </c>
      <c r="K453" s="14" t="inlineStr">
        <is>
          <t>CPF2</t>
        </is>
      </c>
      <c r="L453" s="137" t="n">
        <v>8</v>
      </c>
      <c r="M453" s="144" t="inlineStr">
        <is>
          <t>SI</t>
        </is>
      </c>
      <c r="N453" s="139" t="n">
        <v>16</v>
      </c>
      <c r="O453" s="145" t="n">
        <v>2</v>
      </c>
      <c r="P453" s="141" t="n">
        <v>18</v>
      </c>
      <c r="Q453" s="136" t="inlineStr">
        <is>
          <t>CONTROL</t>
        </is>
      </c>
      <c r="R453" s="136" t="inlineStr">
        <is>
          <t>TABLERO/CCM</t>
        </is>
      </c>
    </row>
    <row r="454">
      <c r="A454" s="14" t="inlineStr">
        <is>
          <t>C-102-CCM-005A</t>
        </is>
      </c>
      <c r="B454" s="14" t="inlineStr">
        <is>
          <t>102-TGMT-001-K05</t>
        </is>
      </c>
      <c r="C454" s="14" t="inlineStr">
        <is>
          <t>102-CCM-005A</t>
        </is>
      </c>
      <c r="D454" s="14" t="inlineStr">
        <is>
          <t>110</t>
        </is>
      </c>
      <c r="E454" s="14" t="inlineStr">
        <is>
          <t>30</t>
        </is>
      </c>
      <c r="F454" s="14" t="inlineStr">
        <is>
          <t>1kV-XLPE-Arm-T-CU</t>
        </is>
      </c>
      <c r="G454" s="14" t="inlineStr">
        <is>
          <t>7x2,5+T</t>
        </is>
      </c>
      <c r="H454" s="14" t="inlineStr">
        <is>
          <t>COMANDO</t>
        </is>
      </c>
      <c r="I454" s="14" t="inlineStr">
        <is>
          <t>Interlock Celda Entrada CCM-005 (BARRA A\</t>
        </is>
      </c>
      <c r="J454" s="14" t="inlineStr">
        <is>
          <t>CONTROL</t>
        </is>
      </c>
      <c r="K454" s="14" t="inlineStr">
        <is>
          <t>CPF2</t>
        </is>
      </c>
      <c r="L454" s="137" t="n">
        <v>8</v>
      </c>
      <c r="M454" s="144" t="inlineStr">
        <is>
          <t>SI</t>
        </is>
      </c>
      <c r="N454" s="139" t="n">
        <v>16</v>
      </c>
      <c r="O454" s="145" t="n">
        <v>2</v>
      </c>
      <c r="P454" s="141" t="n">
        <v>18</v>
      </c>
      <c r="Q454" s="136" t="inlineStr">
        <is>
          <t>CONTROL</t>
        </is>
      </c>
      <c r="R454" s="136" t="inlineStr">
        <is>
          <t>TABLERO/CCM</t>
        </is>
      </c>
    </row>
    <row r="455">
      <c r="A455" s="14" t="inlineStr">
        <is>
          <t>C-102-CCM-005B</t>
        </is>
      </c>
      <c r="B455" s="14" t="inlineStr">
        <is>
          <t>102-TGMT-001-K14</t>
        </is>
      </c>
      <c r="C455" s="14" t="inlineStr">
        <is>
          <t>102-CCM-005B</t>
        </is>
      </c>
      <c r="D455" s="14" t="inlineStr">
        <is>
          <t>110</t>
        </is>
      </c>
      <c r="E455" s="14" t="inlineStr">
        <is>
          <t>30</t>
        </is>
      </c>
      <c r="F455" s="14" t="inlineStr">
        <is>
          <t>1kV-XLPE-Arm-T-CU</t>
        </is>
      </c>
      <c r="G455" s="14" t="inlineStr">
        <is>
          <t>7x2,5+T</t>
        </is>
      </c>
      <c r="H455" s="14" t="inlineStr">
        <is>
          <t>COMANDO</t>
        </is>
      </c>
      <c r="I455" s="14" t="inlineStr">
        <is>
          <t>Interlock Celda Entrada CCM-005 (BARRA B\</t>
        </is>
      </c>
      <c r="J455" s="14" t="inlineStr">
        <is>
          <t>CONTROL</t>
        </is>
      </c>
      <c r="K455" s="14" t="inlineStr">
        <is>
          <t>CPF2</t>
        </is>
      </c>
      <c r="L455" s="137" t="n">
        <v>8</v>
      </c>
      <c r="M455" s="144" t="inlineStr">
        <is>
          <t>SI</t>
        </is>
      </c>
      <c r="N455" s="139" t="n">
        <v>16</v>
      </c>
      <c r="O455" s="145" t="n">
        <v>2</v>
      </c>
      <c r="P455" s="141" t="n">
        <v>18</v>
      </c>
      <c r="Q455" s="136" t="inlineStr">
        <is>
          <t>CONTROL</t>
        </is>
      </c>
      <c r="R455" s="136" t="inlineStr">
        <is>
          <t>TABLERO/CCM</t>
        </is>
      </c>
    </row>
    <row r="456">
      <c r="A456" s="14" t="inlineStr">
        <is>
          <t>C-102-TRMT-001A</t>
        </is>
      </c>
      <c r="B456" s="14" t="inlineStr">
        <is>
          <t>102-TGMT-001-K02</t>
        </is>
      </c>
      <c r="C456" s="14" t="inlineStr">
        <is>
          <t>102-TRMT-001A</t>
        </is>
      </c>
      <c r="D456" s="14" t="inlineStr">
        <is>
          <t>110</t>
        </is>
      </c>
      <c r="E456" s="14" t="inlineStr">
        <is>
          <t>30</t>
        </is>
      </c>
      <c r="F456" s="14" t="inlineStr">
        <is>
          <t>1kV-XLPE-Arm-T-CU</t>
        </is>
      </c>
      <c r="G456" s="14" t="inlineStr">
        <is>
          <t>7x2,5+T</t>
        </is>
      </c>
      <c r="H456" s="14" t="inlineStr">
        <is>
          <t>COMANDO</t>
        </is>
      </c>
      <c r="I456" s="14" t="inlineStr">
        <is>
          <t>ALARMA Y DISPARO TRANSFORMADOR</t>
        </is>
      </c>
      <c r="J456" s="14" t="inlineStr">
        <is>
          <t>CONTROL</t>
        </is>
      </c>
      <c r="K456" s="14" t="inlineStr">
        <is>
          <t>CPF2</t>
        </is>
      </c>
      <c r="L456" s="137" t="n">
        <v>8</v>
      </c>
      <c r="M456" s="144" t="inlineStr">
        <is>
          <t>SI</t>
        </is>
      </c>
      <c r="N456" s="139" t="n">
        <v>16</v>
      </c>
      <c r="O456" s="145" t="n">
        <v>2</v>
      </c>
      <c r="P456" s="141" t="n">
        <v>18</v>
      </c>
      <c r="Q456" s="136" t="inlineStr">
        <is>
          <t>CONTROL</t>
        </is>
      </c>
      <c r="R456" s="136" t="inlineStr">
        <is>
          <t>SEÑAL/FO</t>
        </is>
      </c>
    </row>
    <row r="457">
      <c r="A457" s="14" t="inlineStr">
        <is>
          <t>C-102-TRMT-001B</t>
        </is>
      </c>
      <c r="B457" s="14" t="inlineStr">
        <is>
          <t>102-TGMT-001-K11</t>
        </is>
      </c>
      <c r="C457" s="14" t="inlineStr">
        <is>
          <t>102-TRMT-001B</t>
        </is>
      </c>
      <c r="D457" s="14" t="inlineStr">
        <is>
          <t>110</t>
        </is>
      </c>
      <c r="E457" s="14" t="inlineStr">
        <is>
          <t>20</t>
        </is>
      </c>
      <c r="F457" s="14" t="inlineStr">
        <is>
          <t>1kV-XLPE-Arm-T-CU</t>
        </is>
      </c>
      <c r="G457" s="14" t="inlineStr">
        <is>
          <t>7x2,5+T</t>
        </is>
      </c>
      <c r="H457" s="14" t="inlineStr">
        <is>
          <t>COMANDO</t>
        </is>
      </c>
      <c r="I457" s="14" t="inlineStr">
        <is>
          <t>ALARMA Y DISPARO TRANSFORMADOR</t>
        </is>
      </c>
      <c r="J457" s="14" t="inlineStr">
        <is>
          <t>CONTROL</t>
        </is>
      </c>
      <c r="K457" s="14" t="inlineStr">
        <is>
          <t>CPF2</t>
        </is>
      </c>
      <c r="L457" s="137" t="n">
        <v>8</v>
      </c>
      <c r="M457" s="144" t="inlineStr">
        <is>
          <t>SI</t>
        </is>
      </c>
      <c r="N457" s="139" t="n">
        <v>16</v>
      </c>
      <c r="O457" s="145" t="n">
        <v>2</v>
      </c>
      <c r="P457" s="141" t="n">
        <v>18</v>
      </c>
      <c r="Q457" s="136" t="inlineStr">
        <is>
          <t>CONTROL</t>
        </is>
      </c>
      <c r="R457" s="136" t="inlineStr">
        <is>
          <t>SEÑAL/FO</t>
        </is>
      </c>
    </row>
    <row r="458">
      <c r="A458" s="14" t="inlineStr">
        <is>
          <t>C-102-TR-007A</t>
        </is>
      </c>
      <c r="B458" s="14" t="inlineStr">
        <is>
          <t>102-TGMT-001-K03</t>
        </is>
      </c>
      <c r="C458" s="14" t="inlineStr">
        <is>
          <t>102-TR-007A</t>
        </is>
      </c>
      <c r="D458" s="14" t="inlineStr">
        <is>
          <t>110</t>
        </is>
      </c>
      <c r="E458" s="14" t="inlineStr">
        <is>
          <t>20</t>
        </is>
      </c>
      <c r="F458" s="14" t="inlineStr">
        <is>
          <t>1kV-XLPE-Arm-T-CU</t>
        </is>
      </c>
      <c r="G458" s="14" t="inlineStr">
        <is>
          <t>7x2,5+T</t>
        </is>
      </c>
      <c r="H458" s="14" t="inlineStr">
        <is>
          <t>COMANDO</t>
        </is>
      </c>
      <c r="I458" s="14" t="inlineStr">
        <is>
          <t>ALARMA Y DISPARO TRANSFORMADOR</t>
        </is>
      </c>
      <c r="J458" s="14" t="inlineStr">
        <is>
          <t>CONTROL</t>
        </is>
      </c>
      <c r="K458" s="14" t="inlineStr">
        <is>
          <t>CPF2</t>
        </is>
      </c>
      <c r="L458" s="137" t="n">
        <v>8</v>
      </c>
      <c r="M458" s="144" t="inlineStr">
        <is>
          <t>SI</t>
        </is>
      </c>
      <c r="N458" s="139" t="n">
        <v>16</v>
      </c>
      <c r="O458" s="145" t="n">
        <v>2</v>
      </c>
      <c r="P458" s="141" t="n">
        <v>18</v>
      </c>
      <c r="Q458" s="136" t="inlineStr">
        <is>
          <t>CONTROL</t>
        </is>
      </c>
      <c r="R458" s="136" t="inlineStr">
        <is>
          <t>SEÑAL/FO</t>
        </is>
      </c>
    </row>
    <row r="459">
      <c r="A459" s="14" t="inlineStr">
        <is>
          <t>C-102-TR-007B</t>
        </is>
      </c>
      <c r="B459" s="14" t="inlineStr">
        <is>
          <t>102-TGMT-001-K12</t>
        </is>
      </c>
      <c r="C459" s="14" t="inlineStr">
        <is>
          <t>102-TR-007B</t>
        </is>
      </c>
      <c r="D459" s="14" t="inlineStr">
        <is>
          <t>110</t>
        </is>
      </c>
      <c r="E459" s="14" t="inlineStr">
        <is>
          <t>20</t>
        </is>
      </c>
      <c r="F459" s="14" t="inlineStr">
        <is>
          <t>1kV-XLPE-Arm-T-CU</t>
        </is>
      </c>
      <c r="G459" s="14" t="inlineStr">
        <is>
          <t>7x2,5+T</t>
        </is>
      </c>
      <c r="H459" s="14" t="inlineStr">
        <is>
          <t>COMANDO</t>
        </is>
      </c>
      <c r="I459" s="14" t="inlineStr">
        <is>
          <t>ALARMA Y DISPARO TRANSFORMADOR</t>
        </is>
      </c>
      <c r="J459" s="14" t="inlineStr">
        <is>
          <t>CONTROL</t>
        </is>
      </c>
      <c r="K459" s="14" t="inlineStr">
        <is>
          <t>CPF2</t>
        </is>
      </c>
      <c r="L459" s="137" t="n">
        <v>8</v>
      </c>
      <c r="M459" s="144" t="inlineStr">
        <is>
          <t>SI</t>
        </is>
      </c>
      <c r="N459" s="139" t="n">
        <v>16</v>
      </c>
      <c r="O459" s="145" t="n">
        <v>2</v>
      </c>
      <c r="P459" s="141" t="n">
        <v>18</v>
      </c>
      <c r="Q459" s="136" t="inlineStr">
        <is>
          <t>CONTROL</t>
        </is>
      </c>
      <c r="R459" s="136" t="inlineStr">
        <is>
          <t>SEÑAL/FO</t>
        </is>
      </c>
    </row>
    <row r="460">
      <c r="A460" s="14" t="inlineStr">
        <is>
          <t>C-102-TR-006A</t>
        </is>
      </c>
      <c r="B460" s="14" t="inlineStr">
        <is>
          <t>102-TGMT-001-K04</t>
        </is>
      </c>
      <c r="C460" s="14" t="inlineStr">
        <is>
          <t>102-TR-006A</t>
        </is>
      </c>
      <c r="D460" s="14" t="inlineStr">
        <is>
          <t>110</t>
        </is>
      </c>
      <c r="E460" s="14" t="inlineStr">
        <is>
          <t>350</t>
        </is>
      </c>
      <c r="F460" s="14" t="inlineStr">
        <is>
          <t>1kV-XLPE-Arm-T-CU</t>
        </is>
      </c>
      <c r="G460" s="14" t="inlineStr">
        <is>
          <t>7x2,5+T</t>
        </is>
      </c>
      <c r="H460" s="14" t="inlineStr">
        <is>
          <t>COMANDO</t>
        </is>
      </c>
      <c r="I460" s="14" t="inlineStr">
        <is>
          <t>ALARMA Y DISPARO TRANSFORMADOR</t>
        </is>
      </c>
      <c r="J460" s="14" t="inlineStr">
        <is>
          <t>CONTROL</t>
        </is>
      </c>
      <c r="K460" s="14" t="inlineStr">
        <is>
          <t>CPF2</t>
        </is>
      </c>
      <c r="L460" s="137" t="n">
        <v>8</v>
      </c>
      <c r="M460" s="144" t="inlineStr">
        <is>
          <t>SI</t>
        </is>
      </c>
      <c r="N460" s="139" t="n">
        <v>16</v>
      </c>
      <c r="O460" s="145" t="n">
        <v>2</v>
      </c>
      <c r="P460" s="141" t="n">
        <v>18</v>
      </c>
      <c r="Q460" s="136" t="inlineStr">
        <is>
          <t>CONTROL</t>
        </is>
      </c>
      <c r="R460" s="136" t="inlineStr">
        <is>
          <t>SEÑAL/FO</t>
        </is>
      </c>
    </row>
    <row r="461">
      <c r="A461" s="14" t="inlineStr">
        <is>
          <t>C-102-TR-006B</t>
        </is>
      </c>
      <c r="B461" s="14" t="inlineStr">
        <is>
          <t>102-TGMT-001-K13</t>
        </is>
      </c>
      <c r="C461" s="14" t="inlineStr">
        <is>
          <t>102-TR-006B</t>
        </is>
      </c>
      <c r="D461" s="14" t="inlineStr">
        <is>
          <t>110</t>
        </is>
      </c>
      <c r="E461" s="14" t="inlineStr">
        <is>
          <t>350</t>
        </is>
      </c>
      <c r="F461" s="14" t="inlineStr">
        <is>
          <t>1kV-XLPE-Arm-T-CU</t>
        </is>
      </c>
      <c r="G461" s="14" t="inlineStr">
        <is>
          <t>7x2,5+T</t>
        </is>
      </c>
      <c r="H461" s="14" t="inlineStr">
        <is>
          <t>COMANDO</t>
        </is>
      </c>
      <c r="I461" s="14" t="inlineStr">
        <is>
          <t>ALARMA Y DISPARO TRANSFORMADOR</t>
        </is>
      </c>
      <c r="J461" s="14" t="inlineStr">
        <is>
          <t>CONTROL</t>
        </is>
      </c>
      <c r="K461" s="14" t="inlineStr">
        <is>
          <t>CPF2</t>
        </is>
      </c>
      <c r="L461" s="137" t="n">
        <v>8</v>
      </c>
      <c r="M461" s="144" t="inlineStr">
        <is>
          <t>SI</t>
        </is>
      </c>
      <c r="N461" s="139" t="n">
        <v>16</v>
      </c>
      <c r="O461" s="145" t="n">
        <v>2</v>
      </c>
      <c r="P461" s="141" t="n">
        <v>18</v>
      </c>
      <c r="Q461" s="136" t="inlineStr">
        <is>
          <t>CONTROL</t>
        </is>
      </c>
      <c r="R461" s="136" t="inlineStr">
        <is>
          <t>SEÑAL/FO</t>
        </is>
      </c>
    </row>
    <row r="462">
      <c r="A462" s="14" t="inlineStr">
        <is>
          <t>C-102-TR-005A</t>
        </is>
      </c>
      <c r="B462" s="14" t="inlineStr">
        <is>
          <t>102-TGMT-001-K05</t>
        </is>
      </c>
      <c r="C462" s="14" t="inlineStr">
        <is>
          <t>102-TR-005A</t>
        </is>
      </c>
      <c r="D462" s="14" t="inlineStr">
        <is>
          <t>110</t>
        </is>
      </c>
      <c r="E462" s="14" t="inlineStr">
        <is>
          <t>350</t>
        </is>
      </c>
      <c r="F462" s="14" t="inlineStr">
        <is>
          <t>1kV-XLPE-Arm-T-CU</t>
        </is>
      </c>
      <c r="G462" s="14" t="inlineStr">
        <is>
          <t>7x2,5+T</t>
        </is>
      </c>
      <c r="H462" s="14" t="inlineStr">
        <is>
          <t>COMANDO</t>
        </is>
      </c>
      <c r="I462" s="14" t="inlineStr">
        <is>
          <t>ALARMA Y DISPARO TRANSFORMADOR</t>
        </is>
      </c>
      <c r="J462" s="14" t="inlineStr">
        <is>
          <t>CONTROL</t>
        </is>
      </c>
      <c r="K462" s="14" t="inlineStr">
        <is>
          <t>CPF2</t>
        </is>
      </c>
      <c r="L462" s="137" t="n">
        <v>8</v>
      </c>
      <c r="M462" s="144" t="inlineStr">
        <is>
          <t>SI</t>
        </is>
      </c>
      <c r="N462" s="139" t="n">
        <v>16</v>
      </c>
      <c r="O462" s="145" t="n">
        <v>2</v>
      </c>
      <c r="P462" s="141" t="n">
        <v>18</v>
      </c>
      <c r="Q462" s="136" t="inlineStr">
        <is>
          <t>CONTROL</t>
        </is>
      </c>
      <c r="R462" s="136" t="inlineStr">
        <is>
          <t>SEÑAL/FO</t>
        </is>
      </c>
    </row>
    <row r="463">
      <c r="A463" s="14" t="inlineStr">
        <is>
          <t>C-102-TR-005B</t>
        </is>
      </c>
      <c r="B463" s="14" t="inlineStr">
        <is>
          <t>102-TGMT-001-K14</t>
        </is>
      </c>
      <c r="C463" s="14" t="inlineStr">
        <is>
          <t>102-TR-005B</t>
        </is>
      </c>
      <c r="D463" s="14" t="inlineStr">
        <is>
          <t>110</t>
        </is>
      </c>
      <c r="E463" s="14" t="inlineStr">
        <is>
          <t>250</t>
        </is>
      </c>
      <c r="F463" s="14" t="inlineStr">
        <is>
          <t>1kV-XLPE-Arm-T-CU</t>
        </is>
      </c>
      <c r="G463" s="14" t="inlineStr">
        <is>
          <t>7x2,5+T</t>
        </is>
      </c>
      <c r="H463" s="14" t="inlineStr">
        <is>
          <t>COMANDO</t>
        </is>
      </c>
      <c r="I463" s="14" t="inlineStr">
        <is>
          <t>ALARMA Y DISPARO TRANSFORMADOR</t>
        </is>
      </c>
      <c r="J463" s="14" t="inlineStr">
        <is>
          <t>CONTROL</t>
        </is>
      </c>
      <c r="K463" s="14" t="inlineStr">
        <is>
          <t>CPF2</t>
        </is>
      </c>
      <c r="L463" s="137" t="n">
        <v>8</v>
      </c>
      <c r="M463" s="144" t="inlineStr">
        <is>
          <t>SI</t>
        </is>
      </c>
      <c r="N463" s="139" t="n">
        <v>16</v>
      </c>
      <c r="O463" s="145" t="n">
        <v>2</v>
      </c>
      <c r="P463" s="141" t="n">
        <v>18</v>
      </c>
      <c r="Q463" s="136" t="inlineStr">
        <is>
          <t>CONTROL</t>
        </is>
      </c>
      <c r="R463" s="136" t="inlineStr">
        <is>
          <t>SEÑAL/FO</t>
        </is>
      </c>
    </row>
    <row r="464">
      <c r="A464" s="14" t="inlineStr">
        <is>
          <t>C-102-DP-VFD-23310 A</t>
        </is>
      </c>
      <c r="B464" s="14" t="inlineStr">
        <is>
          <t>102-TGMT-002</t>
        </is>
      </c>
      <c r="C464" s="14" t="inlineStr">
        <is>
          <t>102-DP-VFD-23310 A</t>
        </is>
      </c>
      <c r="D464" s="14" t="inlineStr">
        <is>
          <t>110</t>
        </is>
      </c>
      <c r="E464" s="14" t="inlineStr">
        <is>
          <t>250</t>
        </is>
      </c>
      <c r="F464" s="14" t="inlineStr">
        <is>
          <t>1kV-XLPE-T-CU</t>
        </is>
      </c>
      <c r="G464" s="14" t="inlineStr">
        <is>
          <t>7x2,5+T</t>
        </is>
      </c>
      <c r="H464" s="14" t="inlineStr">
        <is>
          <t>COMANDO</t>
        </is>
      </c>
      <c r="I464" s="14" t="inlineStr">
        <is>
          <t>BOMBA DE CONDENSADO</t>
        </is>
      </c>
      <c r="J464" s="14" t="inlineStr">
        <is>
          <t>CONTROL</t>
        </is>
      </c>
      <c r="K464" s="14" t="inlineStr">
        <is>
          <t>CPF2</t>
        </is>
      </c>
      <c r="L464" s="137" t="n">
        <v>8</v>
      </c>
      <c r="M464" s="138" t="inlineStr">
        <is>
          <t>NO</t>
        </is>
      </c>
      <c r="N464" s="139" t="n">
        <v>16</v>
      </c>
      <c r="O464" s="140" t="n">
        <v>0</v>
      </c>
      <c r="P464" s="141" t="n">
        <v>16</v>
      </c>
      <c r="Q464" s="136" t="inlineStr">
        <is>
          <t>CONTROL</t>
        </is>
      </c>
      <c r="R464" s="136" t="inlineStr">
        <is>
          <t>VFD/VARIADOR</t>
        </is>
      </c>
    </row>
    <row r="465">
      <c r="A465" s="14" t="inlineStr">
        <is>
          <t>C-102-DP-VFD-23310 B</t>
        </is>
      </c>
      <c r="B465" s="14" t="inlineStr">
        <is>
          <t>102-TGMT-002</t>
        </is>
      </c>
      <c r="C465" s="14" t="inlineStr">
        <is>
          <t>102-DP-VFD-23310 B</t>
        </is>
      </c>
      <c r="D465" s="14" t="inlineStr">
        <is>
          <t>110</t>
        </is>
      </c>
      <c r="E465" s="14" t="inlineStr">
        <is>
          <t>250</t>
        </is>
      </c>
      <c r="F465" s="14" t="inlineStr">
        <is>
          <t>1kV-XLPE-T-CU</t>
        </is>
      </c>
      <c r="G465" s="14" t="inlineStr">
        <is>
          <t>7x2,5+T</t>
        </is>
      </c>
      <c r="H465" s="14" t="inlineStr">
        <is>
          <t>COMANDO</t>
        </is>
      </c>
      <c r="I465" s="14" t="inlineStr">
        <is>
          <t>BOMBA DE CONDENSADO</t>
        </is>
      </c>
      <c r="J465" s="14" t="inlineStr">
        <is>
          <t>CONTROL</t>
        </is>
      </c>
      <c r="K465" s="14" t="inlineStr">
        <is>
          <t>CPF2</t>
        </is>
      </c>
      <c r="L465" s="137" t="n">
        <v>8</v>
      </c>
      <c r="M465" s="138" t="inlineStr">
        <is>
          <t>NO</t>
        </is>
      </c>
      <c r="N465" s="139" t="n">
        <v>16</v>
      </c>
      <c r="O465" s="140" t="n">
        <v>0</v>
      </c>
      <c r="P465" s="141" t="n">
        <v>16</v>
      </c>
      <c r="Q465" s="136" t="inlineStr">
        <is>
          <t>CONTROL</t>
        </is>
      </c>
      <c r="R465" s="136" t="inlineStr">
        <is>
          <t>VFD/VARIADOR</t>
        </is>
      </c>
    </row>
    <row r="466">
      <c r="A466" s="14" t="inlineStr">
        <is>
          <t>C-102-DP-VFD-23310 C</t>
        </is>
      </c>
      <c r="B466" s="14" t="inlineStr">
        <is>
          <t>102-TGMT-002</t>
        </is>
      </c>
      <c r="C466" s="14" t="inlineStr">
        <is>
          <t>102-DP-VFD-23310 C</t>
        </is>
      </c>
      <c r="D466" s="14" t="inlineStr">
        <is>
          <t>110</t>
        </is>
      </c>
      <c r="E466" s="14" t="inlineStr">
        <is>
          <t>20</t>
        </is>
      </c>
      <c r="F466" s="14" t="inlineStr">
        <is>
          <t>1kV-XLPE-T-CU</t>
        </is>
      </c>
      <c r="G466" s="14" t="inlineStr">
        <is>
          <t>7x2,5+T</t>
        </is>
      </c>
      <c r="H466" s="14" t="inlineStr">
        <is>
          <t>COMANDO</t>
        </is>
      </c>
      <c r="I466" s="14" t="inlineStr">
        <is>
          <t>BOMBA DE CONDENSADO</t>
        </is>
      </c>
      <c r="J466" s="14" t="inlineStr">
        <is>
          <t>CONTROL</t>
        </is>
      </c>
      <c r="K466" s="14" t="inlineStr">
        <is>
          <t>CPF2</t>
        </is>
      </c>
      <c r="L466" s="137" t="n">
        <v>8</v>
      </c>
      <c r="M466" s="138" t="inlineStr">
        <is>
          <t>NO</t>
        </is>
      </c>
      <c r="N466" s="139" t="n">
        <v>16</v>
      </c>
      <c r="O466" s="140" t="n">
        <v>0</v>
      </c>
      <c r="P466" s="141" t="n">
        <v>16</v>
      </c>
      <c r="Q466" s="136" t="inlineStr">
        <is>
          <t>CONTROL</t>
        </is>
      </c>
      <c r="R466" s="136" t="inlineStr">
        <is>
          <t>VFD/VARIADOR</t>
        </is>
      </c>
    </row>
    <row r="467">
      <c r="A467" s="14" t="inlineStr">
        <is>
          <t>C-M-PAY-23310 A</t>
        </is>
      </c>
      <c r="B467" s="14" t="inlineStr">
        <is>
          <t>102-DP-VFD-23310 A</t>
        </is>
      </c>
      <c r="C467" s="14" t="inlineStr">
        <is>
          <t>M-PAY-23310 A</t>
        </is>
      </c>
      <c r="D467" s="14" t="inlineStr">
        <is>
          <t>110</t>
        </is>
      </c>
      <c r="E467" s="14" t="inlineStr">
        <is>
          <t>20</t>
        </is>
      </c>
      <c r="F467" s="14" t="inlineStr">
        <is>
          <t>1kV-XLPE-Arm-T-CU</t>
        </is>
      </c>
      <c r="G467" s="14" t="inlineStr">
        <is>
          <t>7x2,5+T</t>
        </is>
      </c>
      <c r="H467" s="14" t="inlineStr">
        <is>
          <t>COMANDO</t>
        </is>
      </c>
      <c r="I467" s="14" t="inlineStr">
        <is>
          <t>BOMBA DE CONDENSADO</t>
        </is>
      </c>
      <c r="J467" s="14" t="inlineStr">
        <is>
          <t>CONTROL</t>
        </is>
      </c>
      <c r="K467" s="14" t="inlineStr">
        <is>
          <t>CPF2</t>
        </is>
      </c>
      <c r="L467" s="137" t="n">
        <v>8</v>
      </c>
      <c r="M467" s="144" t="inlineStr">
        <is>
          <t>SI</t>
        </is>
      </c>
      <c r="N467" s="139" t="n">
        <v>16</v>
      </c>
      <c r="O467" s="145" t="n">
        <v>2</v>
      </c>
      <c r="P467" s="141" t="n">
        <v>18</v>
      </c>
      <c r="Q467" s="136" t="inlineStr">
        <is>
          <t>CONTROL</t>
        </is>
      </c>
      <c r="R467" s="136" t="inlineStr">
        <is>
          <t>MOTOR/ACCIONAMIENTO</t>
        </is>
      </c>
    </row>
    <row r="468">
      <c r="A468" s="14" t="inlineStr">
        <is>
          <t>C-M-PAY-23310 B</t>
        </is>
      </c>
      <c r="B468" s="14" t="inlineStr">
        <is>
          <t>102-DP-VFD-23310 B</t>
        </is>
      </c>
      <c r="C468" s="14" t="inlineStr">
        <is>
          <t>M-PAY-23310 B</t>
        </is>
      </c>
      <c r="D468" s="14" t="inlineStr">
        <is>
          <t>110</t>
        </is>
      </c>
      <c r="E468" s="14" t="inlineStr">
        <is>
          <t>20</t>
        </is>
      </c>
      <c r="F468" s="14" t="inlineStr">
        <is>
          <t>1kV-XLPE-Arm-T-CU</t>
        </is>
      </c>
      <c r="G468" s="14" t="inlineStr">
        <is>
          <t>7x2,5+T</t>
        </is>
      </c>
      <c r="H468" s="14" t="inlineStr">
        <is>
          <t>COMANDO</t>
        </is>
      </c>
      <c r="I468" s="14" t="inlineStr">
        <is>
          <t>BOMBA DE CONDENSADO</t>
        </is>
      </c>
      <c r="J468" s="14" t="inlineStr">
        <is>
          <t>CONTROL</t>
        </is>
      </c>
      <c r="K468" s="14" t="inlineStr">
        <is>
          <t>CPF2</t>
        </is>
      </c>
      <c r="L468" s="137" t="n">
        <v>8</v>
      </c>
      <c r="M468" s="144" t="inlineStr">
        <is>
          <t>SI</t>
        </is>
      </c>
      <c r="N468" s="139" t="n">
        <v>16</v>
      </c>
      <c r="O468" s="145" t="n">
        <v>2</v>
      </c>
      <c r="P468" s="141" t="n">
        <v>18</v>
      </c>
      <c r="Q468" s="136" t="inlineStr">
        <is>
          <t>CONTROL</t>
        </is>
      </c>
      <c r="R468" s="136" t="inlineStr">
        <is>
          <t>MOTOR/ACCIONAMIENTO</t>
        </is>
      </c>
    </row>
    <row r="469">
      <c r="A469" s="14" t="inlineStr">
        <is>
          <t>C-M-PAY-23310 C</t>
        </is>
      </c>
      <c r="B469" s="14" t="inlineStr">
        <is>
          <t>102-DP-VFD-23310 C</t>
        </is>
      </c>
      <c r="C469" s="14" t="inlineStr">
        <is>
          <t>M-PAY-23310 C</t>
        </is>
      </c>
      <c r="D469" s="14" t="inlineStr">
        <is>
          <t>110</t>
        </is>
      </c>
      <c r="E469" s="14" t="inlineStr">
        <is>
          <t>440</t>
        </is>
      </c>
      <c r="F469" s="14" t="inlineStr">
        <is>
          <t>1kV-XLPE-Arm-T-CU</t>
        </is>
      </c>
      <c r="G469" s="14" t="inlineStr">
        <is>
          <t>7x2,5+T</t>
        </is>
      </c>
      <c r="H469" s="14" t="inlineStr">
        <is>
          <t>COMANDO</t>
        </is>
      </c>
      <c r="I469" s="14" t="inlineStr">
        <is>
          <t>BOMBA DE CONDENSADO</t>
        </is>
      </c>
      <c r="J469" s="14" t="inlineStr">
        <is>
          <t>CONTROL</t>
        </is>
      </c>
      <c r="K469" s="14" t="inlineStr">
        <is>
          <t>CPF2</t>
        </is>
      </c>
      <c r="L469" s="137" t="n">
        <v>8</v>
      </c>
      <c r="M469" s="144" t="inlineStr">
        <is>
          <t>SI</t>
        </is>
      </c>
      <c r="N469" s="139" t="n">
        <v>16</v>
      </c>
      <c r="O469" s="145" t="n">
        <v>2</v>
      </c>
      <c r="P469" s="141" t="n">
        <v>18</v>
      </c>
      <c r="Q469" s="136" t="inlineStr">
        <is>
          <t>CONTROL</t>
        </is>
      </c>
      <c r="R469" s="136" t="inlineStr">
        <is>
          <t>MOTOR/ACCIONAMIENTO</t>
        </is>
      </c>
    </row>
    <row r="470">
      <c r="A470" s="14" t="inlineStr">
        <is>
          <t>C-M-PAZ-24210 A</t>
        </is>
      </c>
      <c r="B470" s="14" t="inlineStr">
        <is>
          <t>102-DP-VFD-24210 A</t>
        </is>
      </c>
      <c r="C470" s="14" t="inlineStr">
        <is>
          <t>M-PAZ-24210 A</t>
        </is>
      </c>
      <c r="D470" s="14" t="inlineStr">
        <is>
          <t>110</t>
        </is>
      </c>
      <c r="E470" s="14" t="inlineStr">
        <is>
          <t>440</t>
        </is>
      </c>
      <c r="F470" s="14" t="inlineStr">
        <is>
          <t>1kV-XLPE-Arm-T-CU</t>
        </is>
      </c>
      <c r="G470" s="14" t="inlineStr">
        <is>
          <t>7x2,5+T</t>
        </is>
      </c>
      <c r="H470" s="14" t="inlineStr">
        <is>
          <t>COMANDO</t>
        </is>
      </c>
      <c r="I470" s="14" t="inlineStr">
        <is>
          <t>BOMBA DE INYECCION DE AGUA</t>
        </is>
      </c>
      <c r="J470" s="14" t="inlineStr">
        <is>
          <t>CONTROL</t>
        </is>
      </c>
      <c r="K470" s="14" t="inlineStr">
        <is>
          <t>CPF2</t>
        </is>
      </c>
      <c r="L470" s="137" t="n">
        <v>8</v>
      </c>
      <c r="M470" s="144" t="inlineStr">
        <is>
          <t>SI</t>
        </is>
      </c>
      <c r="N470" s="139" t="n">
        <v>16</v>
      </c>
      <c r="O470" s="145" t="n">
        <v>2</v>
      </c>
      <c r="P470" s="141" t="n">
        <v>18</v>
      </c>
      <c r="Q470" s="136" t="inlineStr">
        <is>
          <t>CONTROL</t>
        </is>
      </c>
      <c r="R470" s="136" t="inlineStr">
        <is>
          <t>MOTOR/ACCIONAMIENTO</t>
        </is>
      </c>
    </row>
    <row r="471">
      <c r="A471" s="14" t="inlineStr">
        <is>
          <t>C-M-PAZ-24210 B</t>
        </is>
      </c>
      <c r="B471" s="14" t="inlineStr">
        <is>
          <t>102-DP-VFD-24210 B</t>
        </is>
      </c>
      <c r="C471" s="14" t="inlineStr">
        <is>
          <t>M-PAZ-24210 B</t>
        </is>
      </c>
      <c r="D471" s="14" t="inlineStr">
        <is>
          <t>110</t>
        </is>
      </c>
      <c r="E471" s="14" t="inlineStr">
        <is>
          <t>440</t>
        </is>
      </c>
      <c r="F471" s="14" t="inlineStr">
        <is>
          <t>1kV-XLPE-Arm-T-CU</t>
        </is>
      </c>
      <c r="G471" s="14" t="inlineStr">
        <is>
          <t>7x2,5+T</t>
        </is>
      </c>
      <c r="H471" s="14" t="inlineStr">
        <is>
          <t>COMANDO</t>
        </is>
      </c>
      <c r="I471" s="14" t="inlineStr">
        <is>
          <t>BOMBA DE INYECCION DE AGUA</t>
        </is>
      </c>
      <c r="J471" s="14" t="inlineStr">
        <is>
          <t>CONTROL</t>
        </is>
      </c>
      <c r="K471" s="14" t="inlineStr">
        <is>
          <t>CPF2</t>
        </is>
      </c>
      <c r="L471" s="137" t="n">
        <v>8</v>
      </c>
      <c r="M471" s="144" t="inlineStr">
        <is>
          <t>SI</t>
        </is>
      </c>
      <c r="N471" s="139" t="n">
        <v>16</v>
      </c>
      <c r="O471" s="145" t="n">
        <v>2</v>
      </c>
      <c r="P471" s="141" t="n">
        <v>18</v>
      </c>
      <c r="Q471" s="136" t="inlineStr">
        <is>
          <t>CONTROL</t>
        </is>
      </c>
      <c r="R471" s="136" t="inlineStr">
        <is>
          <t>MOTOR/ACCIONAMIENTO</t>
        </is>
      </c>
    </row>
    <row r="472">
      <c r="A472" s="14" t="inlineStr">
        <is>
          <t>C-M-PAZ-24210 C</t>
        </is>
      </c>
      <c r="B472" s="14" t="inlineStr">
        <is>
          <t>102-DP-VFD-24210 C</t>
        </is>
      </c>
      <c r="C472" s="14" t="inlineStr">
        <is>
          <t>M-PAZ-24210 C</t>
        </is>
      </c>
      <c r="D472" s="14" t="inlineStr">
        <is>
          <t>110</t>
        </is>
      </c>
      <c r="E472" s="14" t="inlineStr">
        <is>
          <t>440</t>
        </is>
      </c>
      <c r="F472" s="14" t="inlineStr">
        <is>
          <t>1kV-XLPE-Arm-T-CU</t>
        </is>
      </c>
      <c r="G472" s="14" t="inlineStr">
        <is>
          <t>7x2,5+T</t>
        </is>
      </c>
      <c r="H472" s="14" t="inlineStr">
        <is>
          <t>COMANDO</t>
        </is>
      </c>
      <c r="I472" s="14" t="inlineStr">
        <is>
          <t>BOMBA DE INYECCION DE AGUA</t>
        </is>
      </c>
      <c r="J472" s="14" t="inlineStr">
        <is>
          <t>CONTROL</t>
        </is>
      </c>
      <c r="K472" s="14" t="inlineStr">
        <is>
          <t>CPF2</t>
        </is>
      </c>
      <c r="L472" s="137" t="n">
        <v>8</v>
      </c>
      <c r="M472" s="144" t="inlineStr">
        <is>
          <t>SI</t>
        </is>
      </c>
      <c r="N472" s="139" t="n">
        <v>16</v>
      </c>
      <c r="O472" s="145" t="n">
        <v>2</v>
      </c>
      <c r="P472" s="141" t="n">
        <v>18</v>
      </c>
      <c r="Q472" s="136" t="inlineStr">
        <is>
          <t>CONTROL</t>
        </is>
      </c>
      <c r="R472" s="136" t="inlineStr">
        <is>
          <t>MOTOR/ACCIONAMIENTO</t>
        </is>
      </c>
    </row>
    <row r="473">
      <c r="A473" s="14" t="inlineStr">
        <is>
          <t>C-102-TR-24210 A</t>
        </is>
      </c>
      <c r="B473" s="14" t="inlineStr">
        <is>
          <t>102-CCM-007</t>
        </is>
      </c>
      <c r="C473" s="14" t="inlineStr">
        <is>
          <t>102-TR-24210 A</t>
        </is>
      </c>
      <c r="D473" s="14" t="inlineStr"/>
      <c r="E473" s="14" t="inlineStr"/>
      <c r="F473" s="14" t="inlineStr">
        <is>
          <t>1kV-XLPE-Arm-T-CU</t>
        </is>
      </c>
      <c r="G473" s="14" t="inlineStr">
        <is>
          <t>7x2,5+T</t>
        </is>
      </c>
      <c r="H473" s="14" t="inlineStr">
        <is>
          <t>COMANDO</t>
        </is>
      </c>
      <c r="I473" s="14" t="inlineStr">
        <is>
          <t>ALARMA Y DISPARO TRANSFORMADOR BOMBA DE INYECCION DE AGUA</t>
        </is>
      </c>
      <c r="J473" s="14" t="inlineStr">
        <is>
          <t>CONTROL</t>
        </is>
      </c>
      <c r="K473" s="14" t="inlineStr">
        <is>
          <t>CPF2</t>
        </is>
      </c>
      <c r="L473" s="137" t="n">
        <v>8</v>
      </c>
      <c r="M473" s="144" t="inlineStr">
        <is>
          <t>SI</t>
        </is>
      </c>
      <c r="N473" s="139" t="n">
        <v>16</v>
      </c>
      <c r="O473" s="145" t="n">
        <v>2</v>
      </c>
      <c r="P473" s="141" t="n">
        <v>18</v>
      </c>
      <c r="Q473" s="136" t="inlineStr">
        <is>
          <t>CONTROL</t>
        </is>
      </c>
      <c r="R473" s="136" t="inlineStr">
        <is>
          <t>MOTOR/ACCIONAMIENTO</t>
        </is>
      </c>
    </row>
    <row r="474">
      <c r="A474" s="14" t="inlineStr">
        <is>
          <t>C-102-TR-24210 B</t>
        </is>
      </c>
      <c r="B474" s="14" t="inlineStr">
        <is>
          <t>102-CCM-007</t>
        </is>
      </c>
      <c r="C474" s="14" t="inlineStr">
        <is>
          <t>102-TR-24210 B</t>
        </is>
      </c>
      <c r="D474" s="14" t="inlineStr"/>
      <c r="E474" s="14" t="inlineStr"/>
      <c r="F474" s="14" t="inlineStr">
        <is>
          <t>1kV-XLPE-Arm-T-CU</t>
        </is>
      </c>
      <c r="G474" s="14" t="inlineStr">
        <is>
          <t>7x2,5+T</t>
        </is>
      </c>
      <c r="H474" s="14" t="inlineStr">
        <is>
          <t>COMANDO</t>
        </is>
      </c>
      <c r="I474" s="14" t="inlineStr">
        <is>
          <t>ALARMA Y DISPARO TRANSFORMADOR BOMBA DE INYECCION DE AGUA</t>
        </is>
      </c>
      <c r="J474" s="14" t="inlineStr">
        <is>
          <t>CONTROL</t>
        </is>
      </c>
      <c r="K474" s="14" t="inlineStr">
        <is>
          <t>CPF2</t>
        </is>
      </c>
      <c r="L474" s="137" t="n">
        <v>8</v>
      </c>
      <c r="M474" s="144" t="inlineStr">
        <is>
          <t>SI</t>
        </is>
      </c>
      <c r="N474" s="139" t="n">
        <v>16</v>
      </c>
      <c r="O474" s="145" t="n">
        <v>2</v>
      </c>
      <c r="P474" s="141" t="n">
        <v>18</v>
      </c>
      <c r="Q474" s="136" t="inlineStr">
        <is>
          <t>CONTROL</t>
        </is>
      </c>
      <c r="R474" s="136" t="inlineStr">
        <is>
          <t>MOTOR/ACCIONAMIENTO</t>
        </is>
      </c>
    </row>
    <row r="475">
      <c r="A475" s="14" t="inlineStr">
        <is>
          <t>C-102-TR-24210 C</t>
        </is>
      </c>
      <c r="B475" s="14" t="inlineStr">
        <is>
          <t>102-CCM-007</t>
        </is>
      </c>
      <c r="C475" s="14" t="inlineStr">
        <is>
          <t>102-TR-24210 C</t>
        </is>
      </c>
      <c r="D475" s="14" t="inlineStr"/>
      <c r="E475" s="14" t="inlineStr"/>
      <c r="F475" s="14" t="inlineStr">
        <is>
          <t>1kV-XLPE-Arm-T-CU</t>
        </is>
      </c>
      <c r="G475" s="14" t="inlineStr">
        <is>
          <t>7x2,5+T</t>
        </is>
      </c>
      <c r="H475" s="14" t="inlineStr">
        <is>
          <t>COMANDO</t>
        </is>
      </c>
      <c r="I475" s="14" t="inlineStr">
        <is>
          <t>ALARMA Y DISPARO TRANSFORMADOR BOMBA DE INYECCION DE AGUA</t>
        </is>
      </c>
      <c r="J475" s="14" t="inlineStr">
        <is>
          <t>CONTROL</t>
        </is>
      </c>
      <c r="K475" s="14" t="inlineStr">
        <is>
          <t>CPF2</t>
        </is>
      </c>
      <c r="L475" s="137" t="n">
        <v>8</v>
      </c>
      <c r="M475" s="144" t="inlineStr">
        <is>
          <t>SI</t>
        </is>
      </c>
      <c r="N475" s="139" t="n">
        <v>16</v>
      </c>
      <c r="O475" s="145" t="n">
        <v>2</v>
      </c>
      <c r="P475" s="141" t="n">
        <v>18</v>
      </c>
      <c r="Q475" s="136" t="inlineStr">
        <is>
          <t>CONTROL</t>
        </is>
      </c>
      <c r="R475" s="136" t="inlineStr">
        <is>
          <t>MOTOR/ACCIONAMIENTO</t>
        </is>
      </c>
    </row>
    <row r="476">
      <c r="A476" s="14" t="inlineStr">
        <is>
          <t>C-M-PAY-23040 A</t>
        </is>
      </c>
      <c r="B476" s="14" t="inlineStr">
        <is>
          <t>102-CCM-007</t>
        </is>
      </c>
      <c r="C476" s="14" t="inlineStr">
        <is>
          <t>M-PAY-23040 A</t>
        </is>
      </c>
      <c r="D476" s="14" t="inlineStr"/>
      <c r="E476" s="14" t="inlineStr"/>
      <c r="F476" s="14" t="inlineStr">
        <is>
          <t>1kV-XLPE-Arm-T-CU</t>
        </is>
      </c>
      <c r="G476" s="14" t="inlineStr">
        <is>
          <t>7x2,5+T</t>
        </is>
      </c>
      <c r="H476" s="14" t="inlineStr">
        <is>
          <t>COMANDO</t>
        </is>
      </c>
      <c r="I476" s="14" t="inlineStr">
        <is>
          <t>BOMBA BOOSTER</t>
        </is>
      </c>
      <c r="J476" s="14" t="inlineStr">
        <is>
          <t>CONTROL</t>
        </is>
      </c>
      <c r="K476" s="14" t="inlineStr">
        <is>
          <t>CPF2</t>
        </is>
      </c>
      <c r="L476" s="137" t="n">
        <v>8</v>
      </c>
      <c r="M476" s="144" t="inlineStr">
        <is>
          <t>SI</t>
        </is>
      </c>
      <c r="N476" s="139" t="n">
        <v>16</v>
      </c>
      <c r="O476" s="145" t="n">
        <v>2</v>
      </c>
      <c r="P476" s="141" t="n">
        <v>18</v>
      </c>
      <c r="Q476" s="136" t="inlineStr">
        <is>
          <t>CONTROL</t>
        </is>
      </c>
      <c r="R476" s="136" t="inlineStr">
        <is>
          <t>MOTOR/ACCIONAMIENTO</t>
        </is>
      </c>
    </row>
    <row r="477">
      <c r="A477" s="14" t="inlineStr">
        <is>
          <t>C-M-PAY-23040 B</t>
        </is>
      </c>
      <c r="B477" s="14" t="inlineStr">
        <is>
          <t>102-CCM-007</t>
        </is>
      </c>
      <c r="C477" s="14" t="inlineStr">
        <is>
          <t>M-PAY-23040 B</t>
        </is>
      </c>
      <c r="D477" s="14" t="inlineStr"/>
      <c r="E477" s="14" t="inlineStr"/>
      <c r="F477" s="14" t="inlineStr">
        <is>
          <t>1kV-XLPE-Arm-T-CU</t>
        </is>
      </c>
      <c r="G477" s="14" t="inlineStr">
        <is>
          <t>7x2,5+T</t>
        </is>
      </c>
      <c r="H477" s="14" t="inlineStr">
        <is>
          <t>COMANDO</t>
        </is>
      </c>
      <c r="I477" s="14" t="inlineStr">
        <is>
          <t>BOMBA BOOSTER</t>
        </is>
      </c>
      <c r="J477" s="14" t="inlineStr">
        <is>
          <t>CONTROL</t>
        </is>
      </c>
      <c r="K477" s="14" t="inlineStr">
        <is>
          <t>CPF2</t>
        </is>
      </c>
      <c r="L477" s="137" t="n">
        <v>8</v>
      </c>
      <c r="M477" s="144" t="inlineStr">
        <is>
          <t>SI</t>
        </is>
      </c>
      <c r="N477" s="139" t="n">
        <v>16</v>
      </c>
      <c r="O477" s="145" t="n">
        <v>2</v>
      </c>
      <c r="P477" s="141" t="n">
        <v>18</v>
      </c>
      <c r="Q477" s="136" t="inlineStr">
        <is>
          <t>CONTROL</t>
        </is>
      </c>
      <c r="R477" s="136" t="inlineStr">
        <is>
          <t>MOTOR/ACCIONAMIENTO</t>
        </is>
      </c>
    </row>
    <row r="478">
      <c r="A478" s="14" t="inlineStr">
        <is>
          <t>C-M-PAY-23040 C</t>
        </is>
      </c>
      <c r="B478" s="14" t="inlineStr">
        <is>
          <t>102-CCM-007</t>
        </is>
      </c>
      <c r="C478" s="14" t="inlineStr">
        <is>
          <t>M-PAY-23040 C</t>
        </is>
      </c>
      <c r="D478" s="14" t="inlineStr"/>
      <c r="E478" s="14" t="inlineStr"/>
      <c r="F478" s="14" t="inlineStr">
        <is>
          <t>1kV-XLPE-Arm-T-CU</t>
        </is>
      </c>
      <c r="G478" s="14" t="inlineStr">
        <is>
          <t>7x2,5+T</t>
        </is>
      </c>
      <c r="H478" s="14" t="inlineStr">
        <is>
          <t>COMANDO</t>
        </is>
      </c>
      <c r="I478" s="14" t="inlineStr">
        <is>
          <t>BOMBA BOOSTER</t>
        </is>
      </c>
      <c r="J478" s="14" t="inlineStr">
        <is>
          <t>CONTROL</t>
        </is>
      </c>
      <c r="K478" s="14" t="inlineStr">
        <is>
          <t>CPF2</t>
        </is>
      </c>
      <c r="L478" s="137" t="n">
        <v>8</v>
      </c>
      <c r="M478" s="144" t="inlineStr">
        <is>
          <t>SI</t>
        </is>
      </c>
      <c r="N478" s="139" t="n">
        <v>16</v>
      </c>
      <c r="O478" s="145" t="n">
        <v>2</v>
      </c>
      <c r="P478" s="141" t="n">
        <v>18</v>
      </c>
      <c r="Q478" s="136" t="inlineStr">
        <is>
          <t>CONTROL</t>
        </is>
      </c>
      <c r="R478" s="136" t="inlineStr">
        <is>
          <t>MOTOR/ACCIONAMIENTO</t>
        </is>
      </c>
    </row>
    <row r="479">
      <c r="A479" s="14" t="inlineStr">
        <is>
          <t>C-M-PAY-23040 D</t>
        </is>
      </c>
      <c r="B479" s="14" t="inlineStr">
        <is>
          <t>102-CCM-007</t>
        </is>
      </c>
      <c r="C479" s="14" t="inlineStr">
        <is>
          <t>M-PAY-23040 D</t>
        </is>
      </c>
      <c r="D479" s="14" t="inlineStr"/>
      <c r="E479" s="14" t="inlineStr"/>
      <c r="F479" s="14" t="inlineStr">
        <is>
          <t>1kV-XLPE-Arm-T-CU</t>
        </is>
      </c>
      <c r="G479" s="14" t="inlineStr">
        <is>
          <t>7x2,5+T</t>
        </is>
      </c>
      <c r="H479" s="14" t="inlineStr">
        <is>
          <t>COMANDO</t>
        </is>
      </c>
      <c r="I479" s="14" t="inlineStr">
        <is>
          <t>BOMBA BOOSTER</t>
        </is>
      </c>
      <c r="J479" s="14" t="inlineStr">
        <is>
          <t>CONTROL</t>
        </is>
      </c>
      <c r="K479" s="14" t="inlineStr">
        <is>
          <t>CPF2</t>
        </is>
      </c>
      <c r="L479" s="137" t="n">
        <v>8</v>
      </c>
      <c r="M479" s="144" t="inlineStr">
        <is>
          <t>SI</t>
        </is>
      </c>
      <c r="N479" s="139" t="n">
        <v>16</v>
      </c>
      <c r="O479" s="145" t="n">
        <v>2</v>
      </c>
      <c r="P479" s="141" t="n">
        <v>18</v>
      </c>
      <c r="Q479" s="136" t="inlineStr">
        <is>
          <t>CONTROL</t>
        </is>
      </c>
      <c r="R479" s="136" t="inlineStr">
        <is>
          <t>MOTOR/ACCIONAMIENTO</t>
        </is>
      </c>
    </row>
    <row r="480">
      <c r="A480" s="14" t="inlineStr">
        <is>
          <t>C-M-PBM-24340 A</t>
        </is>
      </c>
      <c r="B480" s="14" t="inlineStr">
        <is>
          <t>102-CCM-007</t>
        </is>
      </c>
      <c r="C480" s="14" t="inlineStr">
        <is>
          <t>M-PBM-24340 A</t>
        </is>
      </c>
      <c r="D480" s="14" t="inlineStr">
        <is>
          <t>110</t>
        </is>
      </c>
      <c r="E480" s="14" t="inlineStr">
        <is>
          <t>150</t>
        </is>
      </c>
      <c r="F480" s="14" t="inlineStr">
        <is>
          <t>1kV-XLPE-Arm-T-CU</t>
        </is>
      </c>
      <c r="G480" s="14" t="inlineStr">
        <is>
          <t>7x2,5+T</t>
        </is>
      </c>
      <c r="H480" s="14" t="inlineStr">
        <is>
          <t>COMANDO</t>
        </is>
      </c>
      <c r="I480" s="14" t="inlineStr">
        <is>
          <t>BOMBA DE TRANSFERENCIA 0</t>
        </is>
      </c>
      <c r="J480" s="14" t="inlineStr">
        <is>
          <t>CONTROL</t>
        </is>
      </c>
      <c r="K480" s="14" t="inlineStr">
        <is>
          <t>CPF2</t>
        </is>
      </c>
      <c r="L480" s="137" t="n">
        <v>8</v>
      </c>
      <c r="M480" s="144" t="inlineStr">
        <is>
          <t>SI</t>
        </is>
      </c>
      <c r="N480" s="139" t="n">
        <v>16</v>
      </c>
      <c r="O480" s="145" t="n">
        <v>2</v>
      </c>
      <c r="P480" s="141" t="n">
        <v>18</v>
      </c>
      <c r="Q480" s="136" t="inlineStr">
        <is>
          <t>CONTROL</t>
        </is>
      </c>
      <c r="R480" s="136" t="inlineStr">
        <is>
          <t>MOTOR/ACCIONAMIENTO</t>
        </is>
      </c>
    </row>
    <row r="481">
      <c r="A481" s="14" t="inlineStr">
        <is>
          <t>C-M-PBM-24340 B</t>
        </is>
      </c>
      <c r="B481" s="14" t="inlineStr">
        <is>
          <t>102-CCM-007</t>
        </is>
      </c>
      <c r="C481" s="14" t="inlineStr">
        <is>
          <t>M-PBM-24340 B</t>
        </is>
      </c>
      <c r="D481" s="14" t="inlineStr">
        <is>
          <t>110</t>
        </is>
      </c>
      <c r="E481" s="14" t="inlineStr">
        <is>
          <t>150</t>
        </is>
      </c>
      <c r="F481" s="14" t="inlineStr">
        <is>
          <t>1kV-XLPE-Arm-T-CU</t>
        </is>
      </c>
      <c r="G481" s="14" t="inlineStr">
        <is>
          <t>7x2,5+T</t>
        </is>
      </c>
      <c r="H481" s="14" t="inlineStr">
        <is>
          <t>COMANDO</t>
        </is>
      </c>
      <c r="I481" s="14" t="inlineStr">
        <is>
          <t>BOMBA DE TRANSFERENCIA 0</t>
        </is>
      </c>
      <c r="J481" s="14" t="inlineStr">
        <is>
          <t>CONTROL</t>
        </is>
      </c>
      <c r="K481" s="14" t="inlineStr">
        <is>
          <t>CPF2</t>
        </is>
      </c>
      <c r="L481" s="137" t="n">
        <v>8</v>
      </c>
      <c r="M481" s="144" t="inlineStr">
        <is>
          <t>SI</t>
        </is>
      </c>
      <c r="N481" s="139" t="n">
        <v>16</v>
      </c>
      <c r="O481" s="145" t="n">
        <v>2</v>
      </c>
      <c r="P481" s="141" t="n">
        <v>18</v>
      </c>
      <c r="Q481" s="136" t="inlineStr">
        <is>
          <t>CONTROL</t>
        </is>
      </c>
      <c r="R481" s="136" t="inlineStr">
        <is>
          <t>MOTOR/ACCIONAMIENTO</t>
        </is>
      </c>
    </row>
    <row r="482">
      <c r="A482" s="14" t="inlineStr">
        <is>
          <t>C-M-PBM-24390 A</t>
        </is>
      </c>
      <c r="B482" s="14" t="inlineStr">
        <is>
          <t>102-CCM-007</t>
        </is>
      </c>
      <c r="C482" s="14" t="inlineStr">
        <is>
          <t>M-PBM-24390 A</t>
        </is>
      </c>
      <c r="D482" s="14" t="inlineStr">
        <is>
          <t>110</t>
        </is>
      </c>
      <c r="E482" s="14" t="inlineStr">
        <is>
          <t>150</t>
        </is>
      </c>
      <c r="F482" s="14" t="inlineStr">
        <is>
          <t>1kV-XLPE-Arm-T-CU</t>
        </is>
      </c>
      <c r="G482" s="14" t="inlineStr">
        <is>
          <t>7x2,5+T</t>
        </is>
      </c>
      <c r="H482" s="14" t="inlineStr">
        <is>
          <t>COMANDO</t>
        </is>
      </c>
      <c r="I482" s="14" t="inlineStr">
        <is>
          <t>BOMBA DE AGUA TRATADA A TANQUES 0</t>
        </is>
      </c>
      <c r="J482" s="14" t="inlineStr">
        <is>
          <t>CONTROL</t>
        </is>
      </c>
      <c r="K482" s="14" t="inlineStr">
        <is>
          <t>CPF2</t>
        </is>
      </c>
      <c r="L482" s="137" t="n">
        <v>8</v>
      </c>
      <c r="M482" s="144" t="inlineStr">
        <is>
          <t>SI</t>
        </is>
      </c>
      <c r="N482" s="139" t="n">
        <v>16</v>
      </c>
      <c r="O482" s="145" t="n">
        <v>2</v>
      </c>
      <c r="P482" s="141" t="n">
        <v>18</v>
      </c>
      <c r="Q482" s="136" t="inlineStr">
        <is>
          <t>CONTROL</t>
        </is>
      </c>
      <c r="R482" s="136" t="inlineStr">
        <is>
          <t>MOTOR/ACCIONAMIENTO</t>
        </is>
      </c>
    </row>
    <row r="483">
      <c r="A483" s="14" t="inlineStr">
        <is>
          <t>C-M-PBM-24390 B</t>
        </is>
      </c>
      <c r="B483" s="14" t="inlineStr">
        <is>
          <t>102-CCM-007</t>
        </is>
      </c>
      <c r="C483" s="14" t="inlineStr">
        <is>
          <t>M-PBM-24390 B</t>
        </is>
      </c>
      <c r="D483" s="14" t="inlineStr">
        <is>
          <t>110</t>
        </is>
      </c>
      <c r="E483" s="14" t="inlineStr">
        <is>
          <t>150</t>
        </is>
      </c>
      <c r="F483" s="14" t="inlineStr">
        <is>
          <t>1kV-XLPE-Arm-T-CU</t>
        </is>
      </c>
      <c r="G483" s="14" t="inlineStr">
        <is>
          <t>7x2,5+T</t>
        </is>
      </c>
      <c r="H483" s="14" t="inlineStr">
        <is>
          <t>COMANDO</t>
        </is>
      </c>
      <c r="I483" s="14" t="inlineStr">
        <is>
          <t>BOMBA DE AGUA TRATADA A TANQUES 0</t>
        </is>
      </c>
      <c r="J483" s="14" t="inlineStr">
        <is>
          <t>CONTROL</t>
        </is>
      </c>
      <c r="K483" s="14" t="inlineStr">
        <is>
          <t>CPF2</t>
        </is>
      </c>
      <c r="L483" s="137" t="n">
        <v>8</v>
      </c>
      <c r="M483" s="144" t="inlineStr">
        <is>
          <t>SI</t>
        </is>
      </c>
      <c r="N483" s="139" t="n">
        <v>16</v>
      </c>
      <c r="O483" s="145" t="n">
        <v>2</v>
      </c>
      <c r="P483" s="141" t="n">
        <v>18</v>
      </c>
      <c r="Q483" s="136" t="inlineStr">
        <is>
          <t>CONTROL</t>
        </is>
      </c>
      <c r="R483" s="136" t="inlineStr">
        <is>
          <t>MOTOR/ACCIONAMIENTO</t>
        </is>
      </c>
    </row>
    <row r="484">
      <c r="A484" s="14" t="inlineStr">
        <is>
          <t>C-M-PBM-24390 C</t>
        </is>
      </c>
      <c r="B484" s="14" t="inlineStr">
        <is>
          <t>102-CCM-007</t>
        </is>
      </c>
      <c r="C484" s="14" t="inlineStr">
        <is>
          <t>M-PBM-24390 C</t>
        </is>
      </c>
      <c r="D484" s="14" t="inlineStr">
        <is>
          <t>110</t>
        </is>
      </c>
      <c r="E484" s="14" t="inlineStr">
        <is>
          <t>150</t>
        </is>
      </c>
      <c r="F484" s="14" t="inlineStr">
        <is>
          <t>1kV-XLPE-Arm-T-CU</t>
        </is>
      </c>
      <c r="G484" s="14" t="inlineStr">
        <is>
          <t>7x2,5+T</t>
        </is>
      </c>
      <c r="H484" s="14" t="inlineStr">
        <is>
          <t>COMANDO</t>
        </is>
      </c>
      <c r="I484" s="14" t="inlineStr">
        <is>
          <t>BOMBA DE AGUA TRATADA A TANQUES 0</t>
        </is>
      </c>
      <c r="J484" s="14" t="inlineStr">
        <is>
          <t>CONTROL</t>
        </is>
      </c>
      <c r="K484" s="14" t="inlineStr">
        <is>
          <t>CPF2</t>
        </is>
      </c>
      <c r="L484" s="137" t="n">
        <v>8</v>
      </c>
      <c r="M484" s="144" t="inlineStr">
        <is>
          <t>SI</t>
        </is>
      </c>
      <c r="N484" s="139" t="n">
        <v>16</v>
      </c>
      <c r="O484" s="145" t="n">
        <v>2</v>
      </c>
      <c r="P484" s="141" t="n">
        <v>18</v>
      </c>
      <c r="Q484" s="136" t="inlineStr">
        <is>
          <t>CONTROL</t>
        </is>
      </c>
      <c r="R484" s="136" t="inlineStr">
        <is>
          <t>MOTOR/ACCIONAMIENTO</t>
        </is>
      </c>
    </row>
    <row r="485">
      <c r="A485" s="14" t="inlineStr">
        <is>
          <t>C-M-PBA-24420 A</t>
        </is>
      </c>
      <c r="B485" s="14" t="inlineStr">
        <is>
          <t>102-CCM-007</t>
        </is>
      </c>
      <c r="C485" s="14" t="inlineStr">
        <is>
          <t>M-PBA-24420 A</t>
        </is>
      </c>
      <c r="D485" s="14" t="inlineStr">
        <is>
          <t>110</t>
        </is>
      </c>
      <c r="E485" s="14" t="inlineStr">
        <is>
          <t>150</t>
        </is>
      </c>
      <c r="F485" s="14" t="inlineStr">
        <is>
          <t>1kV-XLPE-Arm-T-CU</t>
        </is>
      </c>
      <c r="G485" s="14" t="inlineStr">
        <is>
          <t>7x2,5+T</t>
        </is>
      </c>
      <c r="H485" s="14" t="inlineStr">
        <is>
          <t>COMANDO</t>
        </is>
      </c>
      <c r="I485" s="14" t="inlineStr">
        <is>
          <t>BOMBA DE SKIMMEADO 0</t>
        </is>
      </c>
      <c r="J485" s="14" t="inlineStr">
        <is>
          <t>CONTROL</t>
        </is>
      </c>
      <c r="K485" s="14" t="inlineStr">
        <is>
          <t>CPF2</t>
        </is>
      </c>
      <c r="L485" s="137" t="n">
        <v>8</v>
      </c>
      <c r="M485" s="144" t="inlineStr">
        <is>
          <t>SI</t>
        </is>
      </c>
      <c r="N485" s="139" t="n">
        <v>16</v>
      </c>
      <c r="O485" s="145" t="n">
        <v>2</v>
      </c>
      <c r="P485" s="141" t="n">
        <v>18</v>
      </c>
      <c r="Q485" s="136" t="inlineStr">
        <is>
          <t>CONTROL</t>
        </is>
      </c>
      <c r="R485" s="136" t="inlineStr">
        <is>
          <t>MOTOR/ACCIONAMIENTO</t>
        </is>
      </c>
    </row>
    <row r="486">
      <c r="A486" s="14" t="inlineStr">
        <is>
          <t>C-M-PBA-24420 B</t>
        </is>
      </c>
      <c r="B486" s="14" t="inlineStr">
        <is>
          <t>102-CCM-007</t>
        </is>
      </c>
      <c r="C486" s="14" t="inlineStr">
        <is>
          <t>M-PBA-24420 B</t>
        </is>
      </c>
      <c r="D486" s="14" t="inlineStr">
        <is>
          <t>110</t>
        </is>
      </c>
      <c r="E486" s="14" t="inlineStr">
        <is>
          <t>150</t>
        </is>
      </c>
      <c r="F486" s="14" t="inlineStr">
        <is>
          <t>1kV-XLPE-Arm-T-CU</t>
        </is>
      </c>
      <c r="G486" s="14" t="inlineStr">
        <is>
          <t>7x2,5+T</t>
        </is>
      </c>
      <c r="H486" s="14" t="inlineStr">
        <is>
          <t>COMANDO</t>
        </is>
      </c>
      <c r="I486" s="14" t="inlineStr">
        <is>
          <t>BOMBA DE SKIMMEADO 0</t>
        </is>
      </c>
      <c r="J486" s="14" t="inlineStr">
        <is>
          <t>CONTROL</t>
        </is>
      </c>
      <c r="K486" s="14" t="inlineStr">
        <is>
          <t>CPF2</t>
        </is>
      </c>
      <c r="L486" s="137" t="n">
        <v>8</v>
      </c>
      <c r="M486" s="144" t="inlineStr">
        <is>
          <t>SI</t>
        </is>
      </c>
      <c r="N486" s="139" t="n">
        <v>16</v>
      </c>
      <c r="O486" s="145" t="n">
        <v>2</v>
      </c>
      <c r="P486" s="141" t="n">
        <v>18</v>
      </c>
      <c r="Q486" s="136" t="inlineStr">
        <is>
          <t>CONTROL</t>
        </is>
      </c>
      <c r="R486" s="136" t="inlineStr">
        <is>
          <t>MOTOR/ACCIONAMIENTO</t>
        </is>
      </c>
    </row>
    <row r="487">
      <c r="A487" s="14" t="inlineStr">
        <is>
          <t>C-M-PBA-97150 A</t>
        </is>
      </c>
      <c r="B487" s="14" t="inlineStr">
        <is>
          <t>102-CCM-007</t>
        </is>
      </c>
      <c r="C487" s="14" t="inlineStr">
        <is>
          <t>M-PBA-97150 A</t>
        </is>
      </c>
      <c r="D487" s="14" t="inlineStr">
        <is>
          <t>110</t>
        </is>
      </c>
      <c r="E487" s="14" t="inlineStr">
        <is>
          <t>190</t>
        </is>
      </c>
      <c r="F487" s="14" t="inlineStr">
        <is>
          <t>1kV-XLPE-Arm-T-CU</t>
        </is>
      </c>
      <c r="G487" s="14" t="inlineStr">
        <is>
          <t>7x2,5+T</t>
        </is>
      </c>
      <c r="H487" s="14" t="inlineStr">
        <is>
          <t>COMANDO</t>
        </is>
      </c>
      <c r="I487" s="14" t="inlineStr">
        <is>
          <t>BOMBAS DE AGUA DE TANQUE SLOP 0</t>
        </is>
      </c>
      <c r="J487" s="14" t="inlineStr">
        <is>
          <t>CONTROL</t>
        </is>
      </c>
      <c r="K487" s="14" t="inlineStr">
        <is>
          <t>CPF2</t>
        </is>
      </c>
      <c r="L487" s="137" t="n">
        <v>8</v>
      </c>
      <c r="M487" s="144" t="inlineStr">
        <is>
          <t>SI</t>
        </is>
      </c>
      <c r="N487" s="139" t="n">
        <v>16</v>
      </c>
      <c r="O487" s="145" t="n">
        <v>2</v>
      </c>
      <c r="P487" s="141" t="n">
        <v>18</v>
      </c>
      <c r="Q487" s="136" t="inlineStr">
        <is>
          <t>CONTROL</t>
        </is>
      </c>
      <c r="R487" s="136" t="inlineStr">
        <is>
          <t>MOTOR/ACCIONAMIENTO</t>
        </is>
      </c>
    </row>
    <row r="488">
      <c r="A488" s="14" t="inlineStr">
        <is>
          <t>C-M-PBA-97150 B</t>
        </is>
      </c>
      <c r="B488" s="14" t="inlineStr">
        <is>
          <t>102-CCM-007</t>
        </is>
      </c>
      <c r="C488" s="14" t="inlineStr">
        <is>
          <t>M-PBA-97150 B</t>
        </is>
      </c>
      <c r="D488" s="14" t="inlineStr">
        <is>
          <t>110</t>
        </is>
      </c>
      <c r="E488" s="14" t="inlineStr">
        <is>
          <t>190</t>
        </is>
      </c>
      <c r="F488" s="14" t="inlineStr">
        <is>
          <t>1kV-XLPE-Arm-T-CU</t>
        </is>
      </c>
      <c r="G488" s="14" t="inlineStr">
        <is>
          <t>7x2,5+T</t>
        </is>
      </c>
      <c r="H488" s="14" t="inlineStr">
        <is>
          <t>COMANDO</t>
        </is>
      </c>
      <c r="I488" s="14" t="inlineStr">
        <is>
          <t>BOMBAS DE AGUA DE TANQUE SLOP 0</t>
        </is>
      </c>
      <c r="J488" s="14" t="inlineStr">
        <is>
          <t>CONTROL</t>
        </is>
      </c>
      <c r="K488" s="14" t="inlineStr">
        <is>
          <t>CPF2</t>
        </is>
      </c>
      <c r="L488" s="137" t="n">
        <v>8</v>
      </c>
      <c r="M488" s="144" t="inlineStr">
        <is>
          <t>SI</t>
        </is>
      </c>
      <c r="N488" s="139" t="n">
        <v>16</v>
      </c>
      <c r="O488" s="145" t="n">
        <v>2</v>
      </c>
      <c r="P488" s="141" t="n">
        <v>18</v>
      </c>
      <c r="Q488" s="136" t="inlineStr">
        <is>
          <t>CONTROL</t>
        </is>
      </c>
      <c r="R488" s="136" t="inlineStr">
        <is>
          <t>MOTOR/ACCIONAMIENTO</t>
        </is>
      </c>
    </row>
    <row r="489">
      <c r="A489" s="14" t="inlineStr">
        <is>
          <t>C-M-PBA-97160 A</t>
        </is>
      </c>
      <c r="B489" s="14" t="inlineStr">
        <is>
          <t>102-CCM-007</t>
        </is>
      </c>
      <c r="C489" s="14" t="inlineStr">
        <is>
          <t>M-PBA-97160 A</t>
        </is>
      </c>
      <c r="D489" s="14" t="inlineStr">
        <is>
          <t>110</t>
        </is>
      </c>
      <c r="E489" s="14" t="inlineStr">
        <is>
          <t>190</t>
        </is>
      </c>
      <c r="F489" s="14" t="inlineStr">
        <is>
          <t>1kV-XLPE-Arm-T-CU</t>
        </is>
      </c>
      <c r="G489" s="14" t="inlineStr">
        <is>
          <t>7x2,5+T</t>
        </is>
      </c>
      <c r="H489" s="14" t="inlineStr">
        <is>
          <t>COMANDO</t>
        </is>
      </c>
      <c r="I489" s="14" t="inlineStr">
        <is>
          <t>BOMBA DE CONDENSADO DE TANQUE SLOP 0</t>
        </is>
      </c>
      <c r="J489" s="14" t="inlineStr">
        <is>
          <t>CONTROL</t>
        </is>
      </c>
      <c r="K489" s="14" t="inlineStr">
        <is>
          <t>CPF2</t>
        </is>
      </c>
      <c r="L489" s="137" t="n">
        <v>8</v>
      </c>
      <c r="M489" s="144" t="inlineStr">
        <is>
          <t>SI</t>
        </is>
      </c>
      <c r="N489" s="139" t="n">
        <v>16</v>
      </c>
      <c r="O489" s="145" t="n">
        <v>2</v>
      </c>
      <c r="P489" s="141" t="n">
        <v>18</v>
      </c>
      <c r="Q489" s="136" t="inlineStr">
        <is>
          <t>CONTROL</t>
        </is>
      </c>
      <c r="R489" s="136" t="inlineStr">
        <is>
          <t>MOTOR/ACCIONAMIENTO</t>
        </is>
      </c>
    </row>
    <row r="490">
      <c r="A490" s="14" t="inlineStr">
        <is>
          <t>C-M-PBA-97160 B</t>
        </is>
      </c>
      <c r="B490" s="14" t="inlineStr">
        <is>
          <t>102-CCM-007</t>
        </is>
      </c>
      <c r="C490" s="14" t="inlineStr">
        <is>
          <t>M-PBA-97160 B</t>
        </is>
      </c>
      <c r="D490" s="14" t="inlineStr">
        <is>
          <t>110</t>
        </is>
      </c>
      <c r="E490" s="14" t="inlineStr">
        <is>
          <t>190</t>
        </is>
      </c>
      <c r="F490" s="14" t="inlineStr">
        <is>
          <t>1kV-XLPE-Arm-T-CU</t>
        </is>
      </c>
      <c r="G490" s="14" t="inlineStr">
        <is>
          <t>7x2,5+T</t>
        </is>
      </c>
      <c r="H490" s="14" t="inlineStr">
        <is>
          <t>COMANDO</t>
        </is>
      </c>
      <c r="I490" s="14" t="inlineStr">
        <is>
          <t>BOMBA DE CONDENSADO DE TANQUE SLOP 0</t>
        </is>
      </c>
      <c r="J490" s="14" t="inlineStr">
        <is>
          <t>CONTROL</t>
        </is>
      </c>
      <c r="K490" s="14" t="inlineStr">
        <is>
          <t>CPF2</t>
        </is>
      </c>
      <c r="L490" s="137" t="n">
        <v>8</v>
      </c>
      <c r="M490" s="144" t="inlineStr">
        <is>
          <t>SI</t>
        </is>
      </c>
      <c r="N490" s="139" t="n">
        <v>16</v>
      </c>
      <c r="O490" s="145" t="n">
        <v>2</v>
      </c>
      <c r="P490" s="141" t="n">
        <v>18</v>
      </c>
      <c r="Q490" s="136" t="inlineStr">
        <is>
          <t>CONTROL</t>
        </is>
      </c>
      <c r="R490" s="136" t="inlineStr">
        <is>
          <t>MOTOR/ACCIONAMIENTO</t>
        </is>
      </c>
    </row>
    <row r="491">
      <c r="A491" s="14" t="inlineStr">
        <is>
          <t>C-M-EAL-23310 A1</t>
        </is>
      </c>
      <c r="B491" s="14" t="inlineStr">
        <is>
          <t>102-CCM-007</t>
        </is>
      </c>
      <c r="C491" s="14" t="inlineStr">
        <is>
          <t>M-EAL-23310 A1</t>
        </is>
      </c>
      <c r="D491" s="14" t="inlineStr">
        <is>
          <t>110</t>
        </is>
      </c>
      <c r="E491" s="14" t="inlineStr">
        <is>
          <t>250</t>
        </is>
      </c>
      <c r="F491" s="14" t="inlineStr">
        <is>
          <t>1kV-XLPE-Arm-T-CU</t>
        </is>
      </c>
      <c r="G491" s="14" t="inlineStr">
        <is>
          <t>7x2,5+T</t>
        </is>
      </c>
      <c r="H491" s="14" t="inlineStr">
        <is>
          <t>COMANDO</t>
        </is>
      </c>
      <c r="I491" s="14" t="inlineStr">
        <is>
          <t>PLAN DE SELLO BOMBA DE CONDENSADO 0</t>
        </is>
      </c>
      <c r="J491" s="14" t="inlineStr">
        <is>
          <t>CONTROL</t>
        </is>
      </c>
      <c r="K491" s="14" t="inlineStr">
        <is>
          <t>CPF2</t>
        </is>
      </c>
      <c r="L491" s="137" t="n">
        <v>8</v>
      </c>
      <c r="M491" s="144" t="inlineStr">
        <is>
          <t>SI</t>
        </is>
      </c>
      <c r="N491" s="139" t="n">
        <v>16</v>
      </c>
      <c r="O491" s="145" t="n">
        <v>2</v>
      </c>
      <c r="P491" s="141" t="n">
        <v>18</v>
      </c>
      <c r="Q491" s="136" t="inlineStr">
        <is>
          <t>CONTROL</t>
        </is>
      </c>
      <c r="R491" s="136" t="inlineStr">
        <is>
          <t>MOTOR/ACCIONAMIENTO</t>
        </is>
      </c>
    </row>
    <row r="492">
      <c r="A492" s="14" t="inlineStr">
        <is>
          <t>C-M-EAL-23310 A2</t>
        </is>
      </c>
      <c r="B492" s="14" t="inlineStr">
        <is>
          <t>102-CCM-007</t>
        </is>
      </c>
      <c r="C492" s="14" t="inlineStr">
        <is>
          <t>M-EAL-23310 A2</t>
        </is>
      </c>
      <c r="D492" s="14" t="inlineStr">
        <is>
          <t>110</t>
        </is>
      </c>
      <c r="E492" s="14" t="inlineStr">
        <is>
          <t>250</t>
        </is>
      </c>
      <c r="F492" s="14" t="inlineStr">
        <is>
          <t>1kV-XLPE-Arm-T-CU</t>
        </is>
      </c>
      <c r="G492" s="14" t="inlineStr">
        <is>
          <t>7x2,5+T</t>
        </is>
      </c>
      <c r="H492" s="14" t="inlineStr">
        <is>
          <t>COMANDO</t>
        </is>
      </c>
      <c r="I492" s="14" t="inlineStr">
        <is>
          <t>PLAN DE SELLO BOMBA DE CONDENSADO 0</t>
        </is>
      </c>
      <c r="J492" s="14" t="inlineStr">
        <is>
          <t>CONTROL</t>
        </is>
      </c>
      <c r="K492" s="14" t="inlineStr">
        <is>
          <t>CPF2</t>
        </is>
      </c>
      <c r="L492" s="137" t="n">
        <v>8</v>
      </c>
      <c r="M492" s="144" t="inlineStr">
        <is>
          <t>SI</t>
        </is>
      </c>
      <c r="N492" s="139" t="n">
        <v>16</v>
      </c>
      <c r="O492" s="145" t="n">
        <v>2</v>
      </c>
      <c r="P492" s="141" t="n">
        <v>18</v>
      </c>
      <c r="Q492" s="136" t="inlineStr">
        <is>
          <t>CONTROL</t>
        </is>
      </c>
      <c r="R492" s="136" t="inlineStr">
        <is>
          <t>MOTOR/ACCIONAMIENTO</t>
        </is>
      </c>
    </row>
    <row r="493">
      <c r="A493" s="14" t="inlineStr">
        <is>
          <t>C-M-EAL-23310 B1</t>
        </is>
      </c>
      <c r="B493" s="14" t="inlineStr">
        <is>
          <t>102-CCM-007</t>
        </is>
      </c>
      <c r="C493" s="14" t="inlineStr">
        <is>
          <t>M-EAL-23310 B1</t>
        </is>
      </c>
      <c r="D493" s="14" t="inlineStr">
        <is>
          <t>110</t>
        </is>
      </c>
      <c r="E493" s="14" t="inlineStr">
        <is>
          <t>250</t>
        </is>
      </c>
      <c r="F493" s="14" t="inlineStr">
        <is>
          <t>1kV-XLPE-Arm-T-CU</t>
        </is>
      </c>
      <c r="G493" s="14" t="inlineStr">
        <is>
          <t>7x2,5+T</t>
        </is>
      </c>
      <c r="H493" s="14" t="inlineStr">
        <is>
          <t>COMANDO</t>
        </is>
      </c>
      <c r="I493" s="14" t="inlineStr">
        <is>
          <t>PLAN DE SELLO BOMBA DE CONDENSADO 0</t>
        </is>
      </c>
      <c r="J493" s="14" t="inlineStr">
        <is>
          <t>CONTROL</t>
        </is>
      </c>
      <c r="K493" s="14" t="inlineStr">
        <is>
          <t>CPF2</t>
        </is>
      </c>
      <c r="L493" s="137" t="n">
        <v>8</v>
      </c>
      <c r="M493" s="144" t="inlineStr">
        <is>
          <t>SI</t>
        </is>
      </c>
      <c r="N493" s="139" t="n">
        <v>16</v>
      </c>
      <c r="O493" s="145" t="n">
        <v>2</v>
      </c>
      <c r="P493" s="141" t="n">
        <v>18</v>
      </c>
      <c r="Q493" s="136" t="inlineStr">
        <is>
          <t>CONTROL</t>
        </is>
      </c>
      <c r="R493" s="136" t="inlineStr">
        <is>
          <t>MOTOR/ACCIONAMIENTO</t>
        </is>
      </c>
    </row>
    <row r="494">
      <c r="A494" s="14" t="inlineStr">
        <is>
          <t>C-M-EAL-23310 B2</t>
        </is>
      </c>
      <c r="B494" s="14" t="inlineStr">
        <is>
          <t>102-CCM-007</t>
        </is>
      </c>
      <c r="C494" s="14" t="inlineStr">
        <is>
          <t>M-EAL-23310 B2</t>
        </is>
      </c>
      <c r="D494" s="14" t="inlineStr">
        <is>
          <t>110</t>
        </is>
      </c>
      <c r="E494" s="14" t="inlineStr">
        <is>
          <t>250</t>
        </is>
      </c>
      <c r="F494" s="14" t="inlineStr">
        <is>
          <t>1kV-XLPE-Arm-T-CU</t>
        </is>
      </c>
      <c r="G494" s="14" t="inlineStr">
        <is>
          <t>7x2,5+T</t>
        </is>
      </c>
      <c r="H494" s="14" t="inlineStr">
        <is>
          <t>COMANDO</t>
        </is>
      </c>
      <c r="I494" s="14" t="inlineStr">
        <is>
          <t>PLAN DE SELLO BOMBA DE CONDENSADO 0</t>
        </is>
      </c>
      <c r="J494" s="14" t="inlineStr">
        <is>
          <t>CONTROL</t>
        </is>
      </c>
      <c r="K494" s="14" t="inlineStr">
        <is>
          <t>CPF2</t>
        </is>
      </c>
      <c r="L494" s="137" t="n">
        <v>8</v>
      </c>
      <c r="M494" s="144" t="inlineStr">
        <is>
          <t>SI</t>
        </is>
      </c>
      <c r="N494" s="139" t="n">
        <v>16</v>
      </c>
      <c r="O494" s="145" t="n">
        <v>2</v>
      </c>
      <c r="P494" s="141" t="n">
        <v>18</v>
      </c>
      <c r="Q494" s="136" t="inlineStr">
        <is>
          <t>CONTROL</t>
        </is>
      </c>
      <c r="R494" s="136" t="inlineStr">
        <is>
          <t>MOTOR/ACCIONAMIENTO</t>
        </is>
      </c>
    </row>
    <row r="495">
      <c r="A495" s="14" t="inlineStr">
        <is>
          <t>C-M-EAL-23310 C1</t>
        </is>
      </c>
      <c r="B495" s="14" t="inlineStr">
        <is>
          <t>102-CCM-007</t>
        </is>
      </c>
      <c r="C495" s="14" t="inlineStr">
        <is>
          <t>M-EAL-23310 C1</t>
        </is>
      </c>
      <c r="D495" s="14" t="inlineStr">
        <is>
          <t>110</t>
        </is>
      </c>
      <c r="E495" s="14" t="inlineStr">
        <is>
          <t>250</t>
        </is>
      </c>
      <c r="F495" s="14" t="inlineStr">
        <is>
          <t>1kV-XLPE-Arm-T-CU</t>
        </is>
      </c>
      <c r="G495" s="14" t="inlineStr">
        <is>
          <t>7x2,5+T</t>
        </is>
      </c>
      <c r="H495" s="14" t="inlineStr">
        <is>
          <t>COMANDO</t>
        </is>
      </c>
      <c r="I495" s="14" t="inlineStr">
        <is>
          <t>PLAN DE SELLO BOMBA DE CONDENSADO 0</t>
        </is>
      </c>
      <c r="J495" s="14" t="inlineStr">
        <is>
          <t>CONTROL</t>
        </is>
      </c>
      <c r="K495" s="14" t="inlineStr">
        <is>
          <t>CPF2</t>
        </is>
      </c>
      <c r="L495" s="137" t="n">
        <v>8</v>
      </c>
      <c r="M495" s="144" t="inlineStr">
        <is>
          <t>SI</t>
        </is>
      </c>
      <c r="N495" s="139" t="n">
        <v>16</v>
      </c>
      <c r="O495" s="145" t="n">
        <v>2</v>
      </c>
      <c r="P495" s="141" t="n">
        <v>18</v>
      </c>
      <c r="Q495" s="136" t="inlineStr">
        <is>
          <t>CONTROL</t>
        </is>
      </c>
      <c r="R495" s="136" t="inlineStr">
        <is>
          <t>MOTOR/ACCIONAMIENTO</t>
        </is>
      </c>
    </row>
    <row r="496">
      <c r="A496" s="14" t="inlineStr">
        <is>
          <t>C-M-EAL-23310 C2</t>
        </is>
      </c>
      <c r="B496" s="14" t="inlineStr">
        <is>
          <t>102-CCM-007</t>
        </is>
      </c>
      <c r="C496" s="14" t="inlineStr">
        <is>
          <t>M-EAL-23310 C2</t>
        </is>
      </c>
      <c r="D496" s="14" t="inlineStr">
        <is>
          <t>110</t>
        </is>
      </c>
      <c r="E496" s="14" t="inlineStr">
        <is>
          <t>250</t>
        </is>
      </c>
      <c r="F496" s="14" t="inlineStr">
        <is>
          <t>1kV-XLPE-Arm-T-CU</t>
        </is>
      </c>
      <c r="G496" s="14" t="inlineStr">
        <is>
          <t>7x2,5+T</t>
        </is>
      </c>
      <c r="H496" s="14" t="inlineStr">
        <is>
          <t>COMANDO</t>
        </is>
      </c>
      <c r="I496" s="14" t="inlineStr">
        <is>
          <t>PLAN DE SELLO BOMBA DE CONDENSADO 0</t>
        </is>
      </c>
      <c r="J496" s="14" t="inlineStr">
        <is>
          <t>CONTROL</t>
        </is>
      </c>
      <c r="K496" s="14" t="inlineStr">
        <is>
          <t>CPF2</t>
        </is>
      </c>
      <c r="L496" s="137" t="n">
        <v>8</v>
      </c>
      <c r="M496" s="144" t="inlineStr">
        <is>
          <t>SI</t>
        </is>
      </c>
      <c r="N496" s="139" t="n">
        <v>16</v>
      </c>
      <c r="O496" s="145" t="n">
        <v>2</v>
      </c>
      <c r="P496" s="141" t="n">
        <v>18</v>
      </c>
      <c r="Q496" s="136" t="inlineStr">
        <is>
          <t>CONTROL</t>
        </is>
      </c>
      <c r="R496" s="136" t="inlineStr">
        <is>
          <t>MOTOR/ACCIONAMIENTO</t>
        </is>
      </c>
    </row>
    <row r="497">
      <c r="A497" s="14" t="inlineStr">
        <is>
          <t>C-M-14017A</t>
        </is>
      </c>
      <c r="B497" s="14" t="inlineStr">
        <is>
          <t>102-CCM-005</t>
        </is>
      </c>
      <c r="C497" s="14" t="inlineStr">
        <is>
          <t>M-14017A</t>
        </is>
      </c>
      <c r="D497" s="14" t="inlineStr">
        <is>
          <t>110</t>
        </is>
      </c>
      <c r="E497" s="14" t="inlineStr">
        <is>
          <t>150</t>
        </is>
      </c>
      <c r="F497" s="14" t="inlineStr">
        <is>
          <t>1kV-XLPE-Arm-T-CU</t>
        </is>
      </c>
      <c r="G497" s="14" t="inlineStr">
        <is>
          <t>7x2,5+T</t>
        </is>
      </c>
      <c r="H497" s="14" t="inlineStr">
        <is>
          <t>COMANDO</t>
        </is>
      </c>
      <c r="I497" s="14" t="inlineStr"/>
      <c r="J497" s="14" t="inlineStr">
        <is>
          <t>CONTROL</t>
        </is>
      </c>
      <c r="K497" s="14" t="inlineStr">
        <is>
          <t>CPF2</t>
        </is>
      </c>
      <c r="L497" s="137" t="n">
        <v>8</v>
      </c>
      <c r="M497" s="144" t="inlineStr">
        <is>
          <t>SI</t>
        </is>
      </c>
      <c r="N497" s="139" t="n">
        <v>16</v>
      </c>
      <c r="O497" s="145" t="n">
        <v>2</v>
      </c>
      <c r="P497" s="141" t="n">
        <v>18</v>
      </c>
      <c r="Q497" s="136" t="inlineStr">
        <is>
          <t>CONTROL</t>
        </is>
      </c>
      <c r="R497" s="136" t="inlineStr">
        <is>
          <t>OTROS/VERIFICAR</t>
        </is>
      </c>
    </row>
    <row r="498">
      <c r="A498" s="14" t="inlineStr">
        <is>
          <t>C-M-14017B</t>
        </is>
      </c>
      <c r="B498" s="14" t="inlineStr">
        <is>
          <t>102-CCM-005</t>
        </is>
      </c>
      <c r="C498" s="14" t="inlineStr">
        <is>
          <t>M-14017B</t>
        </is>
      </c>
      <c r="D498" s="14" t="inlineStr">
        <is>
          <t>110</t>
        </is>
      </c>
      <c r="E498" s="14" t="inlineStr">
        <is>
          <t>150</t>
        </is>
      </c>
      <c r="F498" s="14" t="inlineStr">
        <is>
          <t>1kV-XLPE-Arm-T-CU</t>
        </is>
      </c>
      <c r="G498" s="14" t="inlineStr">
        <is>
          <t>7x2,5+T</t>
        </is>
      </c>
      <c r="H498" s="14" t="inlineStr">
        <is>
          <t>GLYCOL PUMPS - PUMP "A" - Area 140</t>
        </is>
      </c>
      <c r="I498" s="14" t="inlineStr"/>
      <c r="J498" s="14" t="inlineStr">
        <is>
          <t>CONTROL</t>
        </is>
      </c>
      <c r="K498" s="14" t="inlineStr">
        <is>
          <t>CPF2</t>
        </is>
      </c>
      <c r="L498" s="137" t="n">
        <v>8</v>
      </c>
      <c r="M498" s="144" t="inlineStr">
        <is>
          <t>SI</t>
        </is>
      </c>
      <c r="N498" s="139" t="n">
        <v>16</v>
      </c>
      <c r="O498" s="145" t="n">
        <v>2</v>
      </c>
      <c r="P498" s="141" t="n">
        <v>18</v>
      </c>
      <c r="Q498" s="136" t="inlineStr">
        <is>
          <t>CONTROL</t>
        </is>
      </c>
      <c r="R498" s="136" t="inlineStr">
        <is>
          <t>OTROS/VERIFICAR</t>
        </is>
      </c>
    </row>
    <row r="499">
      <c r="A499" s="14" t="inlineStr">
        <is>
          <t>C-M-14018B</t>
        </is>
      </c>
      <c r="B499" s="14" t="inlineStr">
        <is>
          <t>102-CCM-005</t>
        </is>
      </c>
      <c r="C499" s="14" t="inlineStr">
        <is>
          <t>M-14018B</t>
        </is>
      </c>
      <c r="D499" s="14" t="inlineStr">
        <is>
          <t>110</t>
        </is>
      </c>
      <c r="E499" s="14" t="inlineStr">
        <is>
          <t>150</t>
        </is>
      </c>
      <c r="F499" s="14" t="inlineStr">
        <is>
          <t>1kV-XLPE-Arm-T-CU</t>
        </is>
      </c>
      <c r="G499" s="14" t="inlineStr">
        <is>
          <t>7x2,5+T</t>
        </is>
      </c>
      <c r="H499" s="14" t="inlineStr">
        <is>
          <t>GLYCOL PUMPS - PUMP "B" - Area 140</t>
        </is>
      </c>
      <c r="I499" s="14" t="inlineStr"/>
      <c r="J499" s="14" t="inlineStr">
        <is>
          <t>CONTROL</t>
        </is>
      </c>
      <c r="K499" s="14" t="inlineStr">
        <is>
          <t>CPF2</t>
        </is>
      </c>
      <c r="L499" s="137" t="n">
        <v>8</v>
      </c>
      <c r="M499" s="144" t="inlineStr">
        <is>
          <t>SI</t>
        </is>
      </c>
      <c r="N499" s="139" t="n">
        <v>16</v>
      </c>
      <c r="O499" s="145" t="n">
        <v>2</v>
      </c>
      <c r="P499" s="141" t="n">
        <v>18</v>
      </c>
      <c r="Q499" s="136" t="inlineStr">
        <is>
          <t>CONTROL</t>
        </is>
      </c>
      <c r="R499" s="136" t="inlineStr">
        <is>
          <t>OTROS/VERIFICAR</t>
        </is>
      </c>
    </row>
    <row r="500">
      <c r="A500" s="14" t="inlineStr">
        <is>
          <t>C-M-14020A</t>
        </is>
      </c>
      <c r="B500" s="14" t="inlineStr">
        <is>
          <t>102-CCM-005</t>
        </is>
      </c>
      <c r="C500" s="14" t="inlineStr">
        <is>
          <t>M-14020A</t>
        </is>
      </c>
      <c r="D500" s="14" t="inlineStr">
        <is>
          <t>110</t>
        </is>
      </c>
      <c r="E500" s="14" t="inlineStr">
        <is>
          <t>150</t>
        </is>
      </c>
      <c r="F500" s="14" t="inlineStr">
        <is>
          <t>1kV-XLPE-Arm-T-CU</t>
        </is>
      </c>
      <c r="G500" s="14" t="inlineStr">
        <is>
          <t>7x2,5+T</t>
        </is>
      </c>
      <c r="H500" s="14" t="inlineStr">
        <is>
          <t>REGEN GAS AIR COOLER - Area 140</t>
        </is>
      </c>
      <c r="I500" s="14" t="inlineStr"/>
      <c r="J500" s="14" t="inlineStr">
        <is>
          <t>CONTROL</t>
        </is>
      </c>
      <c r="K500" s="14" t="inlineStr">
        <is>
          <t>CPF2</t>
        </is>
      </c>
      <c r="L500" s="137" t="n">
        <v>8</v>
      </c>
      <c r="M500" s="144" t="inlineStr">
        <is>
          <t>SI</t>
        </is>
      </c>
      <c r="N500" s="139" t="n">
        <v>16</v>
      </c>
      <c r="O500" s="145" t="n">
        <v>2</v>
      </c>
      <c r="P500" s="141" t="n">
        <v>18</v>
      </c>
      <c r="Q500" s="136" t="inlineStr">
        <is>
          <t>CONTROL</t>
        </is>
      </c>
      <c r="R500" s="136" t="inlineStr">
        <is>
          <t>OTROS/VERIFICAR</t>
        </is>
      </c>
    </row>
    <row r="501">
      <c r="A501" s="14" t="inlineStr">
        <is>
          <t>C-M-14020B</t>
        </is>
      </c>
      <c r="B501" s="14" t="inlineStr">
        <is>
          <t>102-CCM-005</t>
        </is>
      </c>
      <c r="C501" s="14" t="inlineStr">
        <is>
          <t>M-14020B</t>
        </is>
      </c>
      <c r="D501" s="14" t="inlineStr">
        <is>
          <t>110</t>
        </is>
      </c>
      <c r="E501" s="14" t="inlineStr">
        <is>
          <t>150</t>
        </is>
      </c>
      <c r="F501" s="14" t="inlineStr">
        <is>
          <t>1kV-XLPE-Arm-T-CU</t>
        </is>
      </c>
      <c r="G501" s="14" t="inlineStr">
        <is>
          <t>7x2,5+T</t>
        </is>
      </c>
      <c r="H501" s="14" t="inlineStr">
        <is>
          <t>REGEN WATER PUMPS - PUMP "A" - Area 140</t>
        </is>
      </c>
      <c r="I501" s="14" t="inlineStr"/>
      <c r="J501" s="14" t="inlineStr">
        <is>
          <t>CONTROL</t>
        </is>
      </c>
      <c r="K501" s="14" t="inlineStr">
        <is>
          <t>CPF2</t>
        </is>
      </c>
      <c r="L501" s="137" t="n">
        <v>8</v>
      </c>
      <c r="M501" s="144" t="inlineStr">
        <is>
          <t>SI</t>
        </is>
      </c>
      <c r="N501" s="139" t="n">
        <v>16</v>
      </c>
      <c r="O501" s="145" t="n">
        <v>2</v>
      </c>
      <c r="P501" s="141" t="n">
        <v>18</v>
      </c>
      <c r="Q501" s="136" t="inlineStr">
        <is>
          <t>CONTROL</t>
        </is>
      </c>
      <c r="R501" s="136" t="inlineStr">
        <is>
          <t>OTROS/VERIFICAR</t>
        </is>
      </c>
    </row>
    <row r="502">
      <c r="A502" s="14" t="inlineStr">
        <is>
          <t>C-M-26005A</t>
        </is>
      </c>
      <c r="B502" s="14" t="inlineStr">
        <is>
          <t>102-CCM-005</t>
        </is>
      </c>
      <c r="C502" s="14" t="inlineStr">
        <is>
          <t>M-26005A</t>
        </is>
      </c>
      <c r="D502" s="14" t="inlineStr">
        <is>
          <t>110</t>
        </is>
      </c>
      <c r="E502" s="14" t="inlineStr">
        <is>
          <t>150</t>
        </is>
      </c>
      <c r="F502" s="14" t="inlineStr">
        <is>
          <t>1kV-XLPE-Arm-T-CU</t>
        </is>
      </c>
      <c r="G502" s="14" t="inlineStr">
        <is>
          <t>7x2,5+T</t>
        </is>
      </c>
      <c r="H502" s="14" t="inlineStr">
        <is>
          <t>REGEN WATER PUMPS - PUMP "B" - Area 140</t>
        </is>
      </c>
      <c r="I502" s="14" t="inlineStr"/>
      <c r="J502" s="14" t="inlineStr">
        <is>
          <t>CONTROL</t>
        </is>
      </c>
      <c r="K502" s="14" t="inlineStr">
        <is>
          <t>CPF2</t>
        </is>
      </c>
      <c r="L502" s="137" t="n">
        <v>8</v>
      </c>
      <c r="M502" s="144" t="inlineStr">
        <is>
          <t>SI</t>
        </is>
      </c>
      <c r="N502" s="139" t="n">
        <v>16</v>
      </c>
      <c r="O502" s="145" t="n">
        <v>2</v>
      </c>
      <c r="P502" s="141" t="n">
        <v>18</v>
      </c>
      <c r="Q502" s="136" t="inlineStr">
        <is>
          <t>CONTROL</t>
        </is>
      </c>
      <c r="R502" s="136" t="inlineStr">
        <is>
          <t>OTROS/VERIFICAR</t>
        </is>
      </c>
    </row>
    <row r="503">
      <c r="A503" s="14" t="inlineStr">
        <is>
          <t>C-M-26005B</t>
        </is>
      </c>
      <c r="B503" s="14" t="inlineStr">
        <is>
          <t>102-CCM-005</t>
        </is>
      </c>
      <c r="C503" s="14" t="inlineStr">
        <is>
          <t>M-26005B</t>
        </is>
      </c>
      <c r="D503" s="14" t="inlineStr">
        <is>
          <t>110</t>
        </is>
      </c>
      <c r="E503" s="14" t="inlineStr">
        <is>
          <t>150</t>
        </is>
      </c>
      <c r="F503" s="14" t="inlineStr">
        <is>
          <t>1kV-XLPE-Arm-T-CU</t>
        </is>
      </c>
      <c r="G503" s="14" t="inlineStr">
        <is>
          <t>7x2,5+T</t>
        </is>
      </c>
      <c r="H503" s="14" t="inlineStr">
        <is>
          <t>WATER WASH RECYCLE PUMP "A" - Area 260</t>
        </is>
      </c>
      <c r="I503" s="14" t="inlineStr"/>
      <c r="J503" s="14" t="inlineStr">
        <is>
          <t>CONTROL</t>
        </is>
      </c>
      <c r="K503" s="14" t="inlineStr">
        <is>
          <t>CPF2</t>
        </is>
      </c>
      <c r="L503" s="137" t="n">
        <v>8</v>
      </c>
      <c r="M503" s="144" t="inlineStr">
        <is>
          <t>SI</t>
        </is>
      </c>
      <c r="N503" s="139" t="n">
        <v>16</v>
      </c>
      <c r="O503" s="145" t="n">
        <v>2</v>
      </c>
      <c r="P503" s="141" t="n">
        <v>18</v>
      </c>
      <c r="Q503" s="136" t="inlineStr">
        <is>
          <t>CONTROL</t>
        </is>
      </c>
      <c r="R503" s="136" t="inlineStr">
        <is>
          <t>OTROS/VERIFICAR</t>
        </is>
      </c>
    </row>
    <row r="504">
      <c r="A504" s="14" t="inlineStr">
        <is>
          <t>C-M-26011A</t>
        </is>
      </c>
      <c r="B504" s="14" t="inlineStr">
        <is>
          <t>102-CCM-005</t>
        </is>
      </c>
      <c r="C504" s="14" t="inlineStr">
        <is>
          <t>M-26011A</t>
        </is>
      </c>
      <c r="D504" s="14" t="inlineStr">
        <is>
          <t>110</t>
        </is>
      </c>
      <c r="E504" s="14" t="inlineStr">
        <is>
          <t>150</t>
        </is>
      </c>
      <c r="F504" s="14" t="inlineStr">
        <is>
          <t>1kV-XLPE-Arm-T-CU</t>
        </is>
      </c>
      <c r="G504" s="14" t="inlineStr">
        <is>
          <t>7x2,5+T</t>
        </is>
      </c>
      <c r="H504" s="14" t="inlineStr">
        <is>
          <t>WATER WASH RECYCLE PUMP "B" - Area 260</t>
        </is>
      </c>
      <c r="I504" s="14" t="inlineStr"/>
      <c r="J504" s="14" t="inlineStr">
        <is>
          <t>CONTROL</t>
        </is>
      </c>
      <c r="K504" s="14" t="inlineStr">
        <is>
          <t>CPF2</t>
        </is>
      </c>
      <c r="L504" s="137" t="n">
        <v>8</v>
      </c>
      <c r="M504" s="144" t="inlineStr">
        <is>
          <t>SI</t>
        </is>
      </c>
      <c r="N504" s="139" t="n">
        <v>16</v>
      </c>
      <c r="O504" s="145" t="n">
        <v>2</v>
      </c>
      <c r="P504" s="141" t="n">
        <v>18</v>
      </c>
      <c r="Q504" s="136" t="inlineStr">
        <is>
          <t>CONTROL</t>
        </is>
      </c>
      <c r="R504" s="136" t="inlineStr">
        <is>
          <t>OTROS/VERIFICAR</t>
        </is>
      </c>
    </row>
    <row r="505">
      <c r="A505" s="14" t="inlineStr">
        <is>
          <t>C-M-26011B</t>
        </is>
      </c>
      <c r="B505" s="14" t="inlineStr">
        <is>
          <t>102-CCM-005</t>
        </is>
      </c>
      <c r="C505" s="14" t="inlineStr">
        <is>
          <t>M-26011B</t>
        </is>
      </c>
      <c r="D505" s="14" t="inlineStr">
        <is>
          <t>110</t>
        </is>
      </c>
      <c r="E505" s="14" t="inlineStr">
        <is>
          <t>150</t>
        </is>
      </c>
      <c r="F505" s="14" t="inlineStr">
        <is>
          <t>1kV-XLPE-Arm-T-CU</t>
        </is>
      </c>
      <c r="G505" s="14" t="inlineStr">
        <is>
          <t>7x2,5+T</t>
        </is>
      </c>
      <c r="H505" s="14" t="inlineStr">
        <is>
          <t>CONDENSATE COOLER - Area 260</t>
        </is>
      </c>
      <c r="I505" s="14" t="inlineStr"/>
      <c r="J505" s="14" t="inlineStr">
        <is>
          <t>CONTROL</t>
        </is>
      </c>
      <c r="K505" s="14" t="inlineStr">
        <is>
          <t>CPF2</t>
        </is>
      </c>
      <c r="L505" s="137" t="n">
        <v>8</v>
      </c>
      <c r="M505" s="144" t="inlineStr">
        <is>
          <t>SI</t>
        </is>
      </c>
      <c r="N505" s="139" t="n">
        <v>16</v>
      </c>
      <c r="O505" s="145" t="n">
        <v>2</v>
      </c>
      <c r="P505" s="141" t="n">
        <v>18</v>
      </c>
      <c r="Q505" s="136" t="inlineStr">
        <is>
          <t>CONTROL</t>
        </is>
      </c>
      <c r="R505" s="136" t="inlineStr">
        <is>
          <t>OTROS/VERIFICAR</t>
        </is>
      </c>
    </row>
    <row r="506">
      <c r="A506" s="14" t="inlineStr">
        <is>
          <t>C-M-26012</t>
        </is>
      </c>
      <c r="B506" s="14" t="inlineStr">
        <is>
          <t>102-CCM-005</t>
        </is>
      </c>
      <c r="C506" s="14" t="inlineStr">
        <is>
          <t>M-26012</t>
        </is>
      </c>
      <c r="D506" s="14" t="inlineStr">
        <is>
          <t>110</t>
        </is>
      </c>
      <c r="E506" s="14" t="inlineStr">
        <is>
          <t>150</t>
        </is>
      </c>
      <c r="F506" s="14" t="inlineStr">
        <is>
          <t>1kV-XLPE-Arm-T-CU</t>
        </is>
      </c>
      <c r="G506" s="14" t="inlineStr">
        <is>
          <t>7x2,5+T</t>
        </is>
      </c>
      <c r="H506" s="14" t="inlineStr">
        <is>
          <t>CONDENSATE COOLER - Area 260</t>
        </is>
      </c>
      <c r="I506" s="14" t="inlineStr"/>
      <c r="J506" s="14" t="inlineStr">
        <is>
          <t>CONTROL</t>
        </is>
      </c>
      <c r="K506" s="14" t="inlineStr">
        <is>
          <t>CPF2</t>
        </is>
      </c>
      <c r="L506" s="137" t="n">
        <v>8</v>
      </c>
      <c r="M506" s="144" t="inlineStr">
        <is>
          <t>SI</t>
        </is>
      </c>
      <c r="N506" s="139" t="n">
        <v>16</v>
      </c>
      <c r="O506" s="145" t="n">
        <v>2</v>
      </c>
      <c r="P506" s="141" t="n">
        <v>18</v>
      </c>
      <c r="Q506" s="136" t="inlineStr">
        <is>
          <t>CONTROL</t>
        </is>
      </c>
      <c r="R506" s="136" t="inlineStr">
        <is>
          <t>OTROS/VERIFICAR</t>
        </is>
      </c>
    </row>
    <row r="507">
      <c r="A507" s="14" t="inlineStr">
        <is>
          <t>C-M-29002A</t>
        </is>
      </c>
      <c r="B507" s="14" t="inlineStr">
        <is>
          <t>102-CCM-005</t>
        </is>
      </c>
      <c r="C507" s="14" t="inlineStr">
        <is>
          <t>M-29002A</t>
        </is>
      </c>
      <c r="D507" s="14" t="inlineStr">
        <is>
          <t>110</t>
        </is>
      </c>
      <c r="E507" s="14" t="inlineStr">
        <is>
          <t>200</t>
        </is>
      </c>
      <c r="F507" s="14" t="inlineStr">
        <is>
          <t>1kV-XLPE-Arm-T-CU</t>
        </is>
      </c>
      <c r="G507" s="14" t="inlineStr">
        <is>
          <t>7x2,5+T</t>
        </is>
      </c>
      <c r="H507" s="14" t="inlineStr">
        <is>
          <t>CONDENSATE RECYCLE PUMP - Area 260</t>
        </is>
      </c>
      <c r="I507" s="14" t="inlineStr">
        <is>
          <t>Off Gas Common Suction Drum Pump A-Area 290 0</t>
        </is>
      </c>
      <c r="J507" s="14" t="inlineStr">
        <is>
          <t>CONTROL</t>
        </is>
      </c>
      <c r="K507" s="14" t="inlineStr">
        <is>
          <t>CPF2</t>
        </is>
      </c>
      <c r="L507" s="137" t="n">
        <v>8</v>
      </c>
      <c r="M507" s="144" t="inlineStr">
        <is>
          <t>SI</t>
        </is>
      </c>
      <c r="N507" s="139" t="n">
        <v>16</v>
      </c>
      <c r="O507" s="145" t="n">
        <v>2</v>
      </c>
      <c r="P507" s="141" t="n">
        <v>18</v>
      </c>
      <c r="Q507" s="136" t="inlineStr">
        <is>
          <t>CONTROL</t>
        </is>
      </c>
      <c r="R507" s="136" t="inlineStr">
        <is>
          <t>MOTOR/ACCIONAMIENTO</t>
        </is>
      </c>
    </row>
    <row r="508">
      <c r="A508" s="14" t="inlineStr">
        <is>
          <t>C-M-29002B</t>
        </is>
      </c>
      <c r="B508" s="14" t="inlineStr">
        <is>
          <t>102-CCM-005</t>
        </is>
      </c>
      <c r="C508" s="14" t="inlineStr">
        <is>
          <t>M-29002B</t>
        </is>
      </c>
      <c r="D508" s="14" t="inlineStr">
        <is>
          <t>110</t>
        </is>
      </c>
      <c r="E508" s="14" t="inlineStr">
        <is>
          <t>200</t>
        </is>
      </c>
      <c r="F508" s="14" t="inlineStr">
        <is>
          <t>1kV-XLPE-Arm-T-CU</t>
        </is>
      </c>
      <c r="G508" s="14" t="inlineStr">
        <is>
          <t>7x2,5+T</t>
        </is>
      </c>
      <c r="H508" s="14" t="inlineStr">
        <is>
          <t>CONDENSATE RECYCLE PUMP - Area 260</t>
        </is>
      </c>
      <c r="I508" s="14" t="inlineStr">
        <is>
          <t>Off Gas Common Suction Drum Pump B-Area 290 0</t>
        </is>
      </c>
      <c r="J508" s="14" t="inlineStr">
        <is>
          <t>CONTROL</t>
        </is>
      </c>
      <c r="K508" s="14" t="inlineStr">
        <is>
          <t>CPF2</t>
        </is>
      </c>
      <c r="L508" s="137" t="n">
        <v>8</v>
      </c>
      <c r="M508" s="144" t="inlineStr">
        <is>
          <t>SI</t>
        </is>
      </c>
      <c r="N508" s="139" t="n">
        <v>16</v>
      </c>
      <c r="O508" s="145" t="n">
        <v>2</v>
      </c>
      <c r="P508" s="141" t="n">
        <v>18</v>
      </c>
      <c r="Q508" s="136" t="inlineStr">
        <is>
          <t>CONTROL</t>
        </is>
      </c>
      <c r="R508" s="136" t="inlineStr">
        <is>
          <t>MOTOR/ACCIONAMIENTO</t>
        </is>
      </c>
    </row>
    <row r="509">
      <c r="A509" s="14" t="inlineStr">
        <is>
          <t>C-M-29112A</t>
        </is>
      </c>
      <c r="B509" s="14" t="inlineStr">
        <is>
          <t>102-CCM-005</t>
        </is>
      </c>
      <c r="C509" s="14" t="inlineStr">
        <is>
          <t>M-29112A</t>
        </is>
      </c>
      <c r="D509" s="14" t="inlineStr">
        <is>
          <t>110</t>
        </is>
      </c>
      <c r="E509" s="14" t="inlineStr">
        <is>
          <t>180</t>
        </is>
      </c>
      <c r="F509" s="14" t="inlineStr">
        <is>
          <t>1kV-XLPE-Arm-T-CU</t>
        </is>
      </c>
      <c r="G509" s="14" t="inlineStr">
        <is>
          <t>7x2,5+T</t>
        </is>
      </c>
      <c r="H509" s="14" t="inlineStr">
        <is>
          <t>CONDENSATE RECYCLE PUMP - Area 260</t>
        </is>
      </c>
      <c r="I509" s="14" t="inlineStr"/>
      <c r="J509" s="14" t="inlineStr">
        <is>
          <t>CONTROL</t>
        </is>
      </c>
      <c r="K509" s="14" t="inlineStr">
        <is>
          <t>CPF2</t>
        </is>
      </c>
      <c r="L509" s="137" t="n">
        <v>8</v>
      </c>
      <c r="M509" s="144" t="inlineStr">
        <is>
          <t>SI</t>
        </is>
      </c>
      <c r="N509" s="139" t="n">
        <v>16</v>
      </c>
      <c r="O509" s="145" t="n">
        <v>2</v>
      </c>
      <c r="P509" s="141" t="n">
        <v>18</v>
      </c>
      <c r="Q509" s="136" t="inlineStr">
        <is>
          <t>CONTROL</t>
        </is>
      </c>
      <c r="R509" s="136" t="inlineStr">
        <is>
          <t>OTROS/VERIFICAR</t>
        </is>
      </c>
    </row>
    <row r="510">
      <c r="A510" s="14" t="inlineStr">
        <is>
          <t>C-M-29112B</t>
        </is>
      </c>
      <c r="B510" s="14" t="inlineStr">
        <is>
          <t>102-CCM-005</t>
        </is>
      </c>
      <c r="C510" s="14" t="inlineStr">
        <is>
          <t>M-29112B</t>
        </is>
      </c>
      <c r="D510" s="14" t="inlineStr">
        <is>
          <t>110</t>
        </is>
      </c>
      <c r="E510" s="14" t="inlineStr">
        <is>
          <t>180</t>
        </is>
      </c>
      <c r="F510" s="14" t="inlineStr">
        <is>
          <t>1kV-XLPE-Arm-T-CU</t>
        </is>
      </c>
      <c r="G510" s="14" t="inlineStr">
        <is>
          <t>7x2,5+T</t>
        </is>
      </c>
      <c r="H510" s="14" t="inlineStr">
        <is>
          <t>Off Gas 1St Stage intercooler - Área 291</t>
        </is>
      </c>
      <c r="I510" s="14" t="inlineStr"/>
      <c r="J510" s="14" t="inlineStr">
        <is>
          <t>CONTROL</t>
        </is>
      </c>
      <c r="K510" s="14" t="inlineStr">
        <is>
          <t>CPF2</t>
        </is>
      </c>
      <c r="L510" s="137" t="n">
        <v>8</v>
      </c>
      <c r="M510" s="144" t="inlineStr">
        <is>
          <t>SI</t>
        </is>
      </c>
      <c r="N510" s="139" t="n">
        <v>16</v>
      </c>
      <c r="O510" s="145" t="n">
        <v>2</v>
      </c>
      <c r="P510" s="141" t="n">
        <v>18</v>
      </c>
      <c r="Q510" s="136" t="inlineStr">
        <is>
          <t>CONTROL</t>
        </is>
      </c>
      <c r="R510" s="136" t="inlineStr">
        <is>
          <t>OTROS/VERIFICAR</t>
        </is>
      </c>
    </row>
    <row r="511">
      <c r="A511" s="14" t="inlineStr">
        <is>
          <t>C-M-29132A</t>
        </is>
      </c>
      <c r="B511" s="14" t="inlineStr">
        <is>
          <t>102-CCM-005</t>
        </is>
      </c>
      <c r="C511" s="14" t="inlineStr">
        <is>
          <t>M-29132A</t>
        </is>
      </c>
      <c r="D511" s="14" t="inlineStr">
        <is>
          <t>110</t>
        </is>
      </c>
      <c r="E511" s="14" t="inlineStr">
        <is>
          <t>180</t>
        </is>
      </c>
      <c r="F511" s="14" t="inlineStr">
        <is>
          <t>1kV-XLPE-Arm-T-CU</t>
        </is>
      </c>
      <c r="G511" s="14" t="inlineStr">
        <is>
          <t>7x2,5+T</t>
        </is>
      </c>
      <c r="H511" s="14" t="inlineStr">
        <is>
          <t>Off Gas 2St Stage intercooler - Área 291</t>
        </is>
      </c>
      <c r="I511" s="14" t="inlineStr"/>
      <c r="J511" s="14" t="inlineStr">
        <is>
          <t>CONTROL</t>
        </is>
      </c>
      <c r="K511" s="14" t="inlineStr">
        <is>
          <t>CPF2</t>
        </is>
      </c>
      <c r="L511" s="137" t="n">
        <v>8</v>
      </c>
      <c r="M511" s="144" t="inlineStr">
        <is>
          <t>SI</t>
        </is>
      </c>
      <c r="N511" s="139" t="n">
        <v>16</v>
      </c>
      <c r="O511" s="145" t="n">
        <v>2</v>
      </c>
      <c r="P511" s="141" t="n">
        <v>18</v>
      </c>
      <c r="Q511" s="136" t="inlineStr">
        <is>
          <t>CONTROL</t>
        </is>
      </c>
      <c r="R511" s="136" t="inlineStr">
        <is>
          <t>OTROS/VERIFICAR</t>
        </is>
      </c>
    </row>
    <row r="512">
      <c r="A512" s="14" t="inlineStr">
        <is>
          <t>C-M-29132B</t>
        </is>
      </c>
      <c r="B512" s="14" t="inlineStr">
        <is>
          <t>102-CCM-005</t>
        </is>
      </c>
      <c r="C512" s="14" t="inlineStr">
        <is>
          <t>M-29132B</t>
        </is>
      </c>
      <c r="D512" s="14" t="inlineStr">
        <is>
          <t>110</t>
        </is>
      </c>
      <c r="E512" s="14" t="inlineStr">
        <is>
          <t>180</t>
        </is>
      </c>
      <c r="F512" s="14" t="inlineStr">
        <is>
          <t>1kV-XLPE-Arm-T-CU</t>
        </is>
      </c>
      <c r="G512" s="14" t="inlineStr">
        <is>
          <t>7x2,5+T</t>
        </is>
      </c>
      <c r="H512" s="14" t="inlineStr">
        <is>
          <t>Sales Gas Compressor Cooler Fan A - Área 291</t>
        </is>
      </c>
      <c r="I512" s="14" t="inlineStr"/>
      <c r="J512" s="14" t="inlineStr">
        <is>
          <t>CONTROL</t>
        </is>
      </c>
      <c r="K512" s="14" t="inlineStr">
        <is>
          <t>CPF2</t>
        </is>
      </c>
      <c r="L512" s="137" t="n">
        <v>8</v>
      </c>
      <c r="M512" s="144" t="inlineStr">
        <is>
          <t>SI</t>
        </is>
      </c>
      <c r="N512" s="139" t="n">
        <v>16</v>
      </c>
      <c r="O512" s="145" t="n">
        <v>2</v>
      </c>
      <c r="P512" s="141" t="n">
        <v>18</v>
      </c>
      <c r="Q512" s="136" t="inlineStr">
        <is>
          <t>CONTROL</t>
        </is>
      </c>
      <c r="R512" s="136" t="inlineStr">
        <is>
          <t>OTROS/VERIFICAR</t>
        </is>
      </c>
    </row>
    <row r="513">
      <c r="A513" s="14" t="inlineStr">
        <is>
          <t>C-M-29185</t>
        </is>
      </c>
      <c r="B513" s="14" t="inlineStr">
        <is>
          <t>102-CCM-005</t>
        </is>
      </c>
      <c r="C513" s="14" t="inlineStr">
        <is>
          <t>M-29185</t>
        </is>
      </c>
      <c r="D513" s="14" t="inlineStr">
        <is>
          <t>110</t>
        </is>
      </c>
      <c r="E513" s="14" t="inlineStr">
        <is>
          <t>180</t>
        </is>
      </c>
      <c r="F513" s="14" t="inlineStr">
        <is>
          <t>1kV-XLPE-Arm-T-CU</t>
        </is>
      </c>
      <c r="G513" s="14" t="inlineStr">
        <is>
          <t>7x2,5+T</t>
        </is>
      </c>
      <c r="H513" s="14" t="inlineStr">
        <is>
          <t>Sales Gas Compressor Cooler Fan B  - Área 291</t>
        </is>
      </c>
      <c r="I513" s="14" t="inlineStr"/>
      <c r="J513" s="14" t="inlineStr">
        <is>
          <t>CONTROL</t>
        </is>
      </c>
      <c r="K513" s="14" t="inlineStr">
        <is>
          <t>CPF2</t>
        </is>
      </c>
      <c r="L513" s="137" t="n">
        <v>8</v>
      </c>
      <c r="M513" s="144" t="inlineStr">
        <is>
          <t>SI</t>
        </is>
      </c>
      <c r="N513" s="139" t="n">
        <v>16</v>
      </c>
      <c r="O513" s="145" t="n">
        <v>2</v>
      </c>
      <c r="P513" s="141" t="n">
        <v>18</v>
      </c>
      <c r="Q513" s="136" t="inlineStr">
        <is>
          <t>CONTROL</t>
        </is>
      </c>
      <c r="R513" s="136" t="inlineStr">
        <is>
          <t>OTROS/VERIFICAR</t>
        </is>
      </c>
    </row>
    <row r="514">
      <c r="A514" s="14" t="inlineStr">
        <is>
          <t>C-M-29186</t>
        </is>
      </c>
      <c r="B514" s="14" t="inlineStr">
        <is>
          <t>102-CCM-005</t>
        </is>
      </c>
      <c r="C514" s="14" t="inlineStr">
        <is>
          <t>M-29186</t>
        </is>
      </c>
      <c r="D514" s="14" t="inlineStr">
        <is>
          <t>110</t>
        </is>
      </c>
      <c r="E514" s="14" t="inlineStr">
        <is>
          <t>180</t>
        </is>
      </c>
      <c r="F514" s="14" t="inlineStr">
        <is>
          <t>1kV-XLPE-Arm-T-CU</t>
        </is>
      </c>
      <c r="G514" s="14" t="inlineStr">
        <is>
          <t>7x2,5+T</t>
        </is>
      </c>
      <c r="H514" s="14" t="inlineStr">
        <is>
          <t>Engine Aux Water Cooler Fan  - Área 291</t>
        </is>
      </c>
      <c r="I514" s="14" t="inlineStr"/>
      <c r="J514" s="14" t="inlineStr">
        <is>
          <t>CONTROL</t>
        </is>
      </c>
      <c r="K514" s="14" t="inlineStr">
        <is>
          <t>CPF2</t>
        </is>
      </c>
      <c r="L514" s="137" t="n">
        <v>8</v>
      </c>
      <c r="M514" s="144" t="inlineStr">
        <is>
          <t>SI</t>
        </is>
      </c>
      <c r="N514" s="139" t="n">
        <v>16</v>
      </c>
      <c r="O514" s="145" t="n">
        <v>2</v>
      </c>
      <c r="P514" s="141" t="n">
        <v>18</v>
      </c>
      <c r="Q514" s="136" t="inlineStr">
        <is>
          <t>CONTROL</t>
        </is>
      </c>
      <c r="R514" s="136" t="inlineStr">
        <is>
          <t>OTROS/VERIFICAR</t>
        </is>
      </c>
    </row>
    <row r="515">
      <c r="A515" s="14" t="inlineStr">
        <is>
          <t>C-M-29212A</t>
        </is>
      </c>
      <c r="B515" s="14" t="inlineStr">
        <is>
          <t>102-CCM-005</t>
        </is>
      </c>
      <c r="C515" s="14" t="inlineStr">
        <is>
          <t>M-29212A</t>
        </is>
      </c>
      <c r="D515" s="14" t="inlineStr">
        <is>
          <t>110</t>
        </is>
      </c>
      <c r="E515" s="14" t="inlineStr">
        <is>
          <t>160</t>
        </is>
      </c>
      <c r="F515" s="14" t="inlineStr">
        <is>
          <t>1kV-XLPE-Arm-T-CU</t>
        </is>
      </c>
      <c r="G515" s="14" t="inlineStr">
        <is>
          <t>7x2,5+T</t>
        </is>
      </c>
      <c r="H515" s="14" t="inlineStr">
        <is>
          <t>Engine Jacket Water Cooler Fan - Área 291</t>
        </is>
      </c>
      <c r="I515" s="14" t="inlineStr"/>
      <c r="J515" s="14" t="inlineStr">
        <is>
          <t>CONTROL</t>
        </is>
      </c>
      <c r="K515" s="14" t="inlineStr">
        <is>
          <t>CPF2</t>
        </is>
      </c>
      <c r="L515" s="137" t="n">
        <v>8</v>
      </c>
      <c r="M515" s="144" t="inlineStr">
        <is>
          <t>SI</t>
        </is>
      </c>
      <c r="N515" s="139" t="n">
        <v>16</v>
      </c>
      <c r="O515" s="145" t="n">
        <v>2</v>
      </c>
      <c r="P515" s="141" t="n">
        <v>18</v>
      </c>
      <c r="Q515" s="136" t="inlineStr">
        <is>
          <t>CONTROL</t>
        </is>
      </c>
      <c r="R515" s="136" t="inlineStr">
        <is>
          <t>OTROS/VERIFICAR</t>
        </is>
      </c>
    </row>
    <row r="516">
      <c r="A516" s="14" t="inlineStr">
        <is>
          <t>C-M-29212B</t>
        </is>
      </c>
      <c r="B516" s="14" t="inlineStr">
        <is>
          <t>102-CCM-005</t>
        </is>
      </c>
      <c r="C516" s="14" t="inlineStr">
        <is>
          <t>M-29212B</t>
        </is>
      </c>
      <c r="D516" s="14" t="inlineStr">
        <is>
          <t>110</t>
        </is>
      </c>
      <c r="E516" s="14" t="inlineStr">
        <is>
          <t>160</t>
        </is>
      </c>
      <c r="F516" s="14" t="inlineStr">
        <is>
          <t>1kV-XLPE-Arm-T-CU</t>
        </is>
      </c>
      <c r="G516" s="14" t="inlineStr">
        <is>
          <t>7x2,5+T</t>
        </is>
      </c>
      <c r="H516" s="14" t="inlineStr">
        <is>
          <t>Off Gas 1St Stage intercooler - Área 292</t>
        </is>
      </c>
      <c r="I516" s="14" t="inlineStr"/>
      <c r="J516" s="14" t="inlineStr">
        <is>
          <t>CONTROL</t>
        </is>
      </c>
      <c r="K516" s="14" t="inlineStr">
        <is>
          <t>CPF2</t>
        </is>
      </c>
      <c r="L516" s="137" t="n">
        <v>8</v>
      </c>
      <c r="M516" s="144" t="inlineStr">
        <is>
          <t>SI</t>
        </is>
      </c>
      <c r="N516" s="139" t="n">
        <v>16</v>
      </c>
      <c r="O516" s="145" t="n">
        <v>2</v>
      </c>
      <c r="P516" s="141" t="n">
        <v>18</v>
      </c>
      <c r="Q516" s="136" t="inlineStr">
        <is>
          <t>CONTROL</t>
        </is>
      </c>
      <c r="R516" s="136" t="inlineStr">
        <is>
          <t>OTROS/VERIFICAR</t>
        </is>
      </c>
    </row>
    <row r="517">
      <c r="A517" s="14" t="inlineStr">
        <is>
          <t>C-M-29232A</t>
        </is>
      </c>
      <c r="B517" s="14" t="inlineStr">
        <is>
          <t>102-CCM-005</t>
        </is>
      </c>
      <c r="C517" s="14" t="inlineStr">
        <is>
          <t>M-29232A</t>
        </is>
      </c>
      <c r="D517" s="14" t="inlineStr">
        <is>
          <t>110</t>
        </is>
      </c>
      <c r="E517" s="14" t="inlineStr">
        <is>
          <t>160</t>
        </is>
      </c>
      <c r="F517" s="14" t="inlineStr">
        <is>
          <t>1kV-XLPE-Arm-T-CU</t>
        </is>
      </c>
      <c r="G517" s="14" t="inlineStr">
        <is>
          <t>7x2,5+T</t>
        </is>
      </c>
      <c r="H517" s="14" t="inlineStr">
        <is>
          <t>Off Gas 2St Stage intercooler - Área 292</t>
        </is>
      </c>
      <c r="I517" s="14" t="inlineStr"/>
      <c r="J517" s="14" t="inlineStr">
        <is>
          <t>CONTROL</t>
        </is>
      </c>
      <c r="K517" s="14" t="inlineStr">
        <is>
          <t>CPF2</t>
        </is>
      </c>
      <c r="L517" s="137" t="n">
        <v>8</v>
      </c>
      <c r="M517" s="144" t="inlineStr">
        <is>
          <t>SI</t>
        </is>
      </c>
      <c r="N517" s="139" t="n">
        <v>16</v>
      </c>
      <c r="O517" s="145" t="n">
        <v>2</v>
      </c>
      <c r="P517" s="141" t="n">
        <v>18</v>
      </c>
      <c r="Q517" s="136" t="inlineStr">
        <is>
          <t>CONTROL</t>
        </is>
      </c>
      <c r="R517" s="136" t="inlineStr">
        <is>
          <t>OTROS/VERIFICAR</t>
        </is>
      </c>
    </row>
    <row r="518">
      <c r="A518" s="14" t="inlineStr">
        <is>
          <t>C-M-29232B</t>
        </is>
      </c>
      <c r="B518" s="14" t="inlineStr">
        <is>
          <t>102-CCM-005</t>
        </is>
      </c>
      <c r="C518" s="14" t="inlineStr">
        <is>
          <t>M-29232B</t>
        </is>
      </c>
      <c r="D518" s="14" t="inlineStr">
        <is>
          <t>110</t>
        </is>
      </c>
      <c r="E518" s="14" t="inlineStr">
        <is>
          <t>160</t>
        </is>
      </c>
      <c r="F518" s="14" t="inlineStr">
        <is>
          <t>1kV-XLPE-Arm-T-CU</t>
        </is>
      </c>
      <c r="G518" s="14" t="inlineStr">
        <is>
          <t>7x2,5+T</t>
        </is>
      </c>
      <c r="H518" s="14" t="inlineStr">
        <is>
          <t>Sales Gas Compressor Cooler Fan A - Área 292</t>
        </is>
      </c>
      <c r="I518" s="14" t="inlineStr"/>
      <c r="J518" s="14" t="inlineStr">
        <is>
          <t>CONTROL</t>
        </is>
      </c>
      <c r="K518" s="14" t="inlineStr">
        <is>
          <t>CPF2</t>
        </is>
      </c>
      <c r="L518" s="137" t="n">
        <v>8</v>
      </c>
      <c r="M518" s="144" t="inlineStr">
        <is>
          <t>SI</t>
        </is>
      </c>
      <c r="N518" s="139" t="n">
        <v>16</v>
      </c>
      <c r="O518" s="145" t="n">
        <v>2</v>
      </c>
      <c r="P518" s="141" t="n">
        <v>18</v>
      </c>
      <c r="Q518" s="136" t="inlineStr">
        <is>
          <t>CONTROL</t>
        </is>
      </c>
      <c r="R518" s="136" t="inlineStr">
        <is>
          <t>OTROS/VERIFICAR</t>
        </is>
      </c>
    </row>
    <row r="519">
      <c r="A519" s="14" t="inlineStr">
        <is>
          <t>C-M-29285</t>
        </is>
      </c>
      <c r="B519" s="14" t="inlineStr">
        <is>
          <t>102-CCM-005</t>
        </is>
      </c>
      <c r="C519" s="14" t="inlineStr">
        <is>
          <t>M-29285</t>
        </is>
      </c>
      <c r="D519" s="14" t="inlineStr">
        <is>
          <t>110</t>
        </is>
      </c>
      <c r="E519" s="14" t="inlineStr">
        <is>
          <t>160</t>
        </is>
      </c>
      <c r="F519" s="14" t="inlineStr">
        <is>
          <t>1kV-XLPE-Arm-T-CU</t>
        </is>
      </c>
      <c r="G519" s="14" t="inlineStr">
        <is>
          <t>7x2,5+T</t>
        </is>
      </c>
      <c r="H519" s="14" t="inlineStr">
        <is>
          <t>Sales Gas Compressor Cooler Fan B  - Área 292</t>
        </is>
      </c>
      <c r="I519" s="14" t="inlineStr"/>
      <c r="J519" s="14" t="inlineStr">
        <is>
          <t>CONTROL</t>
        </is>
      </c>
      <c r="K519" s="14" t="inlineStr">
        <is>
          <t>CPF2</t>
        </is>
      </c>
      <c r="L519" s="137" t="n">
        <v>8</v>
      </c>
      <c r="M519" s="144" t="inlineStr">
        <is>
          <t>SI</t>
        </is>
      </c>
      <c r="N519" s="139" t="n">
        <v>16</v>
      </c>
      <c r="O519" s="145" t="n">
        <v>2</v>
      </c>
      <c r="P519" s="141" t="n">
        <v>18</v>
      </c>
      <c r="Q519" s="136" t="inlineStr">
        <is>
          <t>CONTROL</t>
        </is>
      </c>
      <c r="R519" s="136" t="inlineStr">
        <is>
          <t>OTROS/VERIFICAR</t>
        </is>
      </c>
    </row>
    <row r="520">
      <c r="A520" s="14" t="inlineStr">
        <is>
          <t>C-M-29286</t>
        </is>
      </c>
      <c r="B520" s="14" t="inlineStr">
        <is>
          <t>102-CCM-005</t>
        </is>
      </c>
      <c r="C520" s="14" t="inlineStr">
        <is>
          <t>M-29286</t>
        </is>
      </c>
      <c r="D520" s="14" t="inlineStr">
        <is>
          <t>110</t>
        </is>
      </c>
      <c r="E520" s="14" t="inlineStr">
        <is>
          <t>160</t>
        </is>
      </c>
      <c r="F520" s="14" t="inlineStr">
        <is>
          <t>1kV-XLPE-Arm-T-CU</t>
        </is>
      </c>
      <c r="G520" s="14" t="inlineStr">
        <is>
          <t>7x2,5+T</t>
        </is>
      </c>
      <c r="H520" s="14" t="inlineStr">
        <is>
          <t>Engine Aux Water Cooler Fan  - Área 292</t>
        </is>
      </c>
      <c r="I520" s="14" t="inlineStr"/>
      <c r="J520" s="14" t="inlineStr">
        <is>
          <t>CONTROL</t>
        </is>
      </c>
      <c r="K520" s="14" t="inlineStr">
        <is>
          <t>CPF2</t>
        </is>
      </c>
      <c r="L520" s="137" t="n">
        <v>8</v>
      </c>
      <c r="M520" s="144" t="inlineStr">
        <is>
          <t>SI</t>
        </is>
      </c>
      <c r="N520" s="139" t="n">
        <v>16</v>
      </c>
      <c r="O520" s="145" t="n">
        <v>2</v>
      </c>
      <c r="P520" s="141" t="n">
        <v>18</v>
      </c>
      <c r="Q520" s="136" t="inlineStr">
        <is>
          <t>CONTROL</t>
        </is>
      </c>
      <c r="R520" s="136" t="inlineStr">
        <is>
          <t>OTROS/VERIFICAR</t>
        </is>
      </c>
    </row>
    <row r="521">
      <c r="A521" s="14" t="inlineStr">
        <is>
          <t>C-M-29312A</t>
        </is>
      </c>
      <c r="B521" s="14" t="inlineStr">
        <is>
          <t>102-CCM-005</t>
        </is>
      </c>
      <c r="C521" s="14" t="inlineStr">
        <is>
          <t>M-29312A</t>
        </is>
      </c>
      <c r="D521" s="14" t="inlineStr">
        <is>
          <t>110</t>
        </is>
      </c>
      <c r="E521" s="14" t="inlineStr">
        <is>
          <t>140</t>
        </is>
      </c>
      <c r="F521" s="14" t="inlineStr">
        <is>
          <t>1kV-XLPE-Arm-T-CU</t>
        </is>
      </c>
      <c r="G521" s="14" t="inlineStr">
        <is>
          <t>7x2,5+T</t>
        </is>
      </c>
      <c r="H521" s="14" t="inlineStr">
        <is>
          <t>Engine Jacket Water Cooler Fan - Área 292</t>
        </is>
      </c>
      <c r="I521" s="14" t="inlineStr"/>
      <c r="J521" s="14" t="inlineStr">
        <is>
          <t>CONTROL</t>
        </is>
      </c>
      <c r="K521" s="14" t="inlineStr">
        <is>
          <t>CPF2</t>
        </is>
      </c>
      <c r="L521" s="137" t="n">
        <v>8</v>
      </c>
      <c r="M521" s="144" t="inlineStr">
        <is>
          <t>SI</t>
        </is>
      </c>
      <c r="N521" s="139" t="n">
        <v>16</v>
      </c>
      <c r="O521" s="145" t="n">
        <v>2</v>
      </c>
      <c r="P521" s="141" t="n">
        <v>18</v>
      </c>
      <c r="Q521" s="136" t="inlineStr">
        <is>
          <t>CONTROL</t>
        </is>
      </c>
      <c r="R521" s="136" t="inlineStr">
        <is>
          <t>OTROS/VERIFICAR</t>
        </is>
      </c>
    </row>
    <row r="522">
      <c r="A522" s="14" t="inlineStr">
        <is>
          <t>C-M-29312B</t>
        </is>
      </c>
      <c r="B522" s="14" t="inlineStr">
        <is>
          <t>102-CCM-005</t>
        </is>
      </c>
      <c r="C522" s="14" t="inlineStr">
        <is>
          <t>M-29312B</t>
        </is>
      </c>
      <c r="D522" s="14" t="inlineStr">
        <is>
          <t>110</t>
        </is>
      </c>
      <c r="E522" s="14" t="inlineStr">
        <is>
          <t>140</t>
        </is>
      </c>
      <c r="F522" s="14" t="inlineStr">
        <is>
          <t>1kV-XLPE-Arm-T-CU</t>
        </is>
      </c>
      <c r="G522" s="14" t="inlineStr">
        <is>
          <t>7x2,5+T</t>
        </is>
      </c>
      <c r="H522" s="14" t="inlineStr">
        <is>
          <t>Off Gas 1St Stage intercooler - Área 293</t>
        </is>
      </c>
      <c r="I522" s="14" t="inlineStr"/>
      <c r="J522" s="14" t="inlineStr">
        <is>
          <t>CONTROL</t>
        </is>
      </c>
      <c r="K522" s="14" t="inlineStr">
        <is>
          <t>CPF2</t>
        </is>
      </c>
      <c r="L522" s="137" t="n">
        <v>8</v>
      </c>
      <c r="M522" s="144" t="inlineStr">
        <is>
          <t>SI</t>
        </is>
      </c>
      <c r="N522" s="139" t="n">
        <v>16</v>
      </c>
      <c r="O522" s="145" t="n">
        <v>2</v>
      </c>
      <c r="P522" s="141" t="n">
        <v>18</v>
      </c>
      <c r="Q522" s="136" t="inlineStr">
        <is>
          <t>CONTROL</t>
        </is>
      </c>
      <c r="R522" s="136" t="inlineStr">
        <is>
          <t>OTROS/VERIFICAR</t>
        </is>
      </c>
    </row>
    <row r="523">
      <c r="A523" s="14" t="inlineStr">
        <is>
          <t>C-M-29332A</t>
        </is>
      </c>
      <c r="B523" s="14" t="inlineStr">
        <is>
          <t>102-CCM-005</t>
        </is>
      </c>
      <c r="C523" s="14" t="inlineStr">
        <is>
          <t>M-29332A</t>
        </is>
      </c>
      <c r="D523" s="14" t="inlineStr">
        <is>
          <t>110</t>
        </is>
      </c>
      <c r="E523" s="14" t="inlineStr">
        <is>
          <t>140</t>
        </is>
      </c>
      <c r="F523" s="14" t="inlineStr">
        <is>
          <t>1kV-XLPE-Arm-T-CU</t>
        </is>
      </c>
      <c r="G523" s="14" t="inlineStr">
        <is>
          <t>7x2,5+T</t>
        </is>
      </c>
      <c r="H523" s="14" t="inlineStr">
        <is>
          <t>Off Gas 2St Stage intercooler - Área 293</t>
        </is>
      </c>
      <c r="I523" s="14" t="inlineStr"/>
      <c r="J523" s="14" t="inlineStr">
        <is>
          <t>CONTROL</t>
        </is>
      </c>
      <c r="K523" s="14" t="inlineStr">
        <is>
          <t>CPF2</t>
        </is>
      </c>
      <c r="L523" s="137" t="n">
        <v>8</v>
      </c>
      <c r="M523" s="144" t="inlineStr">
        <is>
          <t>SI</t>
        </is>
      </c>
      <c r="N523" s="139" t="n">
        <v>16</v>
      </c>
      <c r="O523" s="145" t="n">
        <v>2</v>
      </c>
      <c r="P523" s="141" t="n">
        <v>18</v>
      </c>
      <c r="Q523" s="136" t="inlineStr">
        <is>
          <t>CONTROL</t>
        </is>
      </c>
      <c r="R523" s="136" t="inlineStr">
        <is>
          <t>OTROS/VERIFICAR</t>
        </is>
      </c>
    </row>
    <row r="524">
      <c r="A524" s="14" t="inlineStr">
        <is>
          <t>C-M-29332B</t>
        </is>
      </c>
      <c r="B524" s="14" t="inlineStr">
        <is>
          <t>102-CCM-005</t>
        </is>
      </c>
      <c r="C524" s="14" t="inlineStr">
        <is>
          <t>M-29332B</t>
        </is>
      </c>
      <c r="D524" s="14" t="inlineStr">
        <is>
          <t>110</t>
        </is>
      </c>
      <c r="E524" s="14" t="inlineStr">
        <is>
          <t>140</t>
        </is>
      </c>
      <c r="F524" s="14" t="inlineStr">
        <is>
          <t>1kV-XLPE-Arm-T-CU</t>
        </is>
      </c>
      <c r="G524" s="14" t="inlineStr">
        <is>
          <t>7x2,5+T</t>
        </is>
      </c>
      <c r="H524" s="14" t="inlineStr">
        <is>
          <t>Sales Gas Compressor Cooler Fan A - Área 293</t>
        </is>
      </c>
      <c r="I524" s="14" t="inlineStr"/>
      <c r="J524" s="14" t="inlineStr">
        <is>
          <t>CONTROL</t>
        </is>
      </c>
      <c r="K524" s="14" t="inlineStr">
        <is>
          <t>CPF2</t>
        </is>
      </c>
      <c r="L524" s="137" t="n">
        <v>8</v>
      </c>
      <c r="M524" s="144" t="inlineStr">
        <is>
          <t>SI</t>
        </is>
      </c>
      <c r="N524" s="139" t="n">
        <v>16</v>
      </c>
      <c r="O524" s="145" t="n">
        <v>2</v>
      </c>
      <c r="P524" s="141" t="n">
        <v>18</v>
      </c>
      <c r="Q524" s="136" t="inlineStr">
        <is>
          <t>CONTROL</t>
        </is>
      </c>
      <c r="R524" s="136" t="inlineStr">
        <is>
          <t>OTROS/VERIFICAR</t>
        </is>
      </c>
    </row>
    <row r="525">
      <c r="A525" s="14" t="inlineStr">
        <is>
          <t>C-M-29385</t>
        </is>
      </c>
      <c r="B525" s="14" t="inlineStr">
        <is>
          <t>102-CCM-005</t>
        </is>
      </c>
      <c r="C525" s="14" t="inlineStr">
        <is>
          <t>M-29385</t>
        </is>
      </c>
      <c r="D525" s="14" t="inlineStr">
        <is>
          <t>110</t>
        </is>
      </c>
      <c r="E525" s="14" t="inlineStr">
        <is>
          <t>140</t>
        </is>
      </c>
      <c r="F525" s="14" t="inlineStr">
        <is>
          <t>1kV-XLPE-Arm-T-CU</t>
        </is>
      </c>
      <c r="G525" s="14" t="inlineStr">
        <is>
          <t>7x2,5+T</t>
        </is>
      </c>
      <c r="H525" s="14" t="inlineStr">
        <is>
          <t>Sales Gas Compressor Cooler Fan B  - Área 293</t>
        </is>
      </c>
      <c r="I525" s="14" t="inlineStr"/>
      <c r="J525" s="14" t="inlineStr">
        <is>
          <t>CONTROL</t>
        </is>
      </c>
      <c r="K525" s="14" t="inlineStr">
        <is>
          <t>CPF2</t>
        </is>
      </c>
      <c r="L525" s="137" t="n">
        <v>8</v>
      </c>
      <c r="M525" s="144" t="inlineStr">
        <is>
          <t>SI</t>
        </is>
      </c>
      <c r="N525" s="139" t="n">
        <v>16</v>
      </c>
      <c r="O525" s="145" t="n">
        <v>2</v>
      </c>
      <c r="P525" s="141" t="n">
        <v>18</v>
      </c>
      <c r="Q525" s="136" t="inlineStr">
        <is>
          <t>CONTROL</t>
        </is>
      </c>
      <c r="R525" s="136" t="inlineStr">
        <is>
          <t>OTROS/VERIFICAR</t>
        </is>
      </c>
    </row>
    <row r="526">
      <c r="A526" s="14" t="inlineStr">
        <is>
          <t>C-M-29386</t>
        </is>
      </c>
      <c r="B526" s="14" t="inlineStr">
        <is>
          <t>102-CCM-005</t>
        </is>
      </c>
      <c r="C526" s="14" t="inlineStr">
        <is>
          <t>M-29386</t>
        </is>
      </c>
      <c r="D526" s="14" t="inlineStr">
        <is>
          <t>110</t>
        </is>
      </c>
      <c r="E526" s="14" t="inlineStr">
        <is>
          <t>140</t>
        </is>
      </c>
      <c r="F526" s="14" t="inlineStr">
        <is>
          <t>1kV-XLPE-Arm-T-CU</t>
        </is>
      </c>
      <c r="G526" s="14" t="inlineStr">
        <is>
          <t>7x2,5+T</t>
        </is>
      </c>
      <c r="H526" s="14" t="inlineStr">
        <is>
          <t>Engine Aux Water Cooler Fan  - Área 293</t>
        </is>
      </c>
      <c r="I526" s="14" t="inlineStr"/>
      <c r="J526" s="14" t="inlineStr">
        <is>
          <t>CONTROL</t>
        </is>
      </c>
      <c r="K526" s="14" t="inlineStr">
        <is>
          <t>CPF2</t>
        </is>
      </c>
      <c r="L526" s="137" t="n">
        <v>8</v>
      </c>
      <c r="M526" s="144" t="inlineStr">
        <is>
          <t>SI</t>
        </is>
      </c>
      <c r="N526" s="139" t="n">
        <v>16</v>
      </c>
      <c r="O526" s="145" t="n">
        <v>2</v>
      </c>
      <c r="P526" s="141" t="n">
        <v>18</v>
      </c>
      <c r="Q526" s="136" t="inlineStr">
        <is>
          <t>CONTROL</t>
        </is>
      </c>
      <c r="R526" s="136" t="inlineStr">
        <is>
          <t>OTROS/VERIFICAR</t>
        </is>
      </c>
    </row>
    <row r="527">
      <c r="A527" s="14" t="inlineStr">
        <is>
          <t>C-M-94204-A</t>
        </is>
      </c>
      <c r="B527" s="14" t="inlineStr">
        <is>
          <t>102-CCM-005</t>
        </is>
      </c>
      <c r="C527" s="14" t="inlineStr">
        <is>
          <t>M-94204-A</t>
        </is>
      </c>
      <c r="D527" s="14" t="inlineStr">
        <is>
          <t>110</t>
        </is>
      </c>
      <c r="E527" s="14" t="inlineStr">
        <is>
          <t>450</t>
        </is>
      </c>
      <c r="F527" s="14" t="inlineStr">
        <is>
          <t>1kV-XLPE-Arm-T-CU</t>
        </is>
      </c>
      <c r="G527" s="14" t="inlineStr">
        <is>
          <t>7x2,5+T</t>
        </is>
      </c>
      <c r="H527" s="14" t="inlineStr">
        <is>
          <t>Engine Jacket Water Cooler Fan - Área 293</t>
        </is>
      </c>
      <c r="I527" s="14" t="inlineStr"/>
      <c r="J527" s="14" t="inlineStr">
        <is>
          <t>CONTROL</t>
        </is>
      </c>
      <c r="K527" s="14" t="inlineStr">
        <is>
          <t>CPF2</t>
        </is>
      </c>
      <c r="L527" s="137" t="n">
        <v>8</v>
      </c>
      <c r="M527" s="144" t="inlineStr">
        <is>
          <t>SI</t>
        </is>
      </c>
      <c r="N527" s="139" t="n">
        <v>16</v>
      </c>
      <c r="O527" s="145" t="n">
        <v>2</v>
      </c>
      <c r="P527" s="141" t="n">
        <v>18</v>
      </c>
      <c r="Q527" s="136" t="inlineStr">
        <is>
          <t>CONTROL</t>
        </is>
      </c>
      <c r="R527" s="136" t="inlineStr">
        <is>
          <t>OTROS/VERIFICAR</t>
        </is>
      </c>
    </row>
    <row r="528">
      <c r="A528" s="14" t="inlineStr">
        <is>
          <t>C-M-94204-B</t>
        </is>
      </c>
      <c r="B528" s="14" t="inlineStr">
        <is>
          <t>102-CCM-005</t>
        </is>
      </c>
      <c r="C528" s="14" t="inlineStr">
        <is>
          <t>M-94204-B</t>
        </is>
      </c>
      <c r="D528" s="14" t="inlineStr">
        <is>
          <t>110</t>
        </is>
      </c>
      <c r="E528" s="14" t="inlineStr">
        <is>
          <t>450</t>
        </is>
      </c>
      <c r="F528" s="14" t="inlineStr">
        <is>
          <t>1kV-XLPE-Arm-T-CU</t>
        </is>
      </c>
      <c r="G528" s="14" t="inlineStr">
        <is>
          <t>7x2,5+T</t>
        </is>
      </c>
      <c r="H528" s="14" t="inlineStr">
        <is>
          <t>PROCESS HEAT MEDIUM PUMP A - Área 942</t>
        </is>
      </c>
      <c r="I528" s="14" t="inlineStr"/>
      <c r="J528" s="14" t="inlineStr">
        <is>
          <t>CONTROL</t>
        </is>
      </c>
      <c r="K528" s="14" t="inlineStr">
        <is>
          <t>CPF2</t>
        </is>
      </c>
      <c r="L528" s="137" t="n">
        <v>8</v>
      </c>
      <c r="M528" s="144" t="inlineStr">
        <is>
          <t>SI</t>
        </is>
      </c>
      <c r="N528" s="139" t="n">
        <v>16</v>
      </c>
      <c r="O528" s="145" t="n">
        <v>2</v>
      </c>
      <c r="P528" s="141" t="n">
        <v>18</v>
      </c>
      <c r="Q528" s="136" t="inlineStr">
        <is>
          <t>CONTROL</t>
        </is>
      </c>
      <c r="R528" s="136" t="inlineStr">
        <is>
          <t>OTROS/VERIFICAR</t>
        </is>
      </c>
    </row>
    <row r="529">
      <c r="A529" s="14" t="inlineStr">
        <is>
          <t>C-M-94213A</t>
        </is>
      </c>
      <c r="B529" s="14" t="inlineStr">
        <is>
          <t>102-CCM-005</t>
        </is>
      </c>
      <c r="C529" s="14" t="inlineStr">
        <is>
          <t>M-94213A</t>
        </is>
      </c>
      <c r="D529" s="14" t="inlineStr">
        <is>
          <t>110</t>
        </is>
      </c>
      <c r="E529" s="14" t="inlineStr">
        <is>
          <t>450</t>
        </is>
      </c>
      <c r="F529" s="14" t="inlineStr">
        <is>
          <t>1kV-XLPE-Arm-T-CU</t>
        </is>
      </c>
      <c r="G529" s="14" t="inlineStr">
        <is>
          <t>7x2,5+T</t>
        </is>
      </c>
      <c r="H529" s="14" t="inlineStr">
        <is>
          <t>PROCESS HEAT MEDIUM PUMP B - Área 942</t>
        </is>
      </c>
      <c r="I529" s="14" t="inlineStr"/>
      <c r="J529" s="14" t="inlineStr">
        <is>
          <t>CONTROL</t>
        </is>
      </c>
      <c r="K529" s="14" t="inlineStr">
        <is>
          <t>CPF2</t>
        </is>
      </c>
      <c r="L529" s="137" t="n">
        <v>8</v>
      </c>
      <c r="M529" s="144" t="inlineStr">
        <is>
          <t>SI</t>
        </is>
      </c>
      <c r="N529" s="139" t="n">
        <v>16</v>
      </c>
      <c r="O529" s="145" t="n">
        <v>2</v>
      </c>
      <c r="P529" s="141" t="n">
        <v>18</v>
      </c>
      <c r="Q529" s="136" t="inlineStr">
        <is>
          <t>CONTROL</t>
        </is>
      </c>
      <c r="R529" s="136" t="inlineStr">
        <is>
          <t>OTROS/VERIFICAR</t>
        </is>
      </c>
    </row>
    <row r="530">
      <c r="A530" s="14" t="inlineStr">
        <is>
          <t>C-LCP-94213A</t>
        </is>
      </c>
      <c r="B530" s="14" t="inlineStr">
        <is>
          <t>102-CCM-005</t>
        </is>
      </c>
      <c r="C530" s="14" t="inlineStr">
        <is>
          <t>LCP-94213A</t>
        </is>
      </c>
      <c r="D530" s="14" t="inlineStr">
        <is>
          <t>110</t>
        </is>
      </c>
      <c r="E530" s="14" t="inlineStr">
        <is>
          <t>450</t>
        </is>
      </c>
      <c r="F530" s="14" t="inlineStr">
        <is>
          <t>1kV-XLPE-Arm-T-CU</t>
        </is>
      </c>
      <c r="G530" s="14" t="inlineStr">
        <is>
          <t>7x2,5+T</t>
        </is>
      </c>
      <c r="H530" s="14" t="inlineStr">
        <is>
          <t>Heat Medium Combustion Air Blower - Área 942</t>
        </is>
      </c>
      <c r="I530" s="14" t="inlineStr"/>
      <c r="J530" s="14" t="inlineStr">
        <is>
          <t>CONTROL</t>
        </is>
      </c>
      <c r="K530" s="14" t="inlineStr">
        <is>
          <t>CPF2</t>
        </is>
      </c>
      <c r="L530" s="137" t="n">
        <v>8</v>
      </c>
      <c r="M530" s="144" t="inlineStr">
        <is>
          <t>SI</t>
        </is>
      </c>
      <c r="N530" s="139" t="n">
        <v>16</v>
      </c>
      <c r="O530" s="145" t="n">
        <v>2</v>
      </c>
      <c r="P530" s="141" t="n">
        <v>18</v>
      </c>
      <c r="Q530" s="136" t="inlineStr">
        <is>
          <t>CONTROL</t>
        </is>
      </c>
      <c r="R530" s="136" t="inlineStr">
        <is>
          <t>OTROS/VERIFICAR</t>
        </is>
      </c>
    </row>
    <row r="531">
      <c r="A531" s="14" t="inlineStr">
        <is>
          <t>C-M-EAL-94270A</t>
        </is>
      </c>
      <c r="B531" s="14" t="inlineStr">
        <is>
          <t>102-CCM-005</t>
        </is>
      </c>
      <c r="C531" s="14" t="inlineStr">
        <is>
          <t>M-EAL-94270A</t>
        </is>
      </c>
      <c r="D531" s="14" t="inlineStr">
        <is>
          <t>110</t>
        </is>
      </c>
      <c r="E531" s="14" t="inlineStr">
        <is>
          <t>450</t>
        </is>
      </c>
      <c r="F531" s="14" t="inlineStr">
        <is>
          <t>1kV-XLPE-Arm-T-CU</t>
        </is>
      </c>
      <c r="G531" s="14" t="inlineStr">
        <is>
          <t>7x2,5+T</t>
        </is>
      </c>
      <c r="H531" s="14" t="inlineStr">
        <is>
          <t>Sigma Heater Local Control Panel- Área 942</t>
        </is>
      </c>
      <c r="I531" s="14" t="inlineStr"/>
      <c r="J531" s="14" t="inlineStr">
        <is>
          <t>CONTROL</t>
        </is>
      </c>
      <c r="K531" s="14" t="inlineStr">
        <is>
          <t>CPF2</t>
        </is>
      </c>
      <c r="L531" s="137" t="n">
        <v>8</v>
      </c>
      <c r="M531" s="144" t="inlineStr">
        <is>
          <t>SI</t>
        </is>
      </c>
      <c r="N531" s="139" t="n">
        <v>16</v>
      </c>
      <c r="O531" s="145" t="n">
        <v>2</v>
      </c>
      <c r="P531" s="141" t="n">
        <v>18</v>
      </c>
      <c r="Q531" s="136" t="inlineStr">
        <is>
          <t>CONTROL</t>
        </is>
      </c>
      <c r="R531" s="136" t="inlineStr">
        <is>
          <t>OTROS/VERIFICAR</t>
        </is>
      </c>
    </row>
    <row r="532">
      <c r="A532" s="14" t="inlineStr">
        <is>
          <t>C-M-EAL-94270B</t>
        </is>
      </c>
      <c r="B532" s="14" t="inlineStr">
        <is>
          <t>102-CCM-005</t>
        </is>
      </c>
      <c r="C532" s="14" t="inlineStr">
        <is>
          <t>M-EAL-94270B</t>
        </is>
      </c>
      <c r="D532" s="14" t="inlineStr">
        <is>
          <t>110</t>
        </is>
      </c>
      <c r="E532" s="14" t="inlineStr">
        <is>
          <t>450</t>
        </is>
      </c>
      <c r="F532" s="14" t="inlineStr">
        <is>
          <t>1kV-XLPE-Arm-T-CU</t>
        </is>
      </c>
      <c r="G532" s="14" t="inlineStr">
        <is>
          <t>7x2,5+T</t>
        </is>
      </c>
      <c r="H532" s="14" t="inlineStr">
        <is>
          <t>Aeroenfriador de Hot Oil- Área 942</t>
        </is>
      </c>
      <c r="I532" s="14" t="inlineStr"/>
      <c r="J532" s="14" t="inlineStr">
        <is>
          <t>CONTROL</t>
        </is>
      </c>
      <c r="K532" s="14" t="inlineStr">
        <is>
          <t>CPF2</t>
        </is>
      </c>
      <c r="L532" s="137" t="n">
        <v>8</v>
      </c>
      <c r="M532" s="144" t="inlineStr">
        <is>
          <t>SI</t>
        </is>
      </c>
      <c r="N532" s="139" t="n">
        <v>16</v>
      </c>
      <c r="O532" s="145" t="n">
        <v>2</v>
      </c>
      <c r="P532" s="141" t="n">
        <v>18</v>
      </c>
      <c r="Q532" s="136" t="inlineStr">
        <is>
          <t>CONTROL</t>
        </is>
      </c>
      <c r="R532" s="136" t="inlineStr">
        <is>
          <t>OTROS/VERIFICAR</t>
        </is>
      </c>
    </row>
    <row r="533">
      <c r="A533" s="14" t="inlineStr">
        <is>
          <t>C-M-PAZ-24430 A</t>
        </is>
      </c>
      <c r="B533" s="14" t="inlineStr">
        <is>
          <t>102-CCM-006</t>
        </is>
      </c>
      <c r="C533" s="14" t="inlineStr">
        <is>
          <t>M-PAZ-24430 A</t>
        </is>
      </c>
      <c r="D533" s="14" t="inlineStr">
        <is>
          <t>110</t>
        </is>
      </c>
      <c r="E533" s="14" t="inlineStr">
        <is>
          <t>280</t>
        </is>
      </c>
      <c r="F533" s="14" t="inlineStr">
        <is>
          <t>1kV-XLPE-Arm-T-CU</t>
        </is>
      </c>
      <c r="G533" s="14" t="inlineStr">
        <is>
          <t>7x2,5+T</t>
        </is>
      </c>
      <c r="H533" s="14" t="inlineStr">
        <is>
          <t>Aeroenfriador de Hot Oil- Área 942</t>
        </is>
      </c>
      <c r="I533" s="14" t="inlineStr">
        <is>
          <t>BOMBA DE TANQUE DE EFLUENTES 0</t>
        </is>
      </c>
      <c r="J533" s="14" t="inlineStr">
        <is>
          <t>CONTROL</t>
        </is>
      </c>
      <c r="K533" s="14" t="inlineStr">
        <is>
          <t>CPF2</t>
        </is>
      </c>
      <c r="L533" s="137" t="n">
        <v>8</v>
      </c>
      <c r="M533" s="144" t="inlineStr">
        <is>
          <t>SI</t>
        </is>
      </c>
      <c r="N533" s="139" t="n">
        <v>16</v>
      </c>
      <c r="O533" s="145" t="n">
        <v>2</v>
      </c>
      <c r="P533" s="141" t="n">
        <v>18</v>
      </c>
      <c r="Q533" s="136" t="inlineStr">
        <is>
          <t>CONTROL</t>
        </is>
      </c>
      <c r="R533" s="136" t="inlineStr">
        <is>
          <t>MOTOR/ACCIONAMIENTO</t>
        </is>
      </c>
    </row>
    <row r="534">
      <c r="A534" s="14" t="inlineStr">
        <is>
          <t>C-M-PAZ-24430 B</t>
        </is>
      </c>
      <c r="B534" s="14" t="inlineStr">
        <is>
          <t>102-CCM-006</t>
        </is>
      </c>
      <c r="C534" s="14" t="inlineStr">
        <is>
          <t>M-PAZ-24430 B</t>
        </is>
      </c>
      <c r="D534" s="14" t="inlineStr">
        <is>
          <t>110</t>
        </is>
      </c>
      <c r="E534" s="14" t="inlineStr">
        <is>
          <t>280</t>
        </is>
      </c>
      <c r="F534" s="14" t="inlineStr">
        <is>
          <t>1kV-XLPE-Arm-T-CU</t>
        </is>
      </c>
      <c r="G534" s="14" t="inlineStr">
        <is>
          <t>7x2,5+T</t>
        </is>
      </c>
      <c r="H534" s="14" t="inlineStr">
        <is>
          <t>Aeroenfriador de Hot Oil- Área 942</t>
        </is>
      </c>
      <c r="I534" s="14" t="inlineStr">
        <is>
          <t>BOMBA DE TANQUE DE EFLUENTES 0</t>
        </is>
      </c>
      <c r="J534" s="14" t="inlineStr">
        <is>
          <t>CONTROL</t>
        </is>
      </c>
      <c r="K534" s="14" t="inlineStr">
        <is>
          <t>CPF2</t>
        </is>
      </c>
      <c r="L534" s="137" t="n">
        <v>8</v>
      </c>
      <c r="M534" s="144" t="inlineStr">
        <is>
          <t>SI</t>
        </is>
      </c>
      <c r="N534" s="139" t="n">
        <v>16</v>
      </c>
      <c r="O534" s="145" t="n">
        <v>2</v>
      </c>
      <c r="P534" s="141" t="n">
        <v>18</v>
      </c>
      <c r="Q534" s="136" t="inlineStr">
        <is>
          <t>CONTROL</t>
        </is>
      </c>
      <c r="R534" s="136" t="inlineStr">
        <is>
          <t>MOTOR/ACCIONAMIENTO</t>
        </is>
      </c>
    </row>
    <row r="535">
      <c r="A535" s="14" t="inlineStr">
        <is>
          <t>C-M-PAY-97110 A</t>
        </is>
      </c>
      <c r="B535" s="14" t="inlineStr">
        <is>
          <t>102-CCM-006</t>
        </is>
      </c>
      <c r="C535" s="14" t="inlineStr">
        <is>
          <t>M-PAY-97110 A</t>
        </is>
      </c>
      <c r="D535" s="14" t="inlineStr">
        <is>
          <t>110</t>
        </is>
      </c>
      <c r="E535" s="14" t="inlineStr">
        <is>
          <t>270</t>
        </is>
      </c>
      <c r="F535" s="14" t="inlineStr">
        <is>
          <t>1kV-XLPE-Arm-T-CU</t>
        </is>
      </c>
      <c r="G535" s="14" t="inlineStr">
        <is>
          <t>7x2,5+T</t>
        </is>
      </c>
      <c r="H535" s="14" t="inlineStr">
        <is>
          <t>Aeroenfriador de Hot Oil- Área 942</t>
        </is>
      </c>
      <c r="I535" s="14" t="inlineStr">
        <is>
          <t>BOMBAS SUMIDEROS DE DRENAJES ABIERTOS 0</t>
        </is>
      </c>
      <c r="J535" s="14" t="inlineStr">
        <is>
          <t>CONTROL</t>
        </is>
      </c>
      <c r="K535" s="14" t="inlineStr">
        <is>
          <t>CPF2</t>
        </is>
      </c>
      <c r="L535" s="137" t="n">
        <v>8</v>
      </c>
      <c r="M535" s="144" t="inlineStr">
        <is>
          <t>SI</t>
        </is>
      </c>
      <c r="N535" s="139" t="n">
        <v>16</v>
      </c>
      <c r="O535" s="145" t="n">
        <v>2</v>
      </c>
      <c r="P535" s="141" t="n">
        <v>18</v>
      </c>
      <c r="Q535" s="136" t="inlineStr">
        <is>
          <t>CONTROL</t>
        </is>
      </c>
      <c r="R535" s="136" t="inlineStr">
        <is>
          <t>MOTOR/ACCIONAMIENTO</t>
        </is>
      </c>
    </row>
    <row r="536">
      <c r="A536" s="14" t="inlineStr">
        <is>
          <t>C-M-PAY-97110 B</t>
        </is>
      </c>
      <c r="B536" s="14" t="inlineStr">
        <is>
          <t>102-CCM-006</t>
        </is>
      </c>
      <c r="C536" s="14" t="inlineStr">
        <is>
          <t>M-PAY-97110 B</t>
        </is>
      </c>
      <c r="D536" s="14" t="inlineStr">
        <is>
          <t>110</t>
        </is>
      </c>
      <c r="E536" s="14" t="inlineStr">
        <is>
          <t>270</t>
        </is>
      </c>
      <c r="F536" s="14" t="inlineStr">
        <is>
          <t>1kV-XLPE-Arm-T-CU</t>
        </is>
      </c>
      <c r="G536" s="14" t="inlineStr">
        <is>
          <t>7x2,5+T</t>
        </is>
      </c>
      <c r="H536" s="14" t="inlineStr">
        <is>
          <t>Aeroenfriador de Hot Oil- Área 942</t>
        </is>
      </c>
      <c r="I536" s="14" t="inlineStr">
        <is>
          <t>BOMBAS SUMIDEROS DE DRENAJES ABIERTOS 0</t>
        </is>
      </c>
      <c r="J536" s="14" t="inlineStr">
        <is>
          <t>CONTROL</t>
        </is>
      </c>
      <c r="K536" s="14" t="inlineStr">
        <is>
          <t>CPF2</t>
        </is>
      </c>
      <c r="L536" s="137" t="n">
        <v>8</v>
      </c>
      <c r="M536" s="144" t="inlineStr">
        <is>
          <t>SI</t>
        </is>
      </c>
      <c r="N536" s="139" t="n">
        <v>16</v>
      </c>
      <c r="O536" s="145" t="n">
        <v>2</v>
      </c>
      <c r="P536" s="141" t="n">
        <v>18</v>
      </c>
      <c r="Q536" s="136" t="inlineStr">
        <is>
          <t>CONTROL</t>
        </is>
      </c>
      <c r="R536" s="136" t="inlineStr">
        <is>
          <t>MOTOR/ACCIONAMIENTO</t>
        </is>
      </c>
    </row>
    <row r="537">
      <c r="A537" s="14" t="inlineStr">
        <is>
          <t>C-M-PAY-95140 A</t>
        </is>
      </c>
      <c r="B537" s="14" t="inlineStr">
        <is>
          <t>102-CCM-006</t>
        </is>
      </c>
      <c r="C537" s="14" t="inlineStr">
        <is>
          <t>M-PAY-95140 A</t>
        </is>
      </c>
      <c r="D537" s="14" t="inlineStr">
        <is>
          <t>110</t>
        </is>
      </c>
      <c r="E537" s="14" t="inlineStr">
        <is>
          <t>370</t>
        </is>
      </c>
      <c r="F537" s="14" t="inlineStr">
        <is>
          <t>1kV-XLPE-Arm-T-CU</t>
        </is>
      </c>
      <c r="G537" s="14" t="inlineStr">
        <is>
          <t>7x2,5+T</t>
        </is>
      </c>
      <c r="H537" s="14" t="inlineStr">
        <is>
          <t>Aeroenfriador de Hot Oil- Área 942</t>
        </is>
      </c>
      <c r="I537" s="14" t="inlineStr">
        <is>
          <t>BOMBA KOD 0</t>
        </is>
      </c>
      <c r="J537" s="14" t="inlineStr">
        <is>
          <t>CONTROL</t>
        </is>
      </c>
      <c r="K537" s="14" t="inlineStr">
        <is>
          <t>CPF2</t>
        </is>
      </c>
      <c r="L537" s="137" t="n">
        <v>8</v>
      </c>
      <c r="M537" s="144" t="inlineStr">
        <is>
          <t>SI</t>
        </is>
      </c>
      <c r="N537" s="139" t="n">
        <v>16</v>
      </c>
      <c r="O537" s="145" t="n">
        <v>2</v>
      </c>
      <c r="P537" s="141" t="n">
        <v>18</v>
      </c>
      <c r="Q537" s="136" t="inlineStr">
        <is>
          <t>CONTROL</t>
        </is>
      </c>
      <c r="R537" s="136" t="inlineStr">
        <is>
          <t>MOTOR/ACCIONAMIENTO</t>
        </is>
      </c>
    </row>
    <row r="538">
      <c r="A538" s="14" t="inlineStr">
        <is>
          <t>C-M-PAY-95140 B</t>
        </is>
      </c>
      <c r="B538" s="14" t="inlineStr">
        <is>
          <t>102-CCM-006</t>
        </is>
      </c>
      <c r="C538" s="14" t="inlineStr">
        <is>
          <t>M-PAY-95140 B</t>
        </is>
      </c>
      <c r="D538" s="14" t="inlineStr">
        <is>
          <t>110</t>
        </is>
      </c>
      <c r="E538" s="14" t="inlineStr">
        <is>
          <t>370</t>
        </is>
      </c>
      <c r="F538" s="14" t="inlineStr">
        <is>
          <t>1kV-XLPE-Arm-T-CU</t>
        </is>
      </c>
      <c r="G538" s="14" t="inlineStr">
        <is>
          <t>7x2,5+T</t>
        </is>
      </c>
      <c r="H538" s="14" t="inlineStr">
        <is>
          <t>Aeroenfriador de Hot Oil- Área 942</t>
        </is>
      </c>
      <c r="I538" s="14" t="inlineStr">
        <is>
          <t>BOMBA KOD 0</t>
        </is>
      </c>
      <c r="J538" s="14" t="inlineStr">
        <is>
          <t>CONTROL</t>
        </is>
      </c>
      <c r="K538" s="14" t="inlineStr">
        <is>
          <t>CPF2</t>
        </is>
      </c>
      <c r="L538" s="137" t="n">
        <v>8</v>
      </c>
      <c r="M538" s="144" t="inlineStr">
        <is>
          <t>SI</t>
        </is>
      </c>
      <c r="N538" s="139" t="n">
        <v>16</v>
      </c>
      <c r="O538" s="145" t="n">
        <v>2</v>
      </c>
      <c r="P538" s="141" t="n">
        <v>18</v>
      </c>
      <c r="Q538" s="136" t="inlineStr">
        <is>
          <t>CONTROL</t>
        </is>
      </c>
      <c r="R538" s="136" t="inlineStr">
        <is>
          <t>MOTOR/ACCIONAMIENTO</t>
        </is>
      </c>
    </row>
    <row r="539">
      <c r="A539" s="14" t="inlineStr">
        <is>
          <t>C-M-PAY-97320 A</t>
        </is>
      </c>
      <c r="B539" s="14" t="inlineStr">
        <is>
          <t>102-CCM-006</t>
        </is>
      </c>
      <c r="C539" s="14" t="inlineStr">
        <is>
          <t>M-PAY-97320 A</t>
        </is>
      </c>
      <c r="D539" s="14" t="inlineStr">
        <is>
          <t>110</t>
        </is>
      </c>
      <c r="E539" s="14" t="inlineStr">
        <is>
          <t>120</t>
        </is>
      </c>
      <c r="F539" s="14" t="inlineStr">
        <is>
          <t>1kV-XLPE-Arm-T-CU</t>
        </is>
      </c>
      <c r="G539" s="14" t="inlineStr">
        <is>
          <t>7x2,5+T</t>
        </is>
      </c>
      <c r="H539" s="14" t="inlineStr">
        <is>
          <t>Aeroenfriador de Hot Oil- Área 942</t>
        </is>
      </c>
      <c r="I539" s="14" t="inlineStr">
        <is>
          <t>BOMBA DE SUMIDERO DE DRENAJES CERRADOS 0</t>
        </is>
      </c>
      <c r="J539" s="14" t="inlineStr">
        <is>
          <t>CONTROL</t>
        </is>
      </c>
      <c r="K539" s="14" t="inlineStr">
        <is>
          <t>CPF2</t>
        </is>
      </c>
      <c r="L539" s="137" t="n">
        <v>8</v>
      </c>
      <c r="M539" s="144" t="inlineStr">
        <is>
          <t>SI</t>
        </is>
      </c>
      <c r="N539" s="139" t="n">
        <v>16</v>
      </c>
      <c r="O539" s="145" t="n">
        <v>2</v>
      </c>
      <c r="P539" s="141" t="n">
        <v>18</v>
      </c>
      <c r="Q539" s="136" t="inlineStr">
        <is>
          <t>CONTROL</t>
        </is>
      </c>
      <c r="R539" s="136" t="inlineStr">
        <is>
          <t>MOTOR/ACCIONAMIENTO</t>
        </is>
      </c>
    </row>
    <row r="540">
      <c r="A540" s="14" t="inlineStr">
        <is>
          <t>C-M-PAY-97320 B</t>
        </is>
      </c>
      <c r="B540" s="14" t="inlineStr">
        <is>
          <t>102-CCM-006</t>
        </is>
      </c>
      <c r="C540" s="14" t="inlineStr">
        <is>
          <t>M-PAY-97320 B</t>
        </is>
      </c>
      <c r="D540" s="14" t="inlineStr">
        <is>
          <t>110</t>
        </is>
      </c>
      <c r="E540" s="14" t="inlineStr">
        <is>
          <t>120</t>
        </is>
      </c>
      <c r="F540" s="14" t="inlineStr">
        <is>
          <t>1kV-XLPE-Arm-T-CU</t>
        </is>
      </c>
      <c r="G540" s="14" t="inlineStr">
        <is>
          <t>7x2,5+T</t>
        </is>
      </c>
      <c r="H540" s="14" t="inlineStr">
        <is>
          <t>Aeroenfriador de Hot Oil- Área 942</t>
        </is>
      </c>
      <c r="I540" s="14" t="inlineStr">
        <is>
          <t>BOMBA DE SUMIDERO DE DRENAJES CERRADOS 0</t>
        </is>
      </c>
      <c r="J540" s="14" t="inlineStr">
        <is>
          <t>CONTROL</t>
        </is>
      </c>
      <c r="K540" s="14" t="inlineStr">
        <is>
          <t>CPF2</t>
        </is>
      </c>
      <c r="L540" s="137" t="n">
        <v>8</v>
      </c>
      <c r="M540" s="144" t="inlineStr">
        <is>
          <t>SI</t>
        </is>
      </c>
      <c r="N540" s="139" t="n">
        <v>16</v>
      </c>
      <c r="O540" s="145" t="n">
        <v>2</v>
      </c>
      <c r="P540" s="141" t="n">
        <v>18</v>
      </c>
      <c r="Q540" s="136" t="inlineStr">
        <is>
          <t>CONTROL</t>
        </is>
      </c>
      <c r="R540" s="136" t="inlineStr">
        <is>
          <t>MOTOR/ACCIONAMIENTO</t>
        </is>
      </c>
    </row>
    <row r="541">
      <c r="A541" s="14" t="inlineStr">
        <is>
          <t>C-EJB-101</t>
        </is>
      </c>
      <c r="B541" s="14" t="inlineStr">
        <is>
          <t>102-LCP-100</t>
        </is>
      </c>
      <c r="C541" s="14" t="inlineStr">
        <is>
          <t>EJB-101</t>
        </is>
      </c>
      <c r="D541" s="14" t="inlineStr">
        <is>
          <t>-</t>
        </is>
      </c>
      <c r="E541" s="14" t="inlineStr">
        <is>
          <t>500</t>
        </is>
      </c>
      <c r="F541" s="14" t="inlineStr">
        <is>
          <t>1kV-XLPE-Arm-T-CU</t>
        </is>
      </c>
      <c r="G541" s="14" t="inlineStr">
        <is>
          <t>7x2,5+T</t>
        </is>
      </c>
      <c r="H541" s="14" t="inlineStr">
        <is>
          <t>Aeroenfriador de Hot Oil- Área 942</t>
        </is>
      </c>
      <c r="I541" s="14" t="inlineStr">
        <is>
          <t>HEI JUNCTION BOX (ANTORCHA\ RTD MOTORES</t>
        </is>
      </c>
      <c r="J541" s="14" t="inlineStr">
        <is>
          <t>CONTROL</t>
        </is>
      </c>
      <c r="K541" s="14" t="inlineStr">
        <is>
          <t>CPF2</t>
        </is>
      </c>
      <c r="L541" s="137" t="n">
        <v>8</v>
      </c>
      <c r="M541" s="144" t="inlineStr">
        <is>
          <t>SI</t>
        </is>
      </c>
      <c r="N541" s="139" t="n">
        <v>16</v>
      </c>
      <c r="O541" s="145" t="n">
        <v>2</v>
      </c>
      <c r="P541" s="141" t="n">
        <v>18</v>
      </c>
      <c r="Q541" s="136" t="inlineStr">
        <is>
          <t>CONTROL</t>
        </is>
      </c>
      <c r="R541" s="136" t="inlineStr">
        <is>
          <t>MOTOR/ACCIONAMIENTO</t>
        </is>
      </c>
    </row>
    <row r="542">
      <c r="A542" s="14" t="inlineStr">
        <is>
          <t>MC-M-PAY-23310 A</t>
        </is>
      </c>
      <c r="B542" s="14" t="inlineStr">
        <is>
          <t>102-DP-VFD-23310 A</t>
        </is>
      </c>
      <c r="C542" s="14" t="inlineStr">
        <is>
          <t>M-PAY-23310 A</t>
        </is>
      </c>
      <c r="D542" s="14" t="inlineStr">
        <is>
          <t>-</t>
        </is>
      </c>
      <c r="E542" s="14" t="inlineStr">
        <is>
          <t>250</t>
        </is>
      </c>
      <c r="F542" s="14" t="inlineStr">
        <is>
          <t>300 V - Arm - BG + BI</t>
        </is>
      </c>
      <c r="G542" s="14" t="inlineStr">
        <is>
          <t>8x3x1,31</t>
        </is>
      </c>
      <c r="H542" s="14" t="inlineStr">
        <is>
          <t>Aeroenfriador de Hot Oil- Área 942</t>
        </is>
      </c>
      <c r="I542" s="14" t="inlineStr">
        <is>
          <t>BOMBA DE CONDENSADO A</t>
        </is>
      </c>
      <c r="J542" s="14" t="inlineStr">
        <is>
          <t>SEÑAL</t>
        </is>
      </c>
      <c r="K542" s="14" t="inlineStr">
        <is>
          <t>CPF2</t>
        </is>
      </c>
      <c r="L542" s="137" t="n">
        <v>24</v>
      </c>
      <c r="M542" s="144" t="inlineStr">
        <is>
          <t>SI</t>
        </is>
      </c>
      <c r="N542" s="139" t="n">
        <v>48</v>
      </c>
      <c r="O542" s="145" t="n">
        <v>2</v>
      </c>
      <c r="P542" s="141" t="n">
        <v>50</v>
      </c>
      <c r="Q542" s="136" t="inlineStr">
        <is>
          <t>SEÑAL / INSTRUMENTO</t>
        </is>
      </c>
      <c r="R542" s="136" t="inlineStr">
        <is>
          <t>MOTOR/ACCIONAMIENTO</t>
        </is>
      </c>
    </row>
    <row r="543">
      <c r="A543" s="14" t="inlineStr">
        <is>
          <t>MC-M-PAY-23310 B</t>
        </is>
      </c>
      <c r="B543" s="14" t="inlineStr">
        <is>
          <t>102-DP-VFD-23310 B</t>
        </is>
      </c>
      <c r="C543" s="14" t="inlineStr">
        <is>
          <t>M-PAY-23310 B</t>
        </is>
      </c>
      <c r="D543" s="14" t="inlineStr">
        <is>
          <t>-</t>
        </is>
      </c>
      <c r="E543" s="14" t="inlineStr">
        <is>
          <t>250</t>
        </is>
      </c>
      <c r="F543" s="14" t="inlineStr">
        <is>
          <t>300 V - Arm - BG + BI</t>
        </is>
      </c>
      <c r="G543" s="14" t="inlineStr">
        <is>
          <t>8x3x1,31</t>
        </is>
      </c>
      <c r="H543" s="14" t="inlineStr">
        <is>
          <t>Aeroenfriador de Hot Oil- Área 942</t>
        </is>
      </c>
      <c r="I543" s="14" t="inlineStr">
        <is>
          <t>BOMBA DE CONDENSADO A</t>
        </is>
      </c>
      <c r="J543" s="14" t="inlineStr">
        <is>
          <t>SEÑAL</t>
        </is>
      </c>
      <c r="K543" s="14" t="inlineStr">
        <is>
          <t>CPF2</t>
        </is>
      </c>
      <c r="L543" s="137" t="n">
        <v>24</v>
      </c>
      <c r="M543" s="144" t="inlineStr">
        <is>
          <t>SI</t>
        </is>
      </c>
      <c r="N543" s="139" t="n">
        <v>48</v>
      </c>
      <c r="O543" s="145" t="n">
        <v>2</v>
      </c>
      <c r="P543" s="141" t="n">
        <v>50</v>
      </c>
      <c r="Q543" s="136" t="inlineStr">
        <is>
          <t>SEÑAL / INSTRUMENTO</t>
        </is>
      </c>
      <c r="R543" s="136" t="inlineStr">
        <is>
          <t>MOTOR/ACCIONAMIENTO</t>
        </is>
      </c>
    </row>
    <row r="544">
      <c r="A544" s="14" t="inlineStr">
        <is>
          <t>MC-M-PAY-23310 C</t>
        </is>
      </c>
      <c r="B544" s="14" t="inlineStr">
        <is>
          <t>102-DP-VFD-23310 C</t>
        </is>
      </c>
      <c r="C544" s="14" t="inlineStr">
        <is>
          <t>M-PAY-23310 C</t>
        </is>
      </c>
      <c r="D544" s="14" t="inlineStr">
        <is>
          <t>-</t>
        </is>
      </c>
      <c r="E544" s="14" t="inlineStr">
        <is>
          <t>250</t>
        </is>
      </c>
      <c r="F544" s="14" t="inlineStr">
        <is>
          <t>300 V - Arm - BG + BI</t>
        </is>
      </c>
      <c r="G544" s="14" t="inlineStr">
        <is>
          <t>8x3x1,31</t>
        </is>
      </c>
      <c r="H544" s="14" t="inlineStr">
        <is>
          <t>Aeroenfriador de Hot Oil- Área 942</t>
        </is>
      </c>
      <c r="I544" s="14" t="inlineStr">
        <is>
          <t>BOMBA DE CONDENSADO A</t>
        </is>
      </c>
      <c r="J544" s="14" t="inlineStr">
        <is>
          <t>SEÑAL</t>
        </is>
      </c>
      <c r="K544" s="14" t="inlineStr">
        <is>
          <t>CPF2</t>
        </is>
      </c>
      <c r="L544" s="137" t="n">
        <v>24</v>
      </c>
      <c r="M544" s="144" t="inlineStr">
        <is>
          <t>SI</t>
        </is>
      </c>
      <c r="N544" s="139" t="n">
        <v>48</v>
      </c>
      <c r="O544" s="145" t="n">
        <v>2</v>
      </c>
      <c r="P544" s="141" t="n">
        <v>50</v>
      </c>
      <c r="Q544" s="136" t="inlineStr">
        <is>
          <t>SEÑAL / INSTRUMENTO</t>
        </is>
      </c>
      <c r="R544" s="136" t="inlineStr">
        <is>
          <t>MOTOR/ACCIONAMIENTO</t>
        </is>
      </c>
    </row>
    <row r="545">
      <c r="A545" s="14" t="inlineStr">
        <is>
          <t>MC-M-PAY-24210 A</t>
        </is>
      </c>
      <c r="B545" s="14" t="inlineStr">
        <is>
          <t>102-DP-VFD-24210 A</t>
        </is>
      </c>
      <c r="C545" s="14" t="inlineStr">
        <is>
          <t>M-PAZ-24210 A</t>
        </is>
      </c>
      <c r="D545" s="14" t="inlineStr">
        <is>
          <t>-</t>
        </is>
      </c>
      <c r="E545" s="14" t="inlineStr">
        <is>
          <t>230</t>
        </is>
      </c>
      <c r="F545" s="14" t="inlineStr">
        <is>
          <t>300 V - Arm - BG + BI</t>
        </is>
      </c>
      <c r="G545" s="14" t="inlineStr">
        <is>
          <t>8x3x1,31</t>
        </is>
      </c>
      <c r="H545" s="14" t="inlineStr">
        <is>
          <t>Aeroenfriador de Hot Oil- Área 942</t>
        </is>
      </c>
      <c r="I545" s="14" t="inlineStr">
        <is>
          <t>BOMBA DE INYECCION DE AGUA A</t>
        </is>
      </c>
      <c r="J545" s="14" t="inlineStr">
        <is>
          <t>SEÑAL</t>
        </is>
      </c>
      <c r="K545" s="14" t="inlineStr">
        <is>
          <t>CPF2</t>
        </is>
      </c>
      <c r="L545" s="137" t="n">
        <v>24</v>
      </c>
      <c r="M545" s="144" t="inlineStr">
        <is>
          <t>SI</t>
        </is>
      </c>
      <c r="N545" s="139" t="n">
        <v>48</v>
      </c>
      <c r="O545" s="145" t="n">
        <v>2</v>
      </c>
      <c r="P545" s="141" t="n">
        <v>50</v>
      </c>
      <c r="Q545" s="136" t="inlineStr">
        <is>
          <t>SEÑAL / INSTRUMENTO</t>
        </is>
      </c>
      <c r="R545" s="136" t="inlineStr">
        <is>
          <t>MOTOR/ACCIONAMIENTO</t>
        </is>
      </c>
    </row>
    <row r="546">
      <c r="A546" s="14" t="inlineStr">
        <is>
          <t>MC-M-PAY-24210 B</t>
        </is>
      </c>
      <c r="B546" s="14" t="inlineStr">
        <is>
          <t>102-DP-VFD-24210 B</t>
        </is>
      </c>
      <c r="C546" s="14" t="inlineStr">
        <is>
          <t>M-PAZ-24210 B</t>
        </is>
      </c>
      <c r="D546" s="14" t="inlineStr">
        <is>
          <t>-</t>
        </is>
      </c>
      <c r="E546" s="14" t="inlineStr">
        <is>
          <t>230</t>
        </is>
      </c>
      <c r="F546" s="14" t="inlineStr">
        <is>
          <t>300 V - Arm - BG + BI</t>
        </is>
      </c>
      <c r="G546" s="14" t="inlineStr">
        <is>
          <t>8x3x1,31</t>
        </is>
      </c>
      <c r="H546" s="14" t="inlineStr">
        <is>
          <t>Aeroenfriador de Hot Oil- Área 942</t>
        </is>
      </c>
      <c r="I546" s="14" t="inlineStr">
        <is>
          <t>BOMBA DE INYECCION DE AGUA A</t>
        </is>
      </c>
      <c r="J546" s="14" t="inlineStr">
        <is>
          <t>SEÑAL</t>
        </is>
      </c>
      <c r="K546" s="14" t="inlineStr">
        <is>
          <t>CPF2</t>
        </is>
      </c>
      <c r="L546" s="137" t="n">
        <v>24</v>
      </c>
      <c r="M546" s="144" t="inlineStr">
        <is>
          <t>SI</t>
        </is>
      </c>
      <c r="N546" s="139" t="n">
        <v>48</v>
      </c>
      <c r="O546" s="145" t="n">
        <v>2</v>
      </c>
      <c r="P546" s="141" t="n">
        <v>50</v>
      </c>
      <c r="Q546" s="136" t="inlineStr">
        <is>
          <t>SEÑAL / INSTRUMENTO</t>
        </is>
      </c>
      <c r="R546" s="136" t="inlineStr">
        <is>
          <t>MOTOR/ACCIONAMIENTO</t>
        </is>
      </c>
    </row>
    <row r="547">
      <c r="A547" s="14" t="inlineStr">
        <is>
          <t>MC-M-PAY-24210 C</t>
        </is>
      </c>
      <c r="B547" s="14" t="inlineStr">
        <is>
          <t>102-DP-VFD-24210 C</t>
        </is>
      </c>
      <c r="C547" s="14" t="inlineStr">
        <is>
          <t>M-PAZ-24210 C</t>
        </is>
      </c>
      <c r="D547" s="14" t="inlineStr">
        <is>
          <t>-</t>
        </is>
      </c>
      <c r="E547" s="14" t="inlineStr">
        <is>
          <t>230</t>
        </is>
      </c>
      <c r="F547" s="14" t="inlineStr">
        <is>
          <t>300 V - Arm - BG + BI</t>
        </is>
      </c>
      <c r="G547" s="14" t="inlineStr">
        <is>
          <t>8x3x1,31</t>
        </is>
      </c>
      <c r="H547" s="14" t="inlineStr">
        <is>
          <t>Aeroenfriador de Hot Oil- Área 942</t>
        </is>
      </c>
      <c r="I547" s="14" t="inlineStr">
        <is>
          <t>BOMBA DE INYECCION DE AGUA A</t>
        </is>
      </c>
      <c r="J547" s="14" t="inlineStr">
        <is>
          <t>SEÑAL</t>
        </is>
      </c>
      <c r="K547" s="14" t="inlineStr">
        <is>
          <t>CPF2</t>
        </is>
      </c>
      <c r="L547" s="137" t="n">
        <v>24</v>
      </c>
      <c r="M547" s="144" t="inlineStr">
        <is>
          <t>SI</t>
        </is>
      </c>
      <c r="N547" s="139" t="n">
        <v>48</v>
      </c>
      <c r="O547" s="145" t="n">
        <v>2</v>
      </c>
      <c r="P547" s="141" t="n">
        <v>50</v>
      </c>
      <c r="Q547" s="136" t="inlineStr">
        <is>
          <t>SEÑAL / INSTRUMENTO</t>
        </is>
      </c>
      <c r="R547" s="136" t="inlineStr">
        <is>
          <t>MOTOR/ACCIONAMIENTO</t>
        </is>
      </c>
    </row>
    <row r="548">
      <c r="A548" s="14" t="inlineStr">
        <is>
          <t>MC-M-PBM-24340 A</t>
        </is>
      </c>
      <c r="B548" s="14" t="inlineStr">
        <is>
          <t>102-CCM-007</t>
        </is>
      </c>
      <c r="C548" s="14" t="inlineStr">
        <is>
          <t>M-PBM-24340 A</t>
        </is>
      </c>
      <c r="D548" s="14" t="inlineStr">
        <is>
          <t>-</t>
        </is>
      </c>
      <c r="E548" s="14" t="inlineStr">
        <is>
          <t>130</t>
        </is>
      </c>
      <c r="F548" s="14" t="inlineStr">
        <is>
          <t>300 V - Arm - BG + BI</t>
        </is>
      </c>
      <c r="G548" s="14" t="inlineStr">
        <is>
          <t>8x3x1,31</t>
        </is>
      </c>
      <c r="H548" s="14" t="inlineStr">
        <is>
          <t>Aeroenfriador de Hot Oil- Área 942</t>
        </is>
      </c>
      <c r="I548" s="14" t="inlineStr">
        <is>
          <t>BOMBA DE TRANSFERENCIA A</t>
        </is>
      </c>
      <c r="J548" s="14" t="inlineStr">
        <is>
          <t>SEÑAL</t>
        </is>
      </c>
      <c r="K548" s="14" t="inlineStr">
        <is>
          <t>CPF2</t>
        </is>
      </c>
      <c r="L548" s="137" t="n">
        <v>24</v>
      </c>
      <c r="M548" s="144" t="inlineStr">
        <is>
          <t>SI</t>
        </is>
      </c>
      <c r="N548" s="139" t="n">
        <v>48</v>
      </c>
      <c r="O548" s="145" t="n">
        <v>2</v>
      </c>
      <c r="P548" s="141" t="n">
        <v>50</v>
      </c>
      <c r="Q548" s="136" t="inlineStr">
        <is>
          <t>SEÑAL / INSTRUMENTO</t>
        </is>
      </c>
      <c r="R548" s="136" t="inlineStr">
        <is>
          <t>MOTOR/ACCIONAMIENTO</t>
        </is>
      </c>
    </row>
    <row r="549">
      <c r="A549" s="14" t="inlineStr">
        <is>
          <t>MC-M-PBM-24340 B</t>
        </is>
      </c>
      <c r="B549" s="14" t="inlineStr">
        <is>
          <t>102-CCM-007</t>
        </is>
      </c>
      <c r="C549" s="14" t="inlineStr">
        <is>
          <t>M-PBM-24340 B</t>
        </is>
      </c>
      <c r="D549" s="14" t="inlineStr">
        <is>
          <t>-</t>
        </is>
      </c>
      <c r="E549" s="14" t="inlineStr">
        <is>
          <t>130</t>
        </is>
      </c>
      <c r="F549" s="14" t="inlineStr">
        <is>
          <t>300 V - Arm - BG + BI</t>
        </is>
      </c>
      <c r="G549" s="14" t="inlineStr">
        <is>
          <t>8x3x1,31</t>
        </is>
      </c>
      <c r="H549" s="14" t="inlineStr">
        <is>
          <t>Aeroenfriador de Hot Oil- Área 942</t>
        </is>
      </c>
      <c r="I549" s="14" t="inlineStr">
        <is>
          <t>BOMBA DE TRANSFERENCIA CALEFACTORAS MOTORES</t>
        </is>
      </c>
      <c r="J549" s="14" t="inlineStr">
        <is>
          <t>SEÑAL</t>
        </is>
      </c>
      <c r="K549" s="14" t="inlineStr">
        <is>
          <t>CPF2</t>
        </is>
      </c>
      <c r="L549" s="137" t="n">
        <v>24</v>
      </c>
      <c r="M549" s="144" t="inlineStr">
        <is>
          <t>SI</t>
        </is>
      </c>
      <c r="N549" s="139" t="n">
        <v>48</v>
      </c>
      <c r="O549" s="145" t="n">
        <v>2</v>
      </c>
      <c r="P549" s="141" t="n">
        <v>50</v>
      </c>
      <c r="Q549" s="136" t="inlineStr">
        <is>
          <t>SEÑAL / INSTRUMENTO</t>
        </is>
      </c>
      <c r="R549" s="136" t="inlineStr">
        <is>
          <t>MOTOR/ACCIONAMIENTO</t>
        </is>
      </c>
    </row>
    <row r="550">
      <c r="A550" s="14" t="inlineStr">
        <is>
          <t>P-RC-M-PAY-23310 A</t>
        </is>
      </c>
      <c r="B550" s="14" t="inlineStr">
        <is>
          <t>102-DP-VFD-23310 A</t>
        </is>
      </c>
      <c r="C550" s="14" t="inlineStr">
        <is>
          <t>M-PAY-23310 A</t>
        </is>
      </c>
      <c r="D550" s="14" t="inlineStr">
        <is>
          <t>220</t>
        </is>
      </c>
      <c r="E550" s="14" t="inlineStr">
        <is>
          <t>250</t>
        </is>
      </c>
      <c r="F550" s="14" t="inlineStr">
        <is>
          <t>1kV-XLPE-Arm-CU</t>
        </is>
      </c>
      <c r="G550" s="14" t="inlineStr">
        <is>
          <t>2x6</t>
        </is>
      </c>
      <c r="H550" s="14" t="inlineStr">
        <is>
          <t>Aeroenfriador de Hot Oil- Área 942</t>
        </is>
      </c>
      <c r="I550" s="14" t="inlineStr">
        <is>
          <t>BOMBA DE CONDENSADO A</t>
        </is>
      </c>
      <c r="J550" s="14" t="inlineStr">
        <is>
          <t>POTENCIA_BT</t>
        </is>
      </c>
      <c r="K550" s="14" t="inlineStr">
        <is>
          <t>CPF2</t>
        </is>
      </c>
      <c r="L550" s="137" t="n">
        <v>2</v>
      </c>
      <c r="M550" s="144" t="inlineStr">
        <is>
          <t>SI</t>
        </is>
      </c>
      <c r="N550" s="139" t="n">
        <v>4</v>
      </c>
      <c r="O550" s="145" t="n">
        <v>2</v>
      </c>
      <c r="P550" s="141" t="n">
        <v>6</v>
      </c>
      <c r="Q550" s="136" t="inlineStr">
        <is>
          <t>POTENCIA BT MUY PEQ (&lt;10mm²)</t>
        </is>
      </c>
      <c r="R550" s="136" t="inlineStr">
        <is>
          <t>MOTOR/ACCIONAMIENTO</t>
        </is>
      </c>
    </row>
    <row r="551">
      <c r="A551" s="14" t="inlineStr">
        <is>
          <t>P-RC-M-PAY-23310 B</t>
        </is>
      </c>
      <c r="B551" s="14" t="inlineStr">
        <is>
          <t>102-DP-VFD-23310 B</t>
        </is>
      </c>
      <c r="C551" s="14" t="inlineStr">
        <is>
          <t>M-PAY-23310 B</t>
        </is>
      </c>
      <c r="D551" s="14" t="inlineStr">
        <is>
          <t>220</t>
        </is>
      </c>
      <c r="E551" s="14" t="inlineStr">
        <is>
          <t>250</t>
        </is>
      </c>
      <c r="F551" s="14" t="inlineStr">
        <is>
          <t>1kV-XLPE-Arm-CU</t>
        </is>
      </c>
      <c r="G551" s="14" t="inlineStr">
        <is>
          <t>2x6</t>
        </is>
      </c>
      <c r="H551" s="14" t="inlineStr">
        <is>
          <t>Aeroenfriador de Hot Oil- Área 942</t>
        </is>
      </c>
      <c r="I551" s="14" t="inlineStr">
        <is>
          <t>BOMBA DE CONDENSADO A</t>
        </is>
      </c>
      <c r="J551" s="14" t="inlineStr">
        <is>
          <t>POTENCIA_BT</t>
        </is>
      </c>
      <c r="K551" s="14" t="inlineStr">
        <is>
          <t>CPF2</t>
        </is>
      </c>
      <c r="L551" s="137" t="n">
        <v>2</v>
      </c>
      <c r="M551" s="144" t="inlineStr">
        <is>
          <t>SI</t>
        </is>
      </c>
      <c r="N551" s="139" t="n">
        <v>4</v>
      </c>
      <c r="O551" s="145" t="n">
        <v>2</v>
      </c>
      <c r="P551" s="141" t="n">
        <v>6</v>
      </c>
      <c r="Q551" s="136" t="inlineStr">
        <is>
          <t>POTENCIA BT MUY PEQ (&lt;10mm²)</t>
        </is>
      </c>
      <c r="R551" s="136" t="inlineStr">
        <is>
          <t>MOTOR/ACCIONAMIENTO</t>
        </is>
      </c>
    </row>
    <row r="552">
      <c r="A552" s="14" t="inlineStr">
        <is>
          <t>P-RC-M-PAY-23310 C</t>
        </is>
      </c>
      <c r="B552" s="14" t="inlineStr">
        <is>
          <t>102-DP-VFD-23310 C</t>
        </is>
      </c>
      <c r="C552" s="14" t="inlineStr">
        <is>
          <t>M-PAY-23310 C</t>
        </is>
      </c>
      <c r="D552" s="14" t="inlineStr">
        <is>
          <t>220</t>
        </is>
      </c>
      <c r="E552" s="14" t="inlineStr">
        <is>
          <t>250</t>
        </is>
      </c>
      <c r="F552" s="14" t="inlineStr">
        <is>
          <t>1kV-XLPE-Arm-CU</t>
        </is>
      </c>
      <c r="G552" s="14" t="inlineStr">
        <is>
          <t>2x6</t>
        </is>
      </c>
      <c r="H552" s="14" t="inlineStr">
        <is>
          <t>Aeroenfriador de Hot Oil- Área 942</t>
        </is>
      </c>
      <c r="I552" s="14" t="inlineStr">
        <is>
          <t>BOMBA DE CONDENSADO A</t>
        </is>
      </c>
      <c r="J552" s="14" t="inlineStr">
        <is>
          <t>POTENCIA_BT</t>
        </is>
      </c>
      <c r="K552" s="14" t="inlineStr">
        <is>
          <t>CPF2</t>
        </is>
      </c>
      <c r="L552" s="137" t="n">
        <v>2</v>
      </c>
      <c r="M552" s="144" t="inlineStr">
        <is>
          <t>SI</t>
        </is>
      </c>
      <c r="N552" s="139" t="n">
        <v>4</v>
      </c>
      <c r="O552" s="145" t="n">
        <v>2</v>
      </c>
      <c r="P552" s="141" t="n">
        <v>6</v>
      </c>
      <c r="Q552" s="136" t="inlineStr">
        <is>
          <t>POTENCIA BT MUY PEQ (&lt;10mm²)</t>
        </is>
      </c>
      <c r="R552" s="136" t="inlineStr">
        <is>
          <t>MOTOR/ACCIONAMIENTO</t>
        </is>
      </c>
    </row>
    <row r="553">
      <c r="A553" s="14" t="inlineStr">
        <is>
          <t>P-RC-M-PAY-24210 A</t>
        </is>
      </c>
      <c r="B553" s="14" t="inlineStr">
        <is>
          <t>102-DP-VFD-24210 A</t>
        </is>
      </c>
      <c r="C553" s="14" t="inlineStr">
        <is>
          <t>M-PAZ-24210 A</t>
        </is>
      </c>
      <c r="D553" s="14" t="inlineStr">
        <is>
          <t>220</t>
        </is>
      </c>
      <c r="E553" s="14" t="inlineStr">
        <is>
          <t>230</t>
        </is>
      </c>
      <c r="F553" s="14" t="inlineStr">
        <is>
          <t>1kV-XLPE-Arm-CU</t>
        </is>
      </c>
      <c r="G553" s="14" t="inlineStr">
        <is>
          <t>2x6</t>
        </is>
      </c>
      <c r="H553" s="14" t="inlineStr">
        <is>
          <t>Aeroenfriador de Hot Oil- Área 942</t>
        </is>
      </c>
      <c r="I553" s="14" t="inlineStr">
        <is>
          <t>BOMBA DE INYECCION DE AGUA A</t>
        </is>
      </c>
      <c r="J553" s="14" t="inlineStr">
        <is>
          <t>POTENCIA_BT</t>
        </is>
      </c>
      <c r="K553" s="14" t="inlineStr">
        <is>
          <t>CPF2</t>
        </is>
      </c>
      <c r="L553" s="137" t="n">
        <v>2</v>
      </c>
      <c r="M553" s="144" t="inlineStr">
        <is>
          <t>SI</t>
        </is>
      </c>
      <c r="N553" s="139" t="n">
        <v>4</v>
      </c>
      <c r="O553" s="145" t="n">
        <v>2</v>
      </c>
      <c r="P553" s="141" t="n">
        <v>6</v>
      </c>
      <c r="Q553" s="136" t="inlineStr">
        <is>
          <t>POTENCIA BT MUY PEQ (&lt;10mm²)</t>
        </is>
      </c>
      <c r="R553" s="136" t="inlineStr">
        <is>
          <t>MOTOR/ACCIONAMIENTO</t>
        </is>
      </c>
    </row>
    <row r="554">
      <c r="A554" s="14" t="inlineStr">
        <is>
          <t>P-RC-M-PAY-24210 B</t>
        </is>
      </c>
      <c r="B554" s="14" t="inlineStr">
        <is>
          <t>102-DP-VFD-24210 B</t>
        </is>
      </c>
      <c r="C554" s="14" t="inlineStr">
        <is>
          <t>M-PAZ-24210 B</t>
        </is>
      </c>
      <c r="D554" s="14" t="inlineStr">
        <is>
          <t>220</t>
        </is>
      </c>
      <c r="E554" s="14" t="inlineStr">
        <is>
          <t>230</t>
        </is>
      </c>
      <c r="F554" s="14" t="inlineStr">
        <is>
          <t>1kV-XLPE-Arm-CU</t>
        </is>
      </c>
      <c r="G554" s="14" t="inlineStr">
        <is>
          <t>2x6</t>
        </is>
      </c>
      <c r="H554" s="14" t="inlineStr">
        <is>
          <t>Aeroenfriador de Hot Oil- Área 942</t>
        </is>
      </c>
      <c r="I554" s="14" t="inlineStr">
        <is>
          <t>BOMBA DE INYECCION DE AGUA A</t>
        </is>
      </c>
      <c r="J554" s="14" t="inlineStr">
        <is>
          <t>POTENCIA_BT</t>
        </is>
      </c>
      <c r="K554" s="14" t="inlineStr">
        <is>
          <t>CPF2</t>
        </is>
      </c>
      <c r="L554" s="137" t="n">
        <v>2</v>
      </c>
      <c r="M554" s="144" t="inlineStr">
        <is>
          <t>SI</t>
        </is>
      </c>
      <c r="N554" s="139" t="n">
        <v>4</v>
      </c>
      <c r="O554" s="145" t="n">
        <v>2</v>
      </c>
      <c r="P554" s="141" t="n">
        <v>6</v>
      </c>
      <c r="Q554" s="136" t="inlineStr">
        <is>
          <t>POTENCIA BT MUY PEQ (&lt;10mm²)</t>
        </is>
      </c>
      <c r="R554" s="136" t="inlineStr">
        <is>
          <t>MOTOR/ACCIONAMIENTO</t>
        </is>
      </c>
    </row>
    <row r="555">
      <c r="A555" s="14" t="inlineStr">
        <is>
          <t>P-RC-M-PAY-24210 C</t>
        </is>
      </c>
      <c r="B555" s="14" t="inlineStr">
        <is>
          <t>102-DP-VFD-24210 C</t>
        </is>
      </c>
      <c r="C555" s="14" t="inlineStr">
        <is>
          <t>M-PAZ-24210 C</t>
        </is>
      </c>
      <c r="D555" s="14" t="inlineStr">
        <is>
          <t>220</t>
        </is>
      </c>
      <c r="E555" s="14" t="inlineStr">
        <is>
          <t>230</t>
        </is>
      </c>
      <c r="F555" s="14" t="inlineStr">
        <is>
          <t>1kV-XLPE-Arm-CU</t>
        </is>
      </c>
      <c r="G555" s="14" t="inlineStr">
        <is>
          <t>2x6</t>
        </is>
      </c>
      <c r="H555" s="14" t="inlineStr">
        <is>
          <t>Aeroenfriador de Hot Oil- Área 942</t>
        </is>
      </c>
      <c r="I555" s="14" t="inlineStr">
        <is>
          <t>BOMBA DE INYECCION DE AGUA A</t>
        </is>
      </c>
      <c r="J555" s="14" t="inlineStr">
        <is>
          <t>POTENCIA_BT</t>
        </is>
      </c>
      <c r="K555" s="14" t="inlineStr">
        <is>
          <t>CPF2</t>
        </is>
      </c>
      <c r="L555" s="137" t="n">
        <v>2</v>
      </c>
      <c r="M555" s="144" t="inlineStr">
        <is>
          <t>SI</t>
        </is>
      </c>
      <c r="N555" s="139" t="n">
        <v>4</v>
      </c>
      <c r="O555" s="145" t="n">
        <v>2</v>
      </c>
      <c r="P555" s="141" t="n">
        <v>6</v>
      </c>
      <c r="Q555" s="136" t="inlineStr">
        <is>
          <t>POTENCIA BT MUY PEQ (&lt;10mm²)</t>
        </is>
      </c>
      <c r="R555" s="136" t="inlineStr">
        <is>
          <t>MOTOR/ACCIONAMIENTO</t>
        </is>
      </c>
    </row>
    <row r="556">
      <c r="A556" s="14" t="inlineStr">
        <is>
          <t>P-RC-M-PAY-23040 A</t>
        </is>
      </c>
      <c r="B556" s="14" t="inlineStr">
        <is>
          <t>102-CCM-007</t>
        </is>
      </c>
      <c r="C556" s="14" t="inlineStr">
        <is>
          <t>M-PAY-23040 A</t>
        </is>
      </c>
      <c r="D556" s="14" t="inlineStr">
        <is>
          <t>220</t>
        </is>
      </c>
      <c r="E556" s="14" t="inlineStr">
        <is>
          <t>390</t>
        </is>
      </c>
      <c r="F556" s="14" t="inlineStr">
        <is>
          <t>1kV-XLPE-Arm-CU</t>
        </is>
      </c>
      <c r="G556" s="14" t="inlineStr">
        <is>
          <t>2x6</t>
        </is>
      </c>
      <c r="H556" s="14" t="inlineStr">
        <is>
          <t>Aeroenfriador de Hot Oil- Área 942</t>
        </is>
      </c>
      <c r="I556" s="14" t="inlineStr">
        <is>
          <t>BOMBA BOOSTER CONDENSADO A</t>
        </is>
      </c>
      <c r="J556" s="14" t="inlineStr">
        <is>
          <t>POTENCIA_BT</t>
        </is>
      </c>
      <c r="K556" s="14" t="inlineStr">
        <is>
          <t>CPF2</t>
        </is>
      </c>
      <c r="L556" s="137" t="n">
        <v>2</v>
      </c>
      <c r="M556" s="144" t="inlineStr">
        <is>
          <t>SI</t>
        </is>
      </c>
      <c r="N556" s="139" t="n">
        <v>4</v>
      </c>
      <c r="O556" s="145" t="n">
        <v>2</v>
      </c>
      <c r="P556" s="141" t="n">
        <v>6</v>
      </c>
      <c r="Q556" s="136" t="inlineStr">
        <is>
          <t>POTENCIA BT MUY PEQ (&lt;10mm²)</t>
        </is>
      </c>
      <c r="R556" s="136" t="inlineStr">
        <is>
          <t>MOTOR/ACCIONAMIENTO</t>
        </is>
      </c>
    </row>
    <row r="557">
      <c r="A557" s="14" t="inlineStr">
        <is>
          <t>P-RCM-PAY-23040 B</t>
        </is>
      </c>
      <c r="B557" s="14" t="inlineStr">
        <is>
          <t>102-CCM-007</t>
        </is>
      </c>
      <c r="C557" s="14" t="inlineStr">
        <is>
          <t>M-PAY-23040 B</t>
        </is>
      </c>
      <c r="D557" s="14" t="inlineStr">
        <is>
          <t>220</t>
        </is>
      </c>
      <c r="E557" s="14" t="inlineStr">
        <is>
          <t>390</t>
        </is>
      </c>
      <c r="F557" s="14" t="inlineStr">
        <is>
          <t>1kV-XLPE-Arm-CU</t>
        </is>
      </c>
      <c r="G557" s="14" t="inlineStr">
        <is>
          <t>2x6</t>
        </is>
      </c>
      <c r="H557" s="14" t="inlineStr">
        <is>
          <t>Aeroenfriador de Hot Oil- Área 942</t>
        </is>
      </c>
      <c r="I557" s="14" t="inlineStr">
        <is>
          <t>BOMBA BOOSTER CONDENSADO A</t>
        </is>
      </c>
      <c r="J557" s="14" t="inlineStr">
        <is>
          <t>POTENCIA_BT</t>
        </is>
      </c>
      <c r="K557" s="14" t="inlineStr">
        <is>
          <t>CPF2</t>
        </is>
      </c>
      <c r="L557" s="137" t="n">
        <v>2</v>
      </c>
      <c r="M557" s="144" t="inlineStr">
        <is>
          <t>SI</t>
        </is>
      </c>
      <c r="N557" s="139" t="n">
        <v>4</v>
      </c>
      <c r="O557" s="145" t="n">
        <v>2</v>
      </c>
      <c r="P557" s="141" t="n">
        <v>6</v>
      </c>
      <c r="Q557" s="136" t="inlineStr">
        <is>
          <t>POTENCIA BT MUY PEQ (&lt;10mm²)</t>
        </is>
      </c>
      <c r="R557" s="136" t="inlineStr">
        <is>
          <t>MOTOR/ACCIONAMIENTO</t>
        </is>
      </c>
    </row>
    <row r="558">
      <c r="A558" s="14" t="inlineStr">
        <is>
          <t>P-RC-M-PAY-23040 C</t>
        </is>
      </c>
      <c r="B558" s="14" t="inlineStr">
        <is>
          <t>102-CCM-007</t>
        </is>
      </c>
      <c r="C558" s="14" t="inlineStr">
        <is>
          <t>M-PAY-23040 C</t>
        </is>
      </c>
      <c r="D558" s="14" t="inlineStr">
        <is>
          <t>220</t>
        </is>
      </c>
      <c r="E558" s="14" t="inlineStr">
        <is>
          <t>390</t>
        </is>
      </c>
      <c r="F558" s="14" t="inlineStr">
        <is>
          <t>1kV-XLPE-Arm-CU</t>
        </is>
      </c>
      <c r="G558" s="14" t="inlineStr">
        <is>
          <t>2x6</t>
        </is>
      </c>
      <c r="H558" s="14" t="inlineStr">
        <is>
          <t>Aeroenfriador de Hot Oil- Área 942</t>
        </is>
      </c>
      <c r="I558" s="14" t="inlineStr">
        <is>
          <t>BOMBA BOOSTER CONDENSADO A</t>
        </is>
      </c>
      <c r="J558" s="14" t="inlineStr">
        <is>
          <t>POTENCIA_BT</t>
        </is>
      </c>
      <c r="K558" s="14" t="inlineStr">
        <is>
          <t>CPF2</t>
        </is>
      </c>
      <c r="L558" s="137" t="n">
        <v>2</v>
      </c>
      <c r="M558" s="144" t="inlineStr">
        <is>
          <t>SI</t>
        </is>
      </c>
      <c r="N558" s="139" t="n">
        <v>4</v>
      </c>
      <c r="O558" s="145" t="n">
        <v>2</v>
      </c>
      <c r="P558" s="141" t="n">
        <v>6</v>
      </c>
      <c r="Q558" s="136" t="inlineStr">
        <is>
          <t>POTENCIA BT MUY PEQ (&lt;10mm²)</t>
        </is>
      </c>
      <c r="R558" s="136" t="inlineStr">
        <is>
          <t>MOTOR/ACCIONAMIENTO</t>
        </is>
      </c>
    </row>
    <row r="559">
      <c r="A559" s="14" t="inlineStr">
        <is>
          <t>P-RC-M-PAY-23140 A</t>
        </is>
      </c>
      <c r="B559" s="14" t="inlineStr">
        <is>
          <t>102-CCM-007</t>
        </is>
      </c>
      <c r="C559" s="14" t="inlineStr">
        <is>
          <t>M-PAY-23140 A</t>
        </is>
      </c>
      <c r="D559" s="14" t="inlineStr">
        <is>
          <t>220</t>
        </is>
      </c>
      <c r="E559" s="14" t="inlineStr">
        <is>
          <t>390</t>
        </is>
      </c>
      <c r="F559" s="14" t="inlineStr">
        <is>
          <t>1kV-XLPE-Arm-CU</t>
        </is>
      </c>
      <c r="G559" s="14" t="inlineStr">
        <is>
          <t>2x6</t>
        </is>
      </c>
      <c r="H559" s="14" t="inlineStr">
        <is>
          <t>Aeroenfriador de Hot Oil- Área 942</t>
        </is>
      </c>
      <c r="I559" s="14" t="inlineStr">
        <is>
          <t>BOMBA BOOSTER CONDENSADO A</t>
        </is>
      </c>
      <c r="J559" s="14" t="inlineStr">
        <is>
          <t>POTENCIA_BT</t>
        </is>
      </c>
      <c r="K559" s="14" t="inlineStr">
        <is>
          <t>CPF2</t>
        </is>
      </c>
      <c r="L559" s="137" t="n">
        <v>2</v>
      </c>
      <c r="M559" s="144" t="inlineStr">
        <is>
          <t>SI</t>
        </is>
      </c>
      <c r="N559" s="139" t="n">
        <v>4</v>
      </c>
      <c r="O559" s="145" t="n">
        <v>2</v>
      </c>
      <c r="P559" s="141" t="n">
        <v>6</v>
      </c>
      <c r="Q559" s="136" t="inlineStr">
        <is>
          <t>POTENCIA BT MUY PEQ (&lt;10mm²)</t>
        </is>
      </c>
      <c r="R559" s="136" t="inlineStr">
        <is>
          <t>MOTOR/ACCIONAMIENTO</t>
        </is>
      </c>
    </row>
    <row r="560">
      <c r="A560" s="14" t="inlineStr">
        <is>
          <t>P-RC-M-PBM-24390 A</t>
        </is>
      </c>
      <c r="B560" s="14" t="inlineStr">
        <is>
          <t>102-CCM-007</t>
        </is>
      </c>
      <c r="C560" s="14" t="inlineStr">
        <is>
          <t>M-PBM-24390 A</t>
        </is>
      </c>
      <c r="D560" s="14" t="inlineStr">
        <is>
          <t>220</t>
        </is>
      </c>
      <c r="E560" s="14" t="inlineStr">
        <is>
          <t>130</t>
        </is>
      </c>
      <c r="F560" s="14" t="inlineStr">
        <is>
          <t>1kV-XLPE-Arm-CU</t>
        </is>
      </c>
      <c r="G560" s="14" t="inlineStr">
        <is>
          <t>2x4</t>
        </is>
      </c>
      <c r="H560" s="14" t="inlineStr">
        <is>
          <t>Aeroenfriador de Hot Oil- Área 942</t>
        </is>
      </c>
      <c r="I560" s="14" t="inlineStr">
        <is>
          <t>BOMBA DE AGUA TRATADA A TANQUES A</t>
        </is>
      </c>
      <c r="J560" s="14" t="inlineStr">
        <is>
          <t>POTENCIA_BT</t>
        </is>
      </c>
      <c r="K560" s="14" t="inlineStr">
        <is>
          <t>CPF2</t>
        </is>
      </c>
      <c r="L560" s="137" t="n">
        <v>2</v>
      </c>
      <c r="M560" s="144" t="inlineStr">
        <is>
          <t>SI</t>
        </is>
      </c>
      <c r="N560" s="139" t="n">
        <v>4</v>
      </c>
      <c r="O560" s="145" t="n">
        <v>2</v>
      </c>
      <c r="P560" s="141" t="n">
        <v>6</v>
      </c>
      <c r="Q560" s="136" t="inlineStr">
        <is>
          <t>POTENCIA BT MUY PEQ (&lt;10mm²)</t>
        </is>
      </c>
      <c r="R560" s="136" t="inlineStr">
        <is>
          <t>MOTOR/ACCIONAMIENTO</t>
        </is>
      </c>
    </row>
    <row r="561">
      <c r="A561" s="14" t="inlineStr">
        <is>
          <t>P-RC-M-PBM-24390 B</t>
        </is>
      </c>
      <c r="B561" s="14" t="inlineStr">
        <is>
          <t>102-CCM-007</t>
        </is>
      </c>
      <c r="C561" s="14" t="inlineStr">
        <is>
          <t>M-PBM-24390 B</t>
        </is>
      </c>
      <c r="D561" s="14" t="inlineStr">
        <is>
          <t>220</t>
        </is>
      </c>
      <c r="E561" s="14" t="inlineStr">
        <is>
          <t>130</t>
        </is>
      </c>
      <c r="F561" s="14" t="inlineStr">
        <is>
          <t>1kV-XLPE-Arm-CU</t>
        </is>
      </c>
      <c r="G561" s="14" t="inlineStr">
        <is>
          <t>2x4</t>
        </is>
      </c>
      <c r="H561" s="14" t="inlineStr">
        <is>
          <t>Aeroenfriador de Hot Oil- Área 942</t>
        </is>
      </c>
      <c r="I561" s="14" t="inlineStr">
        <is>
          <t>BOMBA DE AGUA TRATADA A TANQUES A</t>
        </is>
      </c>
      <c r="J561" s="14" t="inlineStr">
        <is>
          <t>POTENCIA_BT</t>
        </is>
      </c>
      <c r="K561" s="14" t="inlineStr">
        <is>
          <t>CPF2</t>
        </is>
      </c>
      <c r="L561" s="137" t="n">
        <v>2</v>
      </c>
      <c r="M561" s="144" t="inlineStr">
        <is>
          <t>SI</t>
        </is>
      </c>
      <c r="N561" s="139" t="n">
        <v>4</v>
      </c>
      <c r="O561" s="145" t="n">
        <v>2</v>
      </c>
      <c r="P561" s="141" t="n">
        <v>6</v>
      </c>
      <c r="Q561" s="136" t="inlineStr">
        <is>
          <t>POTENCIA BT MUY PEQ (&lt;10mm²)</t>
        </is>
      </c>
      <c r="R561" s="136" t="inlineStr">
        <is>
          <t>MOTOR/ACCIONAMIENTO</t>
        </is>
      </c>
    </row>
    <row r="562">
      <c r="A562" s="14" t="inlineStr">
        <is>
          <t>P-RC-M-PBM-24390 C</t>
        </is>
      </c>
      <c r="B562" s="14" t="inlineStr">
        <is>
          <t>102-CCM-007</t>
        </is>
      </c>
      <c r="C562" s="14" t="inlineStr">
        <is>
          <t>M-PBM-24390 C</t>
        </is>
      </c>
      <c r="D562" s="14" t="inlineStr">
        <is>
          <t>220</t>
        </is>
      </c>
      <c r="E562" s="14" t="inlineStr">
        <is>
          <t>130</t>
        </is>
      </c>
      <c r="F562" s="14" t="inlineStr">
        <is>
          <t>1kV-XLPE-Arm-CU</t>
        </is>
      </c>
      <c r="G562" s="14" t="inlineStr">
        <is>
          <t>2x4</t>
        </is>
      </c>
      <c r="H562" s="14" t="inlineStr">
        <is>
          <t>Aeroenfriador de Hot Oil- Área 942</t>
        </is>
      </c>
      <c r="I562" s="14" t="inlineStr">
        <is>
          <t>BOMBA DE AGUA TRATADA A TANQUES A</t>
        </is>
      </c>
      <c r="J562" s="14" t="inlineStr">
        <is>
          <t>POTENCIA_BT</t>
        </is>
      </c>
      <c r="K562" s="14" t="inlineStr">
        <is>
          <t>CPF2</t>
        </is>
      </c>
      <c r="L562" s="137" t="n">
        <v>2</v>
      </c>
      <c r="M562" s="144" t="inlineStr">
        <is>
          <t>SI</t>
        </is>
      </c>
      <c r="N562" s="139" t="n">
        <v>4</v>
      </c>
      <c r="O562" s="145" t="n">
        <v>2</v>
      </c>
      <c r="P562" s="141" t="n">
        <v>6</v>
      </c>
      <c r="Q562" s="136" t="inlineStr">
        <is>
          <t>POTENCIA BT MUY PEQ (&lt;10mm²)</t>
        </is>
      </c>
      <c r="R562" s="136" t="inlineStr">
        <is>
          <t>MOTOR/ACCIONAMIENTO</t>
        </is>
      </c>
    </row>
    <row r="563">
      <c r="A563" s="14" t="inlineStr">
        <is>
          <t>P-RC-M-PBM-24340 A</t>
        </is>
      </c>
      <c r="B563" s="14" t="inlineStr">
        <is>
          <t>102-CCM-007</t>
        </is>
      </c>
      <c r="C563" s="14" t="inlineStr">
        <is>
          <t>M-PBM-24340 A</t>
        </is>
      </c>
      <c r="D563" s="14" t="inlineStr">
        <is>
          <t>220</t>
        </is>
      </c>
      <c r="E563" s="14" t="inlineStr">
        <is>
          <t>130</t>
        </is>
      </c>
      <c r="F563" s="14" t="inlineStr">
        <is>
          <t>1kV-XLPE-Arm-CU</t>
        </is>
      </c>
      <c r="G563" s="14" t="inlineStr">
        <is>
          <t>2x4</t>
        </is>
      </c>
      <c r="H563" s="14" t="inlineStr">
        <is>
          <t>Aeroenfriador de Hot Oil- Área 942</t>
        </is>
      </c>
      <c r="I563" s="14" t="inlineStr">
        <is>
          <t>BOMBA DE TRANSFERENCIA A</t>
        </is>
      </c>
      <c r="J563" s="14" t="inlineStr">
        <is>
          <t>POTENCIA_BT</t>
        </is>
      </c>
      <c r="K563" s="14" t="inlineStr">
        <is>
          <t>CPF2</t>
        </is>
      </c>
      <c r="L563" s="137" t="n">
        <v>2</v>
      </c>
      <c r="M563" s="144" t="inlineStr">
        <is>
          <t>SI</t>
        </is>
      </c>
      <c r="N563" s="139" t="n">
        <v>4</v>
      </c>
      <c r="O563" s="145" t="n">
        <v>2</v>
      </c>
      <c r="P563" s="141" t="n">
        <v>6</v>
      </c>
      <c r="Q563" s="136" t="inlineStr">
        <is>
          <t>POTENCIA BT MUY PEQ (&lt;10mm²)</t>
        </is>
      </c>
      <c r="R563" s="136" t="inlineStr">
        <is>
          <t>MOTOR/ACCIONAMIENTO</t>
        </is>
      </c>
    </row>
    <row r="564">
      <c r="A564" s="14" t="inlineStr">
        <is>
          <t>P-RC-M-PBM-24340 B</t>
        </is>
      </c>
      <c r="B564" s="14" t="inlineStr">
        <is>
          <t>102-CCM-007</t>
        </is>
      </c>
      <c r="C564" s="14" t="inlineStr">
        <is>
          <t>M-PBM-24340 B</t>
        </is>
      </c>
      <c r="D564" s="14" t="inlineStr">
        <is>
          <t>220</t>
        </is>
      </c>
      <c r="E564" s="14" t="inlineStr">
        <is>
          <t>130</t>
        </is>
      </c>
      <c r="F564" s="14" t="inlineStr">
        <is>
          <t>1kV-XLPE-Arm-CU</t>
        </is>
      </c>
      <c r="G564" s="14" t="inlineStr">
        <is>
          <t>2x4</t>
        </is>
      </c>
      <c r="H564" s="14" t="inlineStr">
        <is>
          <t>Aeroenfriador de Hot Oil- Área 942</t>
        </is>
      </c>
      <c r="I564" s="14" t="inlineStr">
        <is>
          <t>BOMBA DE TRANSFERENCIA A</t>
        </is>
      </c>
      <c r="J564" s="14" t="inlineStr">
        <is>
          <t>POTENCIA_BT</t>
        </is>
      </c>
      <c r="K564" s="14" t="inlineStr">
        <is>
          <t>CPF2</t>
        </is>
      </c>
      <c r="L564" s="137" t="n">
        <v>2</v>
      </c>
      <c r="M564" s="144" t="inlineStr">
        <is>
          <t>SI</t>
        </is>
      </c>
      <c r="N564" s="139" t="n">
        <v>4</v>
      </c>
      <c r="O564" s="145" t="n">
        <v>2</v>
      </c>
      <c r="P564" s="141" t="n">
        <v>6</v>
      </c>
      <c r="Q564" s="136" t="inlineStr">
        <is>
          <t>POTENCIA BT MUY PEQ (&lt;10mm²)</t>
        </is>
      </c>
      <c r="R564" s="136" t="inlineStr">
        <is>
          <t>MOTOR/ACCIONAMIENTO</t>
        </is>
      </c>
    </row>
    <row r="565">
      <c r="A565" s="14" t="inlineStr">
        <is>
          <t>P-RC-M-PBA-97160 A</t>
        </is>
      </c>
      <c r="B565" s="14" t="inlineStr">
        <is>
          <t>102-CCM-007</t>
        </is>
      </c>
      <c r="C565" s="14" t="inlineStr">
        <is>
          <t>M-PBA-97160 A</t>
        </is>
      </c>
      <c r="D565" s="14" t="inlineStr">
        <is>
          <t>220</t>
        </is>
      </c>
      <c r="E565" s="14" t="inlineStr">
        <is>
          <t>120</t>
        </is>
      </c>
      <c r="F565" s="14" t="inlineStr">
        <is>
          <t>1kV-XLPE-Arm-CU</t>
        </is>
      </c>
      <c r="G565" s="14" t="inlineStr">
        <is>
          <t>2x4</t>
        </is>
      </c>
      <c r="H565" s="14" t="inlineStr">
        <is>
          <t>Aeroenfriador de Hot Oil- Área 942</t>
        </is>
      </c>
      <c r="I565" s="14" t="inlineStr">
        <is>
          <t>BOMBA DE CONDENSADO DE TANQUE SLOP A</t>
        </is>
      </c>
      <c r="J565" s="14" t="inlineStr">
        <is>
          <t>POTENCIA_BT</t>
        </is>
      </c>
      <c r="K565" s="14" t="inlineStr">
        <is>
          <t>CPF2</t>
        </is>
      </c>
      <c r="L565" s="137" t="n">
        <v>2</v>
      </c>
      <c r="M565" s="144" t="inlineStr">
        <is>
          <t>SI</t>
        </is>
      </c>
      <c r="N565" s="139" t="n">
        <v>4</v>
      </c>
      <c r="O565" s="145" t="n">
        <v>2</v>
      </c>
      <c r="P565" s="141" t="n">
        <v>6</v>
      </c>
      <c r="Q565" s="136" t="inlineStr">
        <is>
          <t>POTENCIA BT MUY PEQ (&lt;10mm²)</t>
        </is>
      </c>
      <c r="R565" s="136" t="inlineStr">
        <is>
          <t>MOTOR/ACCIONAMIENTO</t>
        </is>
      </c>
    </row>
    <row r="566">
      <c r="A566" s="14" t="inlineStr">
        <is>
          <t>P-RC-M-PBA-97160 B</t>
        </is>
      </c>
      <c r="B566" s="14" t="inlineStr">
        <is>
          <t>102-CCM-007</t>
        </is>
      </c>
      <c r="C566" s="14" t="inlineStr">
        <is>
          <t>M-PBA-97160 B</t>
        </is>
      </c>
      <c r="D566" s="14" t="inlineStr">
        <is>
          <t>220</t>
        </is>
      </c>
      <c r="E566" s="14" t="inlineStr">
        <is>
          <t>120</t>
        </is>
      </c>
      <c r="F566" s="14" t="inlineStr">
        <is>
          <t>1kV-XLPE-Arm-CU</t>
        </is>
      </c>
      <c r="G566" s="14" t="inlineStr">
        <is>
          <t>2x4</t>
        </is>
      </c>
      <c r="H566" s="14" t="inlineStr">
        <is>
          <t>Aeroenfriador de Hot Oil- Área 942</t>
        </is>
      </c>
      <c r="I566" s="14" t="inlineStr">
        <is>
          <t>BOMBA DE CONDENSADO DE TANQUE SLOP A</t>
        </is>
      </c>
      <c r="J566" s="14" t="inlineStr">
        <is>
          <t>POTENCIA_BT</t>
        </is>
      </c>
      <c r="K566" s="14" t="inlineStr">
        <is>
          <t>CPF2</t>
        </is>
      </c>
      <c r="L566" s="137" t="n">
        <v>2</v>
      </c>
      <c r="M566" s="144" t="inlineStr">
        <is>
          <t>SI</t>
        </is>
      </c>
      <c r="N566" s="139" t="n">
        <v>4</v>
      </c>
      <c r="O566" s="145" t="n">
        <v>2</v>
      </c>
      <c r="P566" s="141" t="n">
        <v>6</v>
      </c>
      <c r="Q566" s="136" t="inlineStr">
        <is>
          <t>POTENCIA BT MUY PEQ (&lt;10mm²)</t>
        </is>
      </c>
      <c r="R566" s="136" t="inlineStr">
        <is>
          <t>MOTOR/ACCIONAMIENTO</t>
        </is>
      </c>
    </row>
    <row r="567">
      <c r="A567" s="14" t="inlineStr">
        <is>
          <t>P-RC-M-14017A</t>
        </is>
      </c>
      <c r="B567" s="14" t="inlineStr">
        <is>
          <t>102-CCM-005</t>
        </is>
      </c>
      <c r="C567" s="14" t="inlineStr">
        <is>
          <t>M-14017A</t>
        </is>
      </c>
      <c r="D567" s="14" t="inlineStr">
        <is>
          <t>220</t>
        </is>
      </c>
      <c r="E567" s="14" t="inlineStr">
        <is>
          <t>220</t>
        </is>
      </c>
      <c r="F567" s="14" t="inlineStr">
        <is>
          <t>1kV-XLPE-Arm-CU</t>
        </is>
      </c>
      <c r="G567" s="14" t="inlineStr">
        <is>
          <t>2x4</t>
        </is>
      </c>
      <c r="H567" s="14" t="inlineStr">
        <is>
          <t>Aeroenfriador de Hot Oil- Área 942</t>
        </is>
      </c>
      <c r="I567" s="14" t="inlineStr">
        <is>
          <t>A</t>
        </is>
      </c>
      <c r="J567" s="14" t="inlineStr">
        <is>
          <t>POTENCIA_BT</t>
        </is>
      </c>
      <c r="K567" s="14" t="inlineStr">
        <is>
          <t>CPF2</t>
        </is>
      </c>
      <c r="L567" s="137" t="n">
        <v>2</v>
      </c>
      <c r="M567" s="144" t="inlineStr">
        <is>
          <t>SI</t>
        </is>
      </c>
      <c r="N567" s="139" t="n">
        <v>4</v>
      </c>
      <c r="O567" s="145" t="n">
        <v>2</v>
      </c>
      <c r="P567" s="141" t="n">
        <v>6</v>
      </c>
      <c r="Q567" s="136" t="inlineStr">
        <is>
          <t>POTENCIA BT MUY PEQ (&lt;10mm²)</t>
        </is>
      </c>
      <c r="R567" s="136" t="inlineStr">
        <is>
          <t>OTROS/VERIFICAR</t>
        </is>
      </c>
    </row>
    <row r="568">
      <c r="A568" s="14" t="inlineStr">
        <is>
          <t>P-RC-M-14017B</t>
        </is>
      </c>
      <c r="B568" s="14" t="inlineStr">
        <is>
          <t>102-CCM-005</t>
        </is>
      </c>
      <c r="C568" s="14" t="inlineStr">
        <is>
          <t>M-14017B</t>
        </is>
      </c>
      <c r="D568" s="14" t="inlineStr">
        <is>
          <t>220</t>
        </is>
      </c>
      <c r="E568" s="14" t="inlineStr">
        <is>
          <t>220</t>
        </is>
      </c>
      <c r="F568" s="14" t="inlineStr">
        <is>
          <t>1kV-XLPE-Arm-CU</t>
        </is>
      </c>
      <c r="G568" s="14" t="inlineStr">
        <is>
          <t>2x4</t>
        </is>
      </c>
      <c r="H568" s="14" t="inlineStr">
        <is>
          <t>Aeroenfriador de Hot Oil- Área 942</t>
        </is>
      </c>
      <c r="I568" s="14" t="inlineStr">
        <is>
          <t>A</t>
        </is>
      </c>
      <c r="J568" s="14" t="inlineStr">
        <is>
          <t>POTENCIA_BT</t>
        </is>
      </c>
      <c r="K568" s="14" t="inlineStr">
        <is>
          <t>CPF2</t>
        </is>
      </c>
      <c r="L568" s="137" t="n">
        <v>2</v>
      </c>
      <c r="M568" s="144" t="inlineStr">
        <is>
          <t>SI</t>
        </is>
      </c>
      <c r="N568" s="139" t="n">
        <v>4</v>
      </c>
      <c r="O568" s="145" t="n">
        <v>2</v>
      </c>
      <c r="P568" s="141" t="n">
        <v>6</v>
      </c>
      <c r="Q568" s="136" t="inlineStr">
        <is>
          <t>POTENCIA BT MUY PEQ (&lt;10mm²)</t>
        </is>
      </c>
      <c r="R568" s="136" t="inlineStr">
        <is>
          <t>OTROS/VERIFICAR</t>
        </is>
      </c>
    </row>
    <row r="569">
      <c r="A569" s="14" t="inlineStr">
        <is>
          <t>P-RC-M-26005A</t>
        </is>
      </c>
      <c r="B569" s="14" t="inlineStr">
        <is>
          <t>102-CCM-005</t>
        </is>
      </c>
      <c r="C569" s="14" t="inlineStr">
        <is>
          <t>M-26005A</t>
        </is>
      </c>
      <c r="D569" s="14" t="inlineStr">
        <is>
          <t>220</t>
        </is>
      </c>
      <c r="E569" s="14" t="inlineStr">
        <is>
          <t>150</t>
        </is>
      </c>
      <c r="F569" s="14" t="inlineStr">
        <is>
          <t>1kV-XLPE-Arm-CU</t>
        </is>
      </c>
      <c r="G569" s="14" t="inlineStr">
        <is>
          <t>2x4</t>
        </is>
      </c>
      <c r="H569" s="14" t="inlineStr">
        <is>
          <t>Aeroenfriador de Hot Oil- Área 942</t>
        </is>
      </c>
      <c r="I569" s="14" t="inlineStr">
        <is>
          <t>A</t>
        </is>
      </c>
      <c r="J569" s="14" t="inlineStr">
        <is>
          <t>POTENCIA_BT</t>
        </is>
      </c>
      <c r="K569" s="14" t="inlineStr">
        <is>
          <t>CPF2</t>
        </is>
      </c>
      <c r="L569" s="137" t="n">
        <v>2</v>
      </c>
      <c r="M569" s="144" t="inlineStr">
        <is>
          <t>SI</t>
        </is>
      </c>
      <c r="N569" s="139" t="n">
        <v>4</v>
      </c>
      <c r="O569" s="145" t="n">
        <v>2</v>
      </c>
      <c r="P569" s="141" t="n">
        <v>6</v>
      </c>
      <c r="Q569" s="136" t="inlineStr">
        <is>
          <t>POTENCIA BT MUY PEQ (&lt;10mm²)</t>
        </is>
      </c>
      <c r="R569" s="136" t="inlineStr">
        <is>
          <t>OTROS/VERIFICAR</t>
        </is>
      </c>
    </row>
    <row r="570">
      <c r="A570" s="14" t="inlineStr">
        <is>
          <t>P-RC-M-26005B</t>
        </is>
      </c>
      <c r="B570" s="14" t="inlineStr">
        <is>
          <t>102-CCM-005</t>
        </is>
      </c>
      <c r="C570" s="14" t="inlineStr">
        <is>
          <t>M-26005B</t>
        </is>
      </c>
      <c r="D570" s="14" t="inlineStr">
        <is>
          <t>220</t>
        </is>
      </c>
      <c r="E570" s="14" t="inlineStr">
        <is>
          <t>150</t>
        </is>
      </c>
      <c r="F570" s="14" t="inlineStr">
        <is>
          <t>1kV-XLPE-Arm-CU</t>
        </is>
      </c>
      <c r="G570" s="14" t="inlineStr">
        <is>
          <t>2x4</t>
        </is>
      </c>
      <c r="H570" s="14" t="inlineStr">
        <is>
          <t>Aeroenfriador de Hot Oil- Área 942</t>
        </is>
      </c>
      <c r="I570" s="14" t="inlineStr">
        <is>
          <t>A</t>
        </is>
      </c>
      <c r="J570" s="14" t="inlineStr">
        <is>
          <t>POTENCIA_BT</t>
        </is>
      </c>
      <c r="K570" s="14" t="inlineStr">
        <is>
          <t>CPF2</t>
        </is>
      </c>
      <c r="L570" s="137" t="n">
        <v>2</v>
      </c>
      <c r="M570" s="144" t="inlineStr">
        <is>
          <t>SI</t>
        </is>
      </c>
      <c r="N570" s="139" t="n">
        <v>4</v>
      </c>
      <c r="O570" s="145" t="n">
        <v>2</v>
      </c>
      <c r="P570" s="141" t="n">
        <v>6</v>
      </c>
      <c r="Q570" s="136" t="inlineStr">
        <is>
          <t>POTENCIA BT MUY PEQ (&lt;10mm²)</t>
        </is>
      </c>
      <c r="R570" s="136" t="inlineStr">
        <is>
          <t>OTROS/VERIFICAR</t>
        </is>
      </c>
    </row>
    <row r="571">
      <c r="A571" s="14" t="inlineStr">
        <is>
          <t>P-RC-M-26012</t>
        </is>
      </c>
      <c r="B571" s="14" t="inlineStr">
        <is>
          <t>102-CCM-005</t>
        </is>
      </c>
      <c r="C571" s="14" t="inlineStr">
        <is>
          <t>M-26012</t>
        </is>
      </c>
      <c r="D571" s="14" t="inlineStr">
        <is>
          <t>220</t>
        </is>
      </c>
      <c r="E571" s="14" t="inlineStr">
        <is>
          <t>150</t>
        </is>
      </c>
      <c r="F571" s="14" t="inlineStr">
        <is>
          <t>1kV-XLPE-Arm-CU</t>
        </is>
      </c>
      <c r="G571" s="14" t="inlineStr">
        <is>
          <t>2x4</t>
        </is>
      </c>
      <c r="H571" s="14" t="inlineStr">
        <is>
          <t>Aeroenfriador de Hot Oil- Área 942</t>
        </is>
      </c>
      <c r="I571" s="14" t="inlineStr">
        <is>
          <t>A</t>
        </is>
      </c>
      <c r="J571" s="14" t="inlineStr">
        <is>
          <t>POTENCIA_BT</t>
        </is>
      </c>
      <c r="K571" s="14" t="inlineStr">
        <is>
          <t>CPF2</t>
        </is>
      </c>
      <c r="L571" s="137" t="n">
        <v>2</v>
      </c>
      <c r="M571" s="144" t="inlineStr">
        <is>
          <t>SI</t>
        </is>
      </c>
      <c r="N571" s="139" t="n">
        <v>4</v>
      </c>
      <c r="O571" s="145" t="n">
        <v>2</v>
      </c>
      <c r="P571" s="141" t="n">
        <v>6</v>
      </c>
      <c r="Q571" s="136" t="inlineStr">
        <is>
          <t>POTENCIA BT MUY PEQ (&lt;10mm²)</t>
        </is>
      </c>
      <c r="R571" s="136" t="inlineStr">
        <is>
          <t>OTROS/VERIFICAR</t>
        </is>
      </c>
    </row>
    <row r="572">
      <c r="A572" s="14" t="inlineStr">
        <is>
          <t>P-RC-M-29112A</t>
        </is>
      </c>
      <c r="B572" s="14" t="inlineStr">
        <is>
          <t>102-CCM-005</t>
        </is>
      </c>
      <c r="C572" s="14" t="inlineStr">
        <is>
          <t>M-29112A</t>
        </is>
      </c>
      <c r="D572" s="14" t="inlineStr">
        <is>
          <t>220</t>
        </is>
      </c>
      <c r="E572" s="14" t="inlineStr">
        <is>
          <t>230</t>
        </is>
      </c>
      <c r="F572" s="14" t="inlineStr">
        <is>
          <t>1kV-XLPE-Arm-CU</t>
        </is>
      </c>
      <c r="G572" s="14" t="inlineStr">
        <is>
          <t>2x4</t>
        </is>
      </c>
      <c r="H572" s="14" t="inlineStr">
        <is>
          <t>Aeroenfriador de Hot Oil- Área 942</t>
        </is>
      </c>
      <c r="I572" s="14" t="inlineStr">
        <is>
          <t>A</t>
        </is>
      </c>
      <c r="J572" s="14" t="inlineStr">
        <is>
          <t>POTENCIA_BT</t>
        </is>
      </c>
      <c r="K572" s="14" t="inlineStr">
        <is>
          <t>CPF2</t>
        </is>
      </c>
      <c r="L572" s="137" t="n">
        <v>2</v>
      </c>
      <c r="M572" s="144" t="inlineStr">
        <is>
          <t>SI</t>
        </is>
      </c>
      <c r="N572" s="139" t="n">
        <v>4</v>
      </c>
      <c r="O572" s="145" t="n">
        <v>2</v>
      </c>
      <c r="P572" s="141" t="n">
        <v>6</v>
      </c>
      <c r="Q572" s="136" t="inlineStr">
        <is>
          <t>POTENCIA BT MUY PEQ (&lt;10mm²)</t>
        </is>
      </c>
      <c r="R572" s="136" t="inlineStr">
        <is>
          <t>OTROS/VERIFICAR</t>
        </is>
      </c>
    </row>
    <row r="573">
      <c r="A573" s="14" t="inlineStr">
        <is>
          <t>P-RC-M-29112B</t>
        </is>
      </c>
      <c r="B573" s="14" t="inlineStr">
        <is>
          <t>102-CCM-005</t>
        </is>
      </c>
      <c r="C573" s="14" t="inlineStr">
        <is>
          <t>M-29112B</t>
        </is>
      </c>
      <c r="D573" s="14" t="inlineStr">
        <is>
          <t>220</t>
        </is>
      </c>
      <c r="E573" s="14" t="inlineStr">
        <is>
          <t>230</t>
        </is>
      </c>
      <c r="F573" s="14" t="inlineStr">
        <is>
          <t>1kV-XLPE-Arm-CU</t>
        </is>
      </c>
      <c r="G573" s="14" t="inlineStr">
        <is>
          <t>2x4</t>
        </is>
      </c>
      <c r="H573" s="14" t="inlineStr">
        <is>
          <t>Aeroenfriador de Hot Oil- Área 942</t>
        </is>
      </c>
      <c r="I573" s="14" t="inlineStr">
        <is>
          <t>A</t>
        </is>
      </c>
      <c r="J573" s="14" t="inlineStr">
        <is>
          <t>POTENCIA_BT</t>
        </is>
      </c>
      <c r="K573" s="14" t="inlineStr">
        <is>
          <t>CPF2</t>
        </is>
      </c>
      <c r="L573" s="137" t="n">
        <v>2</v>
      </c>
      <c r="M573" s="144" t="inlineStr">
        <is>
          <t>SI</t>
        </is>
      </c>
      <c r="N573" s="139" t="n">
        <v>4</v>
      </c>
      <c r="O573" s="145" t="n">
        <v>2</v>
      </c>
      <c r="P573" s="141" t="n">
        <v>6</v>
      </c>
      <c r="Q573" s="136" t="inlineStr">
        <is>
          <t>POTENCIA BT MUY PEQ (&lt;10mm²)</t>
        </is>
      </c>
      <c r="R573" s="136" t="inlineStr">
        <is>
          <t>OTROS/VERIFICAR</t>
        </is>
      </c>
    </row>
    <row r="574">
      <c r="A574" s="14" t="inlineStr">
        <is>
          <t>P-RC-M-29132A</t>
        </is>
      </c>
      <c r="B574" s="14" t="inlineStr">
        <is>
          <t>102-CCM-005</t>
        </is>
      </c>
      <c r="C574" s="14" t="inlineStr">
        <is>
          <t>M-29132A</t>
        </is>
      </c>
      <c r="D574" s="14" t="inlineStr">
        <is>
          <t>220</t>
        </is>
      </c>
      <c r="E574" s="14" t="inlineStr">
        <is>
          <t>230</t>
        </is>
      </c>
      <c r="F574" s="14" t="inlineStr">
        <is>
          <t>1kV-XLPE-Arm-CU</t>
        </is>
      </c>
      <c r="G574" s="14" t="inlineStr">
        <is>
          <t>2x4</t>
        </is>
      </c>
      <c r="H574" s="14" t="inlineStr">
        <is>
          <t>Aeroenfriador de Hot Oil- Área 942</t>
        </is>
      </c>
      <c r="I574" s="14" t="inlineStr"/>
      <c r="J574" s="14" t="inlineStr">
        <is>
          <t>POTENCIA_BT</t>
        </is>
      </c>
      <c r="K574" s="14" t="inlineStr">
        <is>
          <t>CPF2</t>
        </is>
      </c>
      <c r="L574" s="137" t="n">
        <v>2</v>
      </c>
      <c r="M574" s="144" t="inlineStr">
        <is>
          <t>SI</t>
        </is>
      </c>
      <c r="N574" s="139" t="n">
        <v>4</v>
      </c>
      <c r="O574" s="145" t="n">
        <v>2</v>
      </c>
      <c r="P574" s="141" t="n">
        <v>6</v>
      </c>
      <c r="Q574" s="136" t="inlineStr">
        <is>
          <t>POTENCIA BT MUY PEQ (&lt;10mm²)</t>
        </is>
      </c>
      <c r="R574" s="136" t="inlineStr">
        <is>
          <t>OTROS/VERIFICAR</t>
        </is>
      </c>
    </row>
    <row r="575">
      <c r="A575" s="14" t="inlineStr">
        <is>
          <t>P-RC-M-29132B</t>
        </is>
      </c>
      <c r="B575" s="14" t="inlineStr">
        <is>
          <t>102-CCM-005</t>
        </is>
      </c>
      <c r="C575" s="14" t="inlineStr">
        <is>
          <t>M-29132B</t>
        </is>
      </c>
      <c r="D575" s="14" t="inlineStr">
        <is>
          <t>220</t>
        </is>
      </c>
      <c r="E575" s="14" t="inlineStr">
        <is>
          <t>230</t>
        </is>
      </c>
      <c r="F575" s="14" t="inlineStr">
        <is>
          <t>1kV-XLPE-Arm-CU</t>
        </is>
      </c>
      <c r="G575" s="14" t="inlineStr">
        <is>
          <t>2x4</t>
        </is>
      </c>
      <c r="H575" s="14" t="inlineStr">
        <is>
          <t>Aeroenfriador de Hot Oil- Área 942</t>
        </is>
      </c>
      <c r="I575" s="14" t="inlineStr">
        <is>
          <t>A</t>
        </is>
      </c>
      <c r="J575" s="14" t="inlineStr">
        <is>
          <t>POTENCIA_BT</t>
        </is>
      </c>
      <c r="K575" s="14" t="inlineStr">
        <is>
          <t>CPF2</t>
        </is>
      </c>
      <c r="L575" s="137" t="n">
        <v>2</v>
      </c>
      <c r="M575" s="144" t="inlineStr">
        <is>
          <t>SI</t>
        </is>
      </c>
      <c r="N575" s="139" t="n">
        <v>4</v>
      </c>
      <c r="O575" s="145" t="n">
        <v>2</v>
      </c>
      <c r="P575" s="141" t="n">
        <v>6</v>
      </c>
      <c r="Q575" s="136" t="inlineStr">
        <is>
          <t>POTENCIA BT MUY PEQ (&lt;10mm²)</t>
        </is>
      </c>
      <c r="R575" s="136" t="inlineStr">
        <is>
          <t>OTROS/VERIFICAR</t>
        </is>
      </c>
    </row>
    <row r="576">
      <c r="A576" s="14" t="inlineStr">
        <is>
          <t>P-RC-M-29185</t>
        </is>
      </c>
      <c r="B576" s="14" t="inlineStr">
        <is>
          <t>102-CCM-005</t>
        </is>
      </c>
      <c r="C576" s="14" t="inlineStr">
        <is>
          <t>M-29185</t>
        </is>
      </c>
      <c r="D576" s="14" t="inlineStr">
        <is>
          <t>220</t>
        </is>
      </c>
      <c r="E576" s="14" t="inlineStr">
        <is>
          <t>230</t>
        </is>
      </c>
      <c r="F576" s="14" t="inlineStr">
        <is>
          <t>1kV-XLPE-Arm-CU</t>
        </is>
      </c>
      <c r="G576" s="14" t="inlineStr">
        <is>
          <t>2x4</t>
        </is>
      </c>
      <c r="H576" s="14" t="inlineStr">
        <is>
          <t>Aeroenfriador de Hot Oil- Área 942</t>
        </is>
      </c>
      <c r="I576" s="14" t="inlineStr">
        <is>
          <t>A</t>
        </is>
      </c>
      <c r="J576" s="14" t="inlineStr">
        <is>
          <t>POTENCIA_BT</t>
        </is>
      </c>
      <c r="K576" s="14" t="inlineStr">
        <is>
          <t>CPF2</t>
        </is>
      </c>
      <c r="L576" s="137" t="n">
        <v>2</v>
      </c>
      <c r="M576" s="144" t="inlineStr">
        <is>
          <t>SI</t>
        </is>
      </c>
      <c r="N576" s="139" t="n">
        <v>4</v>
      </c>
      <c r="O576" s="145" t="n">
        <v>2</v>
      </c>
      <c r="P576" s="141" t="n">
        <v>6</v>
      </c>
      <c r="Q576" s="136" t="inlineStr">
        <is>
          <t>POTENCIA BT MUY PEQ (&lt;10mm²)</t>
        </is>
      </c>
      <c r="R576" s="136" t="inlineStr">
        <is>
          <t>OTROS/VERIFICAR</t>
        </is>
      </c>
    </row>
    <row r="577">
      <c r="A577" s="14" t="inlineStr">
        <is>
          <t>P-RC-M-29186</t>
        </is>
      </c>
      <c r="B577" s="14" t="inlineStr">
        <is>
          <t>102-CCM-005</t>
        </is>
      </c>
      <c r="C577" s="14" t="inlineStr">
        <is>
          <t>M-29186</t>
        </is>
      </c>
      <c r="D577" s="14" t="inlineStr">
        <is>
          <t>220</t>
        </is>
      </c>
      <c r="E577" s="14" t="inlineStr">
        <is>
          <t>230</t>
        </is>
      </c>
      <c r="F577" s="14" t="inlineStr">
        <is>
          <t>1kV-XLPE-Arm-CU</t>
        </is>
      </c>
      <c r="G577" s="14" t="inlineStr">
        <is>
          <t>2x4</t>
        </is>
      </c>
      <c r="H577" s="14" t="inlineStr">
        <is>
          <t>Aeroenfriador de Hot Oil- Área 942</t>
        </is>
      </c>
      <c r="I577" s="14" t="inlineStr">
        <is>
          <t>A</t>
        </is>
      </c>
      <c r="J577" s="14" t="inlineStr">
        <is>
          <t>POTENCIA_BT</t>
        </is>
      </c>
      <c r="K577" s="14" t="inlineStr">
        <is>
          <t>CPF2</t>
        </is>
      </c>
      <c r="L577" s="137" t="n">
        <v>2</v>
      </c>
      <c r="M577" s="144" t="inlineStr">
        <is>
          <t>SI</t>
        </is>
      </c>
      <c r="N577" s="139" t="n">
        <v>4</v>
      </c>
      <c r="O577" s="145" t="n">
        <v>2</v>
      </c>
      <c r="P577" s="141" t="n">
        <v>6</v>
      </c>
      <c r="Q577" s="136" t="inlineStr">
        <is>
          <t>POTENCIA BT MUY PEQ (&lt;10mm²)</t>
        </is>
      </c>
      <c r="R577" s="136" t="inlineStr">
        <is>
          <t>OTROS/VERIFICAR</t>
        </is>
      </c>
    </row>
    <row r="578">
      <c r="A578" s="14" t="inlineStr">
        <is>
          <t>P-RC-M-29212A</t>
        </is>
      </c>
      <c r="B578" s="14" t="inlineStr">
        <is>
          <t>102-CCM-005</t>
        </is>
      </c>
      <c r="C578" s="14" t="inlineStr">
        <is>
          <t>M-29212A</t>
        </is>
      </c>
      <c r="D578" s="14" t="inlineStr">
        <is>
          <t>220</t>
        </is>
      </c>
      <c r="E578" s="14" t="inlineStr">
        <is>
          <t>215</t>
        </is>
      </c>
      <c r="F578" s="14" t="inlineStr">
        <is>
          <t>1kV-XLPE-Arm-CU</t>
        </is>
      </c>
      <c r="G578" s="14" t="inlineStr">
        <is>
          <t>2x4</t>
        </is>
      </c>
      <c r="H578" s="14" t="inlineStr">
        <is>
          <t>Aeroenfriador de Hot Oil- Área 942</t>
        </is>
      </c>
      <c r="I578" s="14" t="inlineStr">
        <is>
          <t>A</t>
        </is>
      </c>
      <c r="J578" s="14" t="inlineStr">
        <is>
          <t>POTENCIA_BT</t>
        </is>
      </c>
      <c r="K578" s="14" t="inlineStr">
        <is>
          <t>CPF2</t>
        </is>
      </c>
      <c r="L578" s="137" t="n">
        <v>2</v>
      </c>
      <c r="M578" s="144" t="inlineStr">
        <is>
          <t>SI</t>
        </is>
      </c>
      <c r="N578" s="139" t="n">
        <v>4</v>
      </c>
      <c r="O578" s="145" t="n">
        <v>2</v>
      </c>
      <c r="P578" s="141" t="n">
        <v>6</v>
      </c>
      <c r="Q578" s="136" t="inlineStr">
        <is>
          <t>POTENCIA BT MUY PEQ (&lt;10mm²)</t>
        </is>
      </c>
      <c r="R578" s="136" t="inlineStr">
        <is>
          <t>OTROS/VERIFICAR</t>
        </is>
      </c>
    </row>
    <row r="579">
      <c r="A579" s="14" t="inlineStr">
        <is>
          <t>P-RC-M-29212B</t>
        </is>
      </c>
      <c r="B579" s="14" t="inlineStr">
        <is>
          <t>102-CCM-005</t>
        </is>
      </c>
      <c r="C579" s="14" t="inlineStr">
        <is>
          <t>M-29212B</t>
        </is>
      </c>
      <c r="D579" s="14" t="inlineStr">
        <is>
          <t>220</t>
        </is>
      </c>
      <c r="E579" s="14" t="inlineStr">
        <is>
          <t>215</t>
        </is>
      </c>
      <c r="F579" s="14" t="inlineStr">
        <is>
          <t>1kV-XLPE-Arm-CU</t>
        </is>
      </c>
      <c r="G579" s="14" t="inlineStr">
        <is>
          <t>2x4</t>
        </is>
      </c>
      <c r="H579" s="14" t="inlineStr">
        <is>
          <t>Aeroenfriador de Hot Oil- Área 942</t>
        </is>
      </c>
      <c r="I579" s="14" t="inlineStr">
        <is>
          <t>A</t>
        </is>
      </c>
      <c r="J579" s="14" t="inlineStr">
        <is>
          <t>POTENCIA_BT</t>
        </is>
      </c>
      <c r="K579" s="14" t="inlineStr">
        <is>
          <t>CPF2</t>
        </is>
      </c>
      <c r="L579" s="137" t="n">
        <v>2</v>
      </c>
      <c r="M579" s="144" t="inlineStr">
        <is>
          <t>SI</t>
        </is>
      </c>
      <c r="N579" s="139" t="n">
        <v>4</v>
      </c>
      <c r="O579" s="145" t="n">
        <v>2</v>
      </c>
      <c r="P579" s="141" t="n">
        <v>6</v>
      </c>
      <c r="Q579" s="136" t="inlineStr">
        <is>
          <t>POTENCIA BT MUY PEQ (&lt;10mm²)</t>
        </is>
      </c>
      <c r="R579" s="136" t="inlineStr">
        <is>
          <t>OTROS/VERIFICAR</t>
        </is>
      </c>
    </row>
    <row r="580">
      <c r="A580" s="14" t="inlineStr">
        <is>
          <t>P-RC-M-29232A</t>
        </is>
      </c>
      <c r="B580" s="14" t="inlineStr">
        <is>
          <t>102-CCM-005</t>
        </is>
      </c>
      <c r="C580" s="14" t="inlineStr">
        <is>
          <t>M-29232A</t>
        </is>
      </c>
      <c r="D580" s="14" t="inlineStr">
        <is>
          <t>220</t>
        </is>
      </c>
      <c r="E580" s="14" t="inlineStr">
        <is>
          <t>215</t>
        </is>
      </c>
      <c r="F580" s="14" t="inlineStr">
        <is>
          <t>1kV-XLPE-Arm-CU</t>
        </is>
      </c>
      <c r="G580" s="14" t="inlineStr">
        <is>
          <t>2x4</t>
        </is>
      </c>
      <c r="H580" s="14" t="inlineStr">
        <is>
          <t>Aeroenfriador de Hot Oil- Área 942</t>
        </is>
      </c>
      <c r="I580" s="14" t="inlineStr">
        <is>
          <t>A</t>
        </is>
      </c>
      <c r="J580" s="14" t="inlineStr">
        <is>
          <t>POTENCIA_BT</t>
        </is>
      </c>
      <c r="K580" s="14" t="inlineStr">
        <is>
          <t>CPF2</t>
        </is>
      </c>
      <c r="L580" s="137" t="n">
        <v>2</v>
      </c>
      <c r="M580" s="144" t="inlineStr">
        <is>
          <t>SI</t>
        </is>
      </c>
      <c r="N580" s="139" t="n">
        <v>4</v>
      </c>
      <c r="O580" s="145" t="n">
        <v>2</v>
      </c>
      <c r="P580" s="141" t="n">
        <v>6</v>
      </c>
      <c r="Q580" s="136" t="inlineStr">
        <is>
          <t>POTENCIA BT MUY PEQ (&lt;10mm²)</t>
        </is>
      </c>
      <c r="R580" s="136" t="inlineStr">
        <is>
          <t>OTROS/VERIFICAR</t>
        </is>
      </c>
    </row>
    <row r="581">
      <c r="A581" s="14" t="inlineStr">
        <is>
          <t>P-RC-M-29232B</t>
        </is>
      </c>
      <c r="B581" s="14" t="inlineStr">
        <is>
          <t>102-CCM-005</t>
        </is>
      </c>
      <c r="C581" s="14" t="inlineStr">
        <is>
          <t>M-29232B</t>
        </is>
      </c>
      <c r="D581" s="14" t="inlineStr">
        <is>
          <t>220</t>
        </is>
      </c>
      <c r="E581" s="14" t="inlineStr">
        <is>
          <t>215</t>
        </is>
      </c>
      <c r="F581" s="14" t="inlineStr">
        <is>
          <t>1kV-XLPE-Arm-CU</t>
        </is>
      </c>
      <c r="G581" s="14" t="inlineStr">
        <is>
          <t>2x4</t>
        </is>
      </c>
      <c r="H581" s="14" t="inlineStr">
        <is>
          <t>Aeroenfriador de Hot Oil- Área 942</t>
        </is>
      </c>
      <c r="I581" s="14" t="inlineStr">
        <is>
          <t>A</t>
        </is>
      </c>
      <c r="J581" s="14" t="inlineStr">
        <is>
          <t>POTENCIA_BT</t>
        </is>
      </c>
      <c r="K581" s="14" t="inlineStr">
        <is>
          <t>CPF2</t>
        </is>
      </c>
      <c r="L581" s="137" t="n">
        <v>2</v>
      </c>
      <c r="M581" s="144" t="inlineStr">
        <is>
          <t>SI</t>
        </is>
      </c>
      <c r="N581" s="139" t="n">
        <v>4</v>
      </c>
      <c r="O581" s="145" t="n">
        <v>2</v>
      </c>
      <c r="P581" s="141" t="n">
        <v>6</v>
      </c>
      <c r="Q581" s="136" t="inlineStr">
        <is>
          <t>POTENCIA BT MUY PEQ (&lt;10mm²)</t>
        </is>
      </c>
      <c r="R581" s="136" t="inlineStr">
        <is>
          <t>OTROS/VERIFICAR</t>
        </is>
      </c>
    </row>
    <row r="582">
      <c r="A582" s="14" t="inlineStr">
        <is>
          <t>P-RC-M-29285</t>
        </is>
      </c>
      <c r="B582" s="14" t="inlineStr">
        <is>
          <t>102-CCM-005</t>
        </is>
      </c>
      <c r="C582" s="14" t="inlineStr">
        <is>
          <t>M-29285</t>
        </is>
      </c>
      <c r="D582" s="14" t="inlineStr">
        <is>
          <t>220</t>
        </is>
      </c>
      <c r="E582" s="14" t="inlineStr">
        <is>
          <t>215</t>
        </is>
      </c>
      <c r="F582" s="14" t="inlineStr">
        <is>
          <t>1kV-XLPE-Arm-CU</t>
        </is>
      </c>
      <c r="G582" s="14" t="inlineStr">
        <is>
          <t>2x4</t>
        </is>
      </c>
      <c r="H582" s="14" t="inlineStr">
        <is>
          <t>Aeroenfriador de Hot Oil- Área 942</t>
        </is>
      </c>
      <c r="I582" s="14" t="inlineStr">
        <is>
          <t>A</t>
        </is>
      </c>
      <c r="J582" s="14" t="inlineStr">
        <is>
          <t>POTENCIA_BT</t>
        </is>
      </c>
      <c r="K582" s="14" t="inlineStr">
        <is>
          <t>CPF2</t>
        </is>
      </c>
      <c r="L582" s="137" t="n">
        <v>2</v>
      </c>
      <c r="M582" s="144" t="inlineStr">
        <is>
          <t>SI</t>
        </is>
      </c>
      <c r="N582" s="139" t="n">
        <v>4</v>
      </c>
      <c r="O582" s="145" t="n">
        <v>2</v>
      </c>
      <c r="P582" s="141" t="n">
        <v>6</v>
      </c>
      <c r="Q582" s="136" t="inlineStr">
        <is>
          <t>POTENCIA BT MUY PEQ (&lt;10mm²)</t>
        </is>
      </c>
      <c r="R582" s="136" t="inlineStr">
        <is>
          <t>OTROS/VERIFICAR</t>
        </is>
      </c>
    </row>
    <row r="583">
      <c r="A583" s="14" t="inlineStr">
        <is>
          <t>P-RC-M-29286</t>
        </is>
      </c>
      <c r="B583" s="14" t="inlineStr">
        <is>
          <t>102-CCM-005</t>
        </is>
      </c>
      <c r="C583" s="14" t="inlineStr">
        <is>
          <t>M-29286</t>
        </is>
      </c>
      <c r="D583" s="14" t="inlineStr">
        <is>
          <t>220</t>
        </is>
      </c>
      <c r="E583" s="14" t="inlineStr">
        <is>
          <t>215</t>
        </is>
      </c>
      <c r="F583" s="14" t="inlineStr">
        <is>
          <t>1kV-XLPE-Arm-CU</t>
        </is>
      </c>
      <c r="G583" s="14" t="inlineStr">
        <is>
          <t>2x4</t>
        </is>
      </c>
      <c r="H583" s="14" t="inlineStr">
        <is>
          <t>Aeroenfriador de Hot Oil- Área 942</t>
        </is>
      </c>
      <c r="I583" s="14" t="inlineStr">
        <is>
          <t>A</t>
        </is>
      </c>
      <c r="J583" s="14" t="inlineStr">
        <is>
          <t>POTENCIA_BT</t>
        </is>
      </c>
      <c r="K583" s="14" t="inlineStr">
        <is>
          <t>CPF2</t>
        </is>
      </c>
      <c r="L583" s="137" t="n">
        <v>2</v>
      </c>
      <c r="M583" s="144" t="inlineStr">
        <is>
          <t>SI</t>
        </is>
      </c>
      <c r="N583" s="139" t="n">
        <v>4</v>
      </c>
      <c r="O583" s="145" t="n">
        <v>2</v>
      </c>
      <c r="P583" s="141" t="n">
        <v>6</v>
      </c>
      <c r="Q583" s="136" t="inlineStr">
        <is>
          <t>POTENCIA BT MUY PEQ (&lt;10mm²)</t>
        </is>
      </c>
      <c r="R583" s="136" t="inlineStr">
        <is>
          <t>OTROS/VERIFICAR</t>
        </is>
      </c>
    </row>
    <row r="584">
      <c r="A584" s="14" t="inlineStr">
        <is>
          <t>P-RC-M-29312A</t>
        </is>
      </c>
      <c r="B584" s="14" t="inlineStr">
        <is>
          <t>102-CCM-005</t>
        </is>
      </c>
      <c r="C584" s="14" t="inlineStr">
        <is>
          <t>M-29312A</t>
        </is>
      </c>
      <c r="D584" s="14" t="inlineStr">
        <is>
          <t>220</t>
        </is>
      </c>
      <c r="E584" s="14" t="inlineStr">
        <is>
          <t>190</t>
        </is>
      </c>
      <c r="F584" s="14" t="inlineStr">
        <is>
          <t>1kV-XLPE-Arm-CU</t>
        </is>
      </c>
      <c r="G584" s="14" t="inlineStr">
        <is>
          <t>2x4</t>
        </is>
      </c>
      <c r="H584" s="14" t="inlineStr">
        <is>
          <t>Aeroenfriador de Hot Oil- Área 942</t>
        </is>
      </c>
      <c r="I584" s="14" t="inlineStr">
        <is>
          <t>A</t>
        </is>
      </c>
      <c r="J584" s="14" t="inlineStr">
        <is>
          <t>POTENCIA_BT</t>
        </is>
      </c>
      <c r="K584" s="14" t="inlineStr">
        <is>
          <t>CPF2</t>
        </is>
      </c>
      <c r="L584" s="137" t="n">
        <v>2</v>
      </c>
      <c r="M584" s="144" t="inlineStr">
        <is>
          <t>SI</t>
        </is>
      </c>
      <c r="N584" s="139" t="n">
        <v>4</v>
      </c>
      <c r="O584" s="145" t="n">
        <v>2</v>
      </c>
      <c r="P584" s="141" t="n">
        <v>6</v>
      </c>
      <c r="Q584" s="136" t="inlineStr">
        <is>
          <t>POTENCIA BT MUY PEQ (&lt;10mm²)</t>
        </is>
      </c>
      <c r="R584" s="136" t="inlineStr">
        <is>
          <t>OTROS/VERIFICAR</t>
        </is>
      </c>
    </row>
    <row r="585">
      <c r="A585" s="14" t="inlineStr">
        <is>
          <t>P-RC-M-29312B</t>
        </is>
      </c>
      <c r="B585" s="14" t="inlineStr">
        <is>
          <t>102-CCM-005</t>
        </is>
      </c>
      <c r="C585" s="14" t="inlineStr">
        <is>
          <t>M-29312B</t>
        </is>
      </c>
      <c r="D585" s="14" t="inlineStr">
        <is>
          <t>220</t>
        </is>
      </c>
      <c r="E585" s="14" t="inlineStr">
        <is>
          <t>190</t>
        </is>
      </c>
      <c r="F585" s="14" t="inlineStr">
        <is>
          <t>1kV-XLPE-Arm-CU</t>
        </is>
      </c>
      <c r="G585" s="14" t="inlineStr">
        <is>
          <t>2x4</t>
        </is>
      </c>
      <c r="H585" s="14" t="inlineStr">
        <is>
          <t>Aeroenfriador de Hot Oil- Área 942</t>
        </is>
      </c>
      <c r="I585" s="14" t="inlineStr">
        <is>
          <t>A</t>
        </is>
      </c>
      <c r="J585" s="14" t="inlineStr">
        <is>
          <t>POTENCIA_BT</t>
        </is>
      </c>
      <c r="K585" s="14" t="inlineStr">
        <is>
          <t>CPF2</t>
        </is>
      </c>
      <c r="L585" s="137" t="n">
        <v>2</v>
      </c>
      <c r="M585" s="144" t="inlineStr">
        <is>
          <t>SI</t>
        </is>
      </c>
      <c r="N585" s="139" t="n">
        <v>4</v>
      </c>
      <c r="O585" s="145" t="n">
        <v>2</v>
      </c>
      <c r="P585" s="141" t="n">
        <v>6</v>
      </c>
      <c r="Q585" s="136" t="inlineStr">
        <is>
          <t>POTENCIA BT MUY PEQ (&lt;10mm²)</t>
        </is>
      </c>
      <c r="R585" s="136" t="inlineStr">
        <is>
          <t>OTROS/VERIFICAR</t>
        </is>
      </c>
    </row>
    <row r="586">
      <c r="A586" s="14" t="inlineStr">
        <is>
          <t>P-RC-M-29332A</t>
        </is>
      </c>
      <c r="B586" s="14" t="inlineStr">
        <is>
          <t>102-CCM-005</t>
        </is>
      </c>
      <c r="C586" s="14" t="inlineStr">
        <is>
          <t>M-29332A</t>
        </is>
      </c>
      <c r="D586" s="14" t="inlineStr">
        <is>
          <t>220</t>
        </is>
      </c>
      <c r="E586" s="14" t="inlineStr">
        <is>
          <t>190</t>
        </is>
      </c>
      <c r="F586" s="14" t="inlineStr">
        <is>
          <t>1kV-XLPE-Arm-CU</t>
        </is>
      </c>
      <c r="G586" s="14" t="inlineStr">
        <is>
          <t>2x4</t>
        </is>
      </c>
      <c r="H586" s="14" t="inlineStr">
        <is>
          <t>Aeroenfriador de Hot Oil- Área 942</t>
        </is>
      </c>
      <c r="I586" s="14" t="inlineStr">
        <is>
          <t>A</t>
        </is>
      </c>
      <c r="J586" s="14" t="inlineStr">
        <is>
          <t>POTENCIA_BT</t>
        </is>
      </c>
      <c r="K586" s="14" t="inlineStr">
        <is>
          <t>CPF2</t>
        </is>
      </c>
      <c r="L586" s="137" t="n">
        <v>2</v>
      </c>
      <c r="M586" s="144" t="inlineStr">
        <is>
          <t>SI</t>
        </is>
      </c>
      <c r="N586" s="139" t="n">
        <v>4</v>
      </c>
      <c r="O586" s="145" t="n">
        <v>2</v>
      </c>
      <c r="P586" s="141" t="n">
        <v>6</v>
      </c>
      <c r="Q586" s="136" t="inlineStr">
        <is>
          <t>POTENCIA BT MUY PEQ (&lt;10mm²)</t>
        </is>
      </c>
      <c r="R586" s="136" t="inlineStr">
        <is>
          <t>OTROS/VERIFICAR</t>
        </is>
      </c>
    </row>
    <row r="587">
      <c r="A587" s="14" t="inlineStr">
        <is>
          <t>P-RC-M-29332B</t>
        </is>
      </c>
      <c r="B587" s="14" t="inlineStr">
        <is>
          <t>102-CCM-005</t>
        </is>
      </c>
      <c r="C587" s="14" t="inlineStr">
        <is>
          <t>M-29332B</t>
        </is>
      </c>
      <c r="D587" s="14" t="inlineStr">
        <is>
          <t>220</t>
        </is>
      </c>
      <c r="E587" s="14" t="inlineStr">
        <is>
          <t>190</t>
        </is>
      </c>
      <c r="F587" s="14" t="inlineStr">
        <is>
          <t>1kV-XLPE-Arm-CU</t>
        </is>
      </c>
      <c r="G587" s="14" t="inlineStr">
        <is>
          <t>2x4</t>
        </is>
      </c>
      <c r="H587" s="14" t="inlineStr">
        <is>
          <t>Aeroenfriador de Hot Oil- Área 942</t>
        </is>
      </c>
      <c r="I587" s="14" t="inlineStr">
        <is>
          <t>A</t>
        </is>
      </c>
      <c r="J587" s="14" t="inlineStr">
        <is>
          <t>POTENCIA_BT</t>
        </is>
      </c>
      <c r="K587" s="14" t="inlineStr">
        <is>
          <t>CPF2</t>
        </is>
      </c>
      <c r="L587" s="137" t="n">
        <v>2</v>
      </c>
      <c r="M587" s="144" t="inlineStr">
        <is>
          <t>SI</t>
        </is>
      </c>
      <c r="N587" s="139" t="n">
        <v>4</v>
      </c>
      <c r="O587" s="145" t="n">
        <v>2</v>
      </c>
      <c r="P587" s="141" t="n">
        <v>6</v>
      </c>
      <c r="Q587" s="136" t="inlineStr">
        <is>
          <t>POTENCIA BT MUY PEQ (&lt;10mm²)</t>
        </is>
      </c>
      <c r="R587" s="136" t="inlineStr">
        <is>
          <t>OTROS/VERIFICAR</t>
        </is>
      </c>
    </row>
    <row r="588">
      <c r="A588" s="14" t="inlineStr">
        <is>
          <t>P-RC-M-29385</t>
        </is>
      </c>
      <c r="B588" s="14" t="inlineStr">
        <is>
          <t>102-CCM-005</t>
        </is>
      </c>
      <c r="C588" s="14" t="inlineStr">
        <is>
          <t>M-29385</t>
        </is>
      </c>
      <c r="D588" s="14" t="inlineStr">
        <is>
          <t>220</t>
        </is>
      </c>
      <c r="E588" s="14" t="inlineStr">
        <is>
          <t>190</t>
        </is>
      </c>
      <c r="F588" s="14" t="inlineStr">
        <is>
          <t>1kV-XLPE-Arm-CU</t>
        </is>
      </c>
      <c r="G588" s="14" t="inlineStr">
        <is>
          <t>2x4</t>
        </is>
      </c>
      <c r="H588" s="14" t="inlineStr">
        <is>
          <t>Aeroenfriador de Hot Oil- Área 942</t>
        </is>
      </c>
      <c r="I588" s="14" t="inlineStr">
        <is>
          <t>A</t>
        </is>
      </c>
      <c r="J588" s="14" t="inlineStr">
        <is>
          <t>POTENCIA_BT</t>
        </is>
      </c>
      <c r="K588" s="14" t="inlineStr">
        <is>
          <t>CPF2</t>
        </is>
      </c>
      <c r="L588" s="137" t="n">
        <v>2</v>
      </c>
      <c r="M588" s="144" t="inlineStr">
        <is>
          <t>SI</t>
        </is>
      </c>
      <c r="N588" s="139" t="n">
        <v>4</v>
      </c>
      <c r="O588" s="145" t="n">
        <v>2</v>
      </c>
      <c r="P588" s="141" t="n">
        <v>6</v>
      </c>
      <c r="Q588" s="136" t="inlineStr">
        <is>
          <t>POTENCIA BT MUY PEQ (&lt;10mm²)</t>
        </is>
      </c>
      <c r="R588" s="136" t="inlineStr">
        <is>
          <t>OTROS/VERIFICAR</t>
        </is>
      </c>
    </row>
    <row r="589">
      <c r="A589" s="14" t="inlineStr">
        <is>
          <t>P-RC-M-29386</t>
        </is>
      </c>
      <c r="B589" s="14" t="inlineStr">
        <is>
          <t>102-CCM-005</t>
        </is>
      </c>
      <c r="C589" s="14" t="inlineStr">
        <is>
          <t>M-29386</t>
        </is>
      </c>
      <c r="D589" s="14" t="inlineStr">
        <is>
          <t>220</t>
        </is>
      </c>
      <c r="E589" s="14" t="inlineStr">
        <is>
          <t>190</t>
        </is>
      </c>
      <c r="F589" s="14" t="inlineStr">
        <is>
          <t>1kV-XLPE-Arm-CU</t>
        </is>
      </c>
      <c r="G589" s="14" t="inlineStr">
        <is>
          <t>2x4</t>
        </is>
      </c>
      <c r="H589" s="14" t="inlineStr">
        <is>
          <t>Aeroenfriador de Hot Oil- Área 942</t>
        </is>
      </c>
      <c r="I589" s="14" t="inlineStr">
        <is>
          <t>A</t>
        </is>
      </c>
      <c r="J589" s="14" t="inlineStr">
        <is>
          <t>POTENCIA_BT</t>
        </is>
      </c>
      <c r="K589" s="14" t="inlineStr">
        <is>
          <t>CPF2</t>
        </is>
      </c>
      <c r="L589" s="137" t="n">
        <v>2</v>
      </c>
      <c r="M589" s="144" t="inlineStr">
        <is>
          <t>SI</t>
        </is>
      </c>
      <c r="N589" s="139" t="n">
        <v>4</v>
      </c>
      <c r="O589" s="145" t="n">
        <v>2</v>
      </c>
      <c r="P589" s="141" t="n">
        <v>6</v>
      </c>
      <c r="Q589" s="136" t="inlineStr">
        <is>
          <t>POTENCIA BT MUY PEQ (&lt;10mm²)</t>
        </is>
      </c>
      <c r="R589" s="136" t="inlineStr">
        <is>
          <t>OTROS/VERIFICAR</t>
        </is>
      </c>
    </row>
    <row r="590">
      <c r="A590" s="14" t="inlineStr">
        <is>
          <t>P-RC-M-94204-A</t>
        </is>
      </c>
      <c r="B590" s="14" t="inlineStr">
        <is>
          <t>102-CCM-005</t>
        </is>
      </c>
      <c r="C590" s="14" t="inlineStr">
        <is>
          <t>M-94204-A</t>
        </is>
      </c>
      <c r="D590" s="14" t="inlineStr">
        <is>
          <t>220</t>
        </is>
      </c>
      <c r="E590" s="14" t="inlineStr">
        <is>
          <t>430</t>
        </is>
      </c>
      <c r="F590" s="14" t="inlineStr">
        <is>
          <t>1kV-XLPE-Arm-CU</t>
        </is>
      </c>
      <c r="G590" s="14" t="inlineStr">
        <is>
          <t>2x4</t>
        </is>
      </c>
      <c r="H590" s="14" t="inlineStr">
        <is>
          <t>Aeroenfriador de Hot Oil- Área 942</t>
        </is>
      </c>
      <c r="I590" s="14" t="inlineStr">
        <is>
          <t>A</t>
        </is>
      </c>
      <c r="J590" s="14" t="inlineStr">
        <is>
          <t>POTENCIA_BT</t>
        </is>
      </c>
      <c r="K590" s="14" t="inlineStr">
        <is>
          <t>CPF2</t>
        </is>
      </c>
      <c r="L590" s="137" t="n">
        <v>2</v>
      </c>
      <c r="M590" s="144" t="inlineStr">
        <is>
          <t>SI</t>
        </is>
      </c>
      <c r="N590" s="139" t="n">
        <v>4</v>
      </c>
      <c r="O590" s="145" t="n">
        <v>2</v>
      </c>
      <c r="P590" s="141" t="n">
        <v>6</v>
      </c>
      <c r="Q590" s="136" t="inlineStr">
        <is>
          <t>POTENCIA BT MUY PEQ (&lt;10mm²)</t>
        </is>
      </c>
      <c r="R590" s="136" t="inlineStr">
        <is>
          <t>OTROS/VERIFICAR</t>
        </is>
      </c>
    </row>
    <row r="591">
      <c r="A591" s="14" t="inlineStr">
        <is>
          <t>P-RC-M-94204-B</t>
        </is>
      </c>
      <c r="B591" s="14" t="inlineStr">
        <is>
          <t>102-CCM-005</t>
        </is>
      </c>
      <c r="C591" s="14" t="inlineStr">
        <is>
          <t>M-94204-B</t>
        </is>
      </c>
      <c r="D591" s="14" t="inlineStr">
        <is>
          <t>220</t>
        </is>
      </c>
      <c r="E591" s="14" t="inlineStr">
        <is>
          <t>430</t>
        </is>
      </c>
      <c r="F591" s="14" t="inlineStr">
        <is>
          <t>1kV-XLPE-Arm-CU</t>
        </is>
      </c>
      <c r="G591" s="14" t="inlineStr">
        <is>
          <t>2x4</t>
        </is>
      </c>
      <c r="H591" s="14" t="inlineStr">
        <is>
          <t>Aeroenfriador de Hot Oil- Área 942</t>
        </is>
      </c>
      <c r="I591" s="14" t="inlineStr">
        <is>
          <t>A</t>
        </is>
      </c>
      <c r="J591" s="14" t="inlineStr">
        <is>
          <t>POTENCIA_BT</t>
        </is>
      </c>
      <c r="K591" s="14" t="inlineStr">
        <is>
          <t>CPF2</t>
        </is>
      </c>
      <c r="L591" s="137" t="n">
        <v>2</v>
      </c>
      <c r="M591" s="144" t="inlineStr">
        <is>
          <t>SI</t>
        </is>
      </c>
      <c r="N591" s="139" t="n">
        <v>4</v>
      </c>
      <c r="O591" s="145" t="n">
        <v>2</v>
      </c>
      <c r="P591" s="141" t="n">
        <v>6</v>
      </c>
      <c r="Q591" s="136" t="inlineStr">
        <is>
          <t>POTENCIA BT MUY PEQ (&lt;10mm²)</t>
        </is>
      </c>
      <c r="R591" s="136" t="inlineStr">
        <is>
          <t>OTROS/VERIFICAR</t>
        </is>
      </c>
    </row>
    <row r="592">
      <c r="A592" s="14" t="inlineStr">
        <is>
          <t>P-RC-M-94213A</t>
        </is>
      </c>
      <c r="B592" s="14" t="inlineStr">
        <is>
          <t>102-CCM-005</t>
        </is>
      </c>
      <c r="C592" s="14" t="inlineStr">
        <is>
          <t>M-94213A</t>
        </is>
      </c>
      <c r="D592" s="14" t="inlineStr">
        <is>
          <t>220</t>
        </is>
      </c>
      <c r="E592" s="14" t="inlineStr">
        <is>
          <t>430</t>
        </is>
      </c>
      <c r="F592" s="14" t="inlineStr">
        <is>
          <t>1kV-XLPE-Arm-CU</t>
        </is>
      </c>
      <c r="G592" s="14" t="inlineStr">
        <is>
          <t>2x4</t>
        </is>
      </c>
      <c r="H592" s="14" t="inlineStr">
        <is>
          <t>Aeroenfriador de Hot Oil- Área 942</t>
        </is>
      </c>
      <c r="I592" s="14" t="inlineStr">
        <is>
          <t>A</t>
        </is>
      </c>
      <c r="J592" s="14" t="inlineStr">
        <is>
          <t>POTENCIA_BT</t>
        </is>
      </c>
      <c r="K592" s="14" t="inlineStr">
        <is>
          <t>CPF2</t>
        </is>
      </c>
      <c r="L592" s="137" t="n">
        <v>2</v>
      </c>
      <c r="M592" s="144" t="inlineStr">
        <is>
          <t>SI</t>
        </is>
      </c>
      <c r="N592" s="139" t="n">
        <v>4</v>
      </c>
      <c r="O592" s="145" t="n">
        <v>2</v>
      </c>
      <c r="P592" s="141" t="n">
        <v>6</v>
      </c>
      <c r="Q592" s="136" t="inlineStr">
        <is>
          <t>POTENCIA BT MUY PEQ (&lt;10mm²)</t>
        </is>
      </c>
      <c r="R592" s="136" t="inlineStr">
        <is>
          <t>OTROS/VERIFICAR</t>
        </is>
      </c>
    </row>
    <row r="593">
      <c r="A593" s="14" t="inlineStr">
        <is>
          <t>P-RC-M-94213B</t>
        </is>
      </c>
      <c r="B593" s="14" t="inlineStr">
        <is>
          <t>102-CCM-005</t>
        </is>
      </c>
      <c r="C593" s="14" t="inlineStr">
        <is>
          <t>M-94213B</t>
        </is>
      </c>
      <c r="D593" s="14" t="inlineStr">
        <is>
          <t>220</t>
        </is>
      </c>
      <c r="E593" s="14" t="inlineStr">
        <is>
          <t>430</t>
        </is>
      </c>
      <c r="F593" s="14" t="inlineStr">
        <is>
          <t>1kV-XLPE-Arm-CU</t>
        </is>
      </c>
      <c r="G593" s="14" t="inlineStr">
        <is>
          <t>2x4</t>
        </is>
      </c>
      <c r="H593" s="14" t="inlineStr">
        <is>
          <t>Aeroenfriador de Hot Oil- Área 942</t>
        </is>
      </c>
      <c r="I593" s="14" t="inlineStr"/>
      <c r="J593" s="14" t="inlineStr">
        <is>
          <t>POTENCIA_BT</t>
        </is>
      </c>
      <c r="K593" s="14" t="inlineStr">
        <is>
          <t>CPF2</t>
        </is>
      </c>
      <c r="L593" s="137" t="n">
        <v>2</v>
      </c>
      <c r="M593" s="144" t="inlineStr">
        <is>
          <t>SI</t>
        </is>
      </c>
      <c r="N593" s="139" t="n">
        <v>4</v>
      </c>
      <c r="O593" s="145" t="n">
        <v>2</v>
      </c>
      <c r="P593" s="141" t="n">
        <v>6</v>
      </c>
      <c r="Q593" s="136" t="inlineStr">
        <is>
          <t>POTENCIA BT MUY PEQ (&lt;10mm²)</t>
        </is>
      </c>
      <c r="R593" s="136" t="inlineStr">
        <is>
          <t>OTROS/VERIFICAR</t>
        </is>
      </c>
    </row>
    <row r="594">
      <c r="A594" s="14" t="inlineStr">
        <is>
          <t>C-VS-14017A</t>
        </is>
      </c>
      <c r="B594" s="14" t="inlineStr">
        <is>
          <t>102-CCM-005</t>
        </is>
      </c>
      <c r="C594" s="14" t="inlineStr">
        <is>
          <t>VS-14017A</t>
        </is>
      </c>
      <c r="D594" s="14" t="inlineStr">
        <is>
          <t>110</t>
        </is>
      </c>
      <c r="E594" s="14" t="inlineStr">
        <is>
          <t>220</t>
        </is>
      </c>
      <c r="F594" s="14" t="inlineStr">
        <is>
          <t>1kV-XLPE-Arm-CU</t>
        </is>
      </c>
      <c r="G594" s="14" t="inlineStr">
        <is>
          <t>2x2,5</t>
        </is>
      </c>
      <c r="H594" s="14" t="inlineStr">
        <is>
          <t>SEÑALES</t>
        </is>
      </c>
      <c r="I594" s="14" t="inlineStr">
        <is>
          <t>A</t>
        </is>
      </c>
      <c r="J594" s="14" t="inlineStr">
        <is>
          <t>CONTROL</t>
        </is>
      </c>
      <c r="K594" s="14" t="inlineStr">
        <is>
          <t>CPF2</t>
        </is>
      </c>
      <c r="L594" s="137" t="n">
        <v>2</v>
      </c>
      <c r="M594" s="144" t="inlineStr">
        <is>
          <t>SI</t>
        </is>
      </c>
      <c r="N594" s="139" t="n">
        <v>4</v>
      </c>
      <c r="O594" s="145" t="n">
        <v>2</v>
      </c>
      <c r="P594" s="141" t="n">
        <v>6</v>
      </c>
      <c r="Q594" s="136" t="inlineStr">
        <is>
          <t>CONTROL</t>
        </is>
      </c>
      <c r="R594" s="136" t="inlineStr">
        <is>
          <t>OTROS/VERIFICAR</t>
        </is>
      </c>
    </row>
    <row r="595">
      <c r="A595" s="14" t="inlineStr">
        <is>
          <t>C-VS-14017B</t>
        </is>
      </c>
      <c r="B595" s="14" t="inlineStr">
        <is>
          <t>102-CCM-005</t>
        </is>
      </c>
      <c r="C595" s="14" t="inlineStr">
        <is>
          <t>VS-14017B</t>
        </is>
      </c>
      <c r="D595" s="14" t="inlineStr">
        <is>
          <t>110</t>
        </is>
      </c>
      <c r="E595" s="14" t="inlineStr">
        <is>
          <t>220</t>
        </is>
      </c>
      <c r="F595" s="14" t="inlineStr">
        <is>
          <t>1kV-XLPE-Arm-CU</t>
        </is>
      </c>
      <c r="G595" s="14" t="inlineStr">
        <is>
          <t>2x2,5</t>
        </is>
      </c>
      <c r="H595" s="14" t="inlineStr">
        <is>
          <t>SEÑALES</t>
        </is>
      </c>
      <c r="I595" s="14" t="inlineStr">
        <is>
          <t>A</t>
        </is>
      </c>
      <c r="J595" s="14" t="inlineStr">
        <is>
          <t>CONTROL</t>
        </is>
      </c>
      <c r="K595" s="14" t="inlineStr">
        <is>
          <t>CPF2</t>
        </is>
      </c>
      <c r="L595" s="137" t="n">
        <v>2</v>
      </c>
      <c r="M595" s="144" t="inlineStr">
        <is>
          <t>SI</t>
        </is>
      </c>
      <c r="N595" s="139" t="n">
        <v>4</v>
      </c>
      <c r="O595" s="145" t="n">
        <v>2</v>
      </c>
      <c r="P595" s="141" t="n">
        <v>6</v>
      </c>
      <c r="Q595" s="136" t="inlineStr">
        <is>
          <t>CONTROL</t>
        </is>
      </c>
      <c r="R595" s="136" t="inlineStr">
        <is>
          <t>OTROS/VERIFICAR</t>
        </is>
      </c>
    </row>
    <row r="596">
      <c r="A596" s="14" t="inlineStr">
        <is>
          <t>C-VS-14018B</t>
        </is>
      </c>
      <c r="B596" s="14" t="inlineStr">
        <is>
          <t>102-CCM-005</t>
        </is>
      </c>
      <c r="C596" s="14" t="inlineStr">
        <is>
          <t>VS-14018B</t>
        </is>
      </c>
      <c r="D596" s="14" t="inlineStr">
        <is>
          <t>110</t>
        </is>
      </c>
      <c r="E596" s="14" t="inlineStr">
        <is>
          <t>220</t>
        </is>
      </c>
      <c r="F596" s="14" t="inlineStr">
        <is>
          <t>1kV-XLPE-Arm-CU</t>
        </is>
      </c>
      <c r="G596" s="14" t="inlineStr">
        <is>
          <t>2x2,5</t>
        </is>
      </c>
      <c r="H596" s="14" t="inlineStr">
        <is>
          <t>SEÑALES</t>
        </is>
      </c>
      <c r="I596" s="14" t="inlineStr">
        <is>
          <t>A</t>
        </is>
      </c>
      <c r="J596" s="14" t="inlineStr">
        <is>
          <t>CONTROL</t>
        </is>
      </c>
      <c r="K596" s="14" t="inlineStr">
        <is>
          <t>CPF2</t>
        </is>
      </c>
      <c r="L596" s="137" t="n">
        <v>2</v>
      </c>
      <c r="M596" s="144" t="inlineStr">
        <is>
          <t>SI</t>
        </is>
      </c>
      <c r="N596" s="139" t="n">
        <v>4</v>
      </c>
      <c r="O596" s="145" t="n">
        <v>2</v>
      </c>
      <c r="P596" s="141" t="n">
        <v>6</v>
      </c>
      <c r="Q596" s="136" t="inlineStr">
        <is>
          <t>CONTROL</t>
        </is>
      </c>
      <c r="R596" s="136" t="inlineStr">
        <is>
          <t>OTROS/VERIFICAR</t>
        </is>
      </c>
    </row>
    <row r="597">
      <c r="A597" s="14" t="inlineStr">
        <is>
          <t>C-VS-26011A</t>
        </is>
      </c>
      <c r="B597" s="14" t="inlineStr">
        <is>
          <t>102-CCM-005</t>
        </is>
      </c>
      <c r="C597" s="14" t="inlineStr">
        <is>
          <t>VS-26011A</t>
        </is>
      </c>
      <c r="D597" s="14" t="inlineStr">
        <is>
          <t>110</t>
        </is>
      </c>
      <c r="E597" s="14" t="inlineStr">
        <is>
          <t>150</t>
        </is>
      </c>
      <c r="F597" s="14" t="inlineStr">
        <is>
          <t>1kV-XLPE-Arm-CU</t>
        </is>
      </c>
      <c r="G597" s="14" t="inlineStr">
        <is>
          <t>2x2,5</t>
        </is>
      </c>
      <c r="H597" s="14" t="inlineStr">
        <is>
          <t>SEÑALES</t>
        </is>
      </c>
      <c r="I597" s="14" t="inlineStr">
        <is>
          <t>A</t>
        </is>
      </c>
      <c r="J597" s="14" t="inlineStr">
        <is>
          <t>CONTROL</t>
        </is>
      </c>
      <c r="K597" s="14" t="inlineStr">
        <is>
          <t>CPF2</t>
        </is>
      </c>
      <c r="L597" s="137" t="n">
        <v>2</v>
      </c>
      <c r="M597" s="144" t="inlineStr">
        <is>
          <t>SI</t>
        </is>
      </c>
      <c r="N597" s="139" t="n">
        <v>4</v>
      </c>
      <c r="O597" s="145" t="n">
        <v>2</v>
      </c>
      <c r="P597" s="141" t="n">
        <v>6</v>
      </c>
      <c r="Q597" s="136" t="inlineStr">
        <is>
          <t>CONTROL</t>
        </is>
      </c>
      <c r="R597" s="136" t="inlineStr">
        <is>
          <t>OTROS/VERIFICAR</t>
        </is>
      </c>
    </row>
    <row r="598">
      <c r="A598" s="14" t="inlineStr">
        <is>
          <t>C-VS-26011B</t>
        </is>
      </c>
      <c r="B598" s="14" t="inlineStr">
        <is>
          <t>102-CCM-005</t>
        </is>
      </c>
      <c r="C598" s="14" t="inlineStr">
        <is>
          <t>VS-26011B</t>
        </is>
      </c>
      <c r="D598" s="14" t="inlineStr">
        <is>
          <t>110</t>
        </is>
      </c>
      <c r="E598" s="14" t="inlineStr">
        <is>
          <t>150</t>
        </is>
      </c>
      <c r="F598" s="14" t="inlineStr">
        <is>
          <t>1kV-XLPE-Arm-CU</t>
        </is>
      </c>
      <c r="G598" s="14" t="inlineStr">
        <is>
          <t>2x2,5</t>
        </is>
      </c>
      <c r="H598" s="14" t="inlineStr">
        <is>
          <t>SEÑALES</t>
        </is>
      </c>
      <c r="I598" s="14" t="inlineStr">
        <is>
          <t>A</t>
        </is>
      </c>
      <c r="J598" s="14" t="inlineStr">
        <is>
          <t>CONTROL</t>
        </is>
      </c>
      <c r="K598" s="14" t="inlineStr">
        <is>
          <t>CPF2</t>
        </is>
      </c>
      <c r="L598" s="137" t="n">
        <v>2</v>
      </c>
      <c r="M598" s="144" t="inlineStr">
        <is>
          <t>SI</t>
        </is>
      </c>
      <c r="N598" s="139" t="n">
        <v>4</v>
      </c>
      <c r="O598" s="145" t="n">
        <v>2</v>
      </c>
      <c r="P598" s="141" t="n">
        <v>6</v>
      </c>
      <c r="Q598" s="136" t="inlineStr">
        <is>
          <t>CONTROL</t>
        </is>
      </c>
      <c r="R598" s="136" t="inlineStr">
        <is>
          <t>OTROS/VERIFICAR</t>
        </is>
      </c>
    </row>
    <row r="599">
      <c r="A599" s="14" t="inlineStr">
        <is>
          <t>C-VS-29112A</t>
        </is>
      </c>
      <c r="B599" s="14" t="inlineStr">
        <is>
          <t>102-CCM-005</t>
        </is>
      </c>
      <c r="C599" s="14" t="inlineStr">
        <is>
          <t>VS-29112A</t>
        </is>
      </c>
      <c r="D599" s="14" t="inlineStr">
        <is>
          <t>110</t>
        </is>
      </c>
      <c r="E599" s="14" t="inlineStr">
        <is>
          <t>230</t>
        </is>
      </c>
      <c r="F599" s="14" t="inlineStr">
        <is>
          <t>1kV-XLPE-Arm-CU</t>
        </is>
      </c>
      <c r="G599" s="14" t="inlineStr">
        <is>
          <t>2x2,5</t>
        </is>
      </c>
      <c r="H599" s="14" t="inlineStr">
        <is>
          <t>SEÑALES</t>
        </is>
      </c>
      <c r="I599" s="14" t="inlineStr">
        <is>
          <t>A</t>
        </is>
      </c>
      <c r="J599" s="14" t="inlineStr">
        <is>
          <t>CONTROL</t>
        </is>
      </c>
      <c r="K599" s="14" t="inlineStr">
        <is>
          <t>CPF2</t>
        </is>
      </c>
      <c r="L599" s="137" t="n">
        <v>2</v>
      </c>
      <c r="M599" s="144" t="inlineStr">
        <is>
          <t>SI</t>
        </is>
      </c>
      <c r="N599" s="139" t="n">
        <v>4</v>
      </c>
      <c r="O599" s="145" t="n">
        <v>2</v>
      </c>
      <c r="P599" s="141" t="n">
        <v>6</v>
      </c>
      <c r="Q599" s="136" t="inlineStr">
        <is>
          <t>CONTROL</t>
        </is>
      </c>
      <c r="R599" s="136" t="inlineStr">
        <is>
          <t>OTROS/VERIFICAR</t>
        </is>
      </c>
    </row>
    <row r="600">
      <c r="A600" s="14" t="inlineStr">
        <is>
          <t>C-VS-29112B</t>
        </is>
      </c>
      <c r="B600" s="14" t="inlineStr">
        <is>
          <t>102-CCM-005</t>
        </is>
      </c>
      <c r="C600" s="14" t="inlineStr">
        <is>
          <t>VS-29112B</t>
        </is>
      </c>
      <c r="D600" s="14" t="inlineStr">
        <is>
          <t>110</t>
        </is>
      </c>
      <c r="E600" s="14" t="inlineStr">
        <is>
          <t>230</t>
        </is>
      </c>
      <c r="F600" s="14" t="inlineStr">
        <is>
          <t>1kV-XLPE-Arm-CU</t>
        </is>
      </c>
      <c r="G600" s="14" t="inlineStr">
        <is>
          <t>2x2,5</t>
        </is>
      </c>
      <c r="H600" s="14" t="inlineStr">
        <is>
          <t>SEÑALES</t>
        </is>
      </c>
      <c r="I600" s="14" t="inlineStr">
        <is>
          <t>A</t>
        </is>
      </c>
      <c r="J600" s="14" t="inlineStr">
        <is>
          <t>CONTROL</t>
        </is>
      </c>
      <c r="K600" s="14" t="inlineStr">
        <is>
          <t>CPF2</t>
        </is>
      </c>
      <c r="L600" s="137" t="n">
        <v>2</v>
      </c>
      <c r="M600" s="144" t="inlineStr">
        <is>
          <t>SI</t>
        </is>
      </c>
      <c r="N600" s="139" t="n">
        <v>4</v>
      </c>
      <c r="O600" s="145" t="n">
        <v>2</v>
      </c>
      <c r="P600" s="141" t="n">
        <v>6</v>
      </c>
      <c r="Q600" s="136" t="inlineStr">
        <is>
          <t>CONTROL</t>
        </is>
      </c>
      <c r="R600" s="136" t="inlineStr">
        <is>
          <t>OTROS/VERIFICAR</t>
        </is>
      </c>
    </row>
    <row r="601">
      <c r="A601" s="14" t="inlineStr">
        <is>
          <t>C-VS-29132A</t>
        </is>
      </c>
      <c r="B601" s="14" t="inlineStr">
        <is>
          <t>102-CCM-005</t>
        </is>
      </c>
      <c r="C601" s="14" t="inlineStr">
        <is>
          <t>VS-29132A</t>
        </is>
      </c>
      <c r="D601" s="14" t="inlineStr">
        <is>
          <t>110</t>
        </is>
      </c>
      <c r="E601" s="14" t="inlineStr">
        <is>
          <t>230</t>
        </is>
      </c>
      <c r="F601" s="14" t="inlineStr">
        <is>
          <t>1kV-XLPE-Arm-CU</t>
        </is>
      </c>
      <c r="G601" s="14" t="inlineStr">
        <is>
          <t>2x2,5</t>
        </is>
      </c>
      <c r="H601" s="14" t="inlineStr">
        <is>
          <t>SEÑALES</t>
        </is>
      </c>
      <c r="I601" s="14" t="inlineStr">
        <is>
          <t>A</t>
        </is>
      </c>
      <c r="J601" s="14" t="inlineStr">
        <is>
          <t>CONTROL</t>
        </is>
      </c>
      <c r="K601" s="14" t="inlineStr">
        <is>
          <t>CPF2</t>
        </is>
      </c>
      <c r="L601" s="137" t="n">
        <v>2</v>
      </c>
      <c r="M601" s="144" t="inlineStr">
        <is>
          <t>SI</t>
        </is>
      </c>
      <c r="N601" s="139" t="n">
        <v>4</v>
      </c>
      <c r="O601" s="145" t="n">
        <v>2</v>
      </c>
      <c r="P601" s="141" t="n">
        <v>6</v>
      </c>
      <c r="Q601" s="136" t="inlineStr">
        <is>
          <t>CONTROL</t>
        </is>
      </c>
      <c r="R601" s="136" t="inlineStr">
        <is>
          <t>OTROS/VERIFICAR</t>
        </is>
      </c>
    </row>
    <row r="602">
      <c r="A602" s="14" t="inlineStr">
        <is>
          <t>C-VS-29132B</t>
        </is>
      </c>
      <c r="B602" s="14" t="inlineStr">
        <is>
          <t>102-CCM-005</t>
        </is>
      </c>
      <c r="C602" s="14" t="inlineStr">
        <is>
          <t>VS-29132B</t>
        </is>
      </c>
      <c r="D602" s="14" t="inlineStr">
        <is>
          <t>110</t>
        </is>
      </c>
      <c r="E602" s="14" t="inlineStr">
        <is>
          <t>230</t>
        </is>
      </c>
      <c r="F602" s="14" t="inlineStr">
        <is>
          <t>1kV-XLPE-Arm-CU</t>
        </is>
      </c>
      <c r="G602" s="14" t="inlineStr">
        <is>
          <t>2x2,5</t>
        </is>
      </c>
      <c r="H602" s="14" t="inlineStr">
        <is>
          <t>SEÑALES</t>
        </is>
      </c>
      <c r="I602" s="14" t="inlineStr">
        <is>
          <t>A</t>
        </is>
      </c>
      <c r="J602" s="14" t="inlineStr">
        <is>
          <t>CONTROL</t>
        </is>
      </c>
      <c r="K602" s="14" t="inlineStr">
        <is>
          <t>CPF2</t>
        </is>
      </c>
      <c r="L602" s="137" t="n">
        <v>2</v>
      </c>
      <c r="M602" s="144" t="inlineStr">
        <is>
          <t>SI</t>
        </is>
      </c>
      <c r="N602" s="139" t="n">
        <v>4</v>
      </c>
      <c r="O602" s="145" t="n">
        <v>2</v>
      </c>
      <c r="P602" s="141" t="n">
        <v>6</v>
      </c>
      <c r="Q602" s="136" t="inlineStr">
        <is>
          <t>CONTROL</t>
        </is>
      </c>
      <c r="R602" s="136" t="inlineStr">
        <is>
          <t>OTROS/VERIFICAR</t>
        </is>
      </c>
    </row>
    <row r="603">
      <c r="A603" s="14" t="inlineStr">
        <is>
          <t>C-VS-29185</t>
        </is>
      </c>
      <c r="B603" s="14" t="inlineStr">
        <is>
          <t>102-CCM-005</t>
        </is>
      </c>
      <c r="C603" s="14" t="inlineStr">
        <is>
          <t>VS-29185</t>
        </is>
      </c>
      <c r="D603" s="14" t="inlineStr">
        <is>
          <t>110</t>
        </is>
      </c>
      <c r="E603" s="14" t="inlineStr">
        <is>
          <t>230</t>
        </is>
      </c>
      <c r="F603" s="14" t="inlineStr">
        <is>
          <t>1kV-XLPE-Arm-CU</t>
        </is>
      </c>
      <c r="G603" s="14" t="inlineStr">
        <is>
          <t>2x2,5</t>
        </is>
      </c>
      <c r="H603" s="14" t="inlineStr">
        <is>
          <t>SEÑALES</t>
        </is>
      </c>
      <c r="I603" s="14" t="inlineStr">
        <is>
          <t>A</t>
        </is>
      </c>
      <c r="J603" s="14" t="inlineStr">
        <is>
          <t>CONTROL</t>
        </is>
      </c>
      <c r="K603" s="14" t="inlineStr">
        <is>
          <t>CPF2</t>
        </is>
      </c>
      <c r="L603" s="137" t="n">
        <v>2</v>
      </c>
      <c r="M603" s="144" t="inlineStr">
        <is>
          <t>SI</t>
        </is>
      </c>
      <c r="N603" s="139" t="n">
        <v>4</v>
      </c>
      <c r="O603" s="145" t="n">
        <v>2</v>
      </c>
      <c r="P603" s="141" t="n">
        <v>6</v>
      </c>
      <c r="Q603" s="136" t="inlineStr">
        <is>
          <t>CONTROL</t>
        </is>
      </c>
      <c r="R603" s="136" t="inlineStr">
        <is>
          <t>OTROS/VERIFICAR</t>
        </is>
      </c>
    </row>
    <row r="604">
      <c r="A604" s="14" t="inlineStr">
        <is>
          <t>C-VS-29186</t>
        </is>
      </c>
      <c r="B604" s="14" t="inlineStr">
        <is>
          <t>102-CCM-005</t>
        </is>
      </c>
      <c r="C604" s="14" t="inlineStr">
        <is>
          <t>VS-29186</t>
        </is>
      </c>
      <c r="D604" s="14" t="inlineStr">
        <is>
          <t>110</t>
        </is>
      </c>
      <c r="E604" s="14" t="inlineStr">
        <is>
          <t>230</t>
        </is>
      </c>
      <c r="F604" s="14" t="inlineStr">
        <is>
          <t>1kV-XLPE-Arm-CU</t>
        </is>
      </c>
      <c r="G604" s="14" t="inlineStr">
        <is>
          <t>2x2,5</t>
        </is>
      </c>
      <c r="H604" s="14" t="inlineStr">
        <is>
          <t>SEÑALES</t>
        </is>
      </c>
      <c r="I604" s="14" t="inlineStr">
        <is>
          <t>A</t>
        </is>
      </c>
      <c r="J604" s="14" t="inlineStr">
        <is>
          <t>CONTROL</t>
        </is>
      </c>
      <c r="K604" s="14" t="inlineStr">
        <is>
          <t>CPF2</t>
        </is>
      </c>
      <c r="L604" s="137" t="n">
        <v>2</v>
      </c>
      <c r="M604" s="144" t="inlineStr">
        <is>
          <t>SI</t>
        </is>
      </c>
      <c r="N604" s="139" t="n">
        <v>4</v>
      </c>
      <c r="O604" s="145" t="n">
        <v>2</v>
      </c>
      <c r="P604" s="141" t="n">
        <v>6</v>
      </c>
      <c r="Q604" s="136" t="inlineStr">
        <is>
          <t>CONTROL</t>
        </is>
      </c>
      <c r="R604" s="136" t="inlineStr">
        <is>
          <t>OTROS/VERIFICAR</t>
        </is>
      </c>
    </row>
    <row r="605">
      <c r="A605" s="14" t="inlineStr">
        <is>
          <t>C-VS-29212A</t>
        </is>
      </c>
      <c r="B605" s="14" t="inlineStr">
        <is>
          <t>102-CCM-005</t>
        </is>
      </c>
      <c r="C605" s="14" t="inlineStr">
        <is>
          <t>VS-29212A</t>
        </is>
      </c>
      <c r="D605" s="14" t="inlineStr">
        <is>
          <t>110</t>
        </is>
      </c>
      <c r="E605" s="14" t="inlineStr">
        <is>
          <t>215</t>
        </is>
      </c>
      <c r="F605" s="14" t="inlineStr">
        <is>
          <t>1kV-XLPE-Arm-CU</t>
        </is>
      </c>
      <c r="G605" s="14" t="inlineStr">
        <is>
          <t>2x2,5</t>
        </is>
      </c>
      <c r="H605" s="14" t="inlineStr">
        <is>
          <t>SEÑALES</t>
        </is>
      </c>
      <c r="I605" s="14" t="inlineStr">
        <is>
          <t>A</t>
        </is>
      </c>
      <c r="J605" s="14" t="inlineStr">
        <is>
          <t>CONTROL</t>
        </is>
      </c>
      <c r="K605" s="14" t="inlineStr">
        <is>
          <t>CPF2</t>
        </is>
      </c>
      <c r="L605" s="137" t="n">
        <v>2</v>
      </c>
      <c r="M605" s="144" t="inlineStr">
        <is>
          <t>SI</t>
        </is>
      </c>
      <c r="N605" s="139" t="n">
        <v>4</v>
      </c>
      <c r="O605" s="145" t="n">
        <v>2</v>
      </c>
      <c r="P605" s="141" t="n">
        <v>6</v>
      </c>
      <c r="Q605" s="136" t="inlineStr">
        <is>
          <t>CONTROL</t>
        </is>
      </c>
      <c r="R605" s="136" t="inlineStr">
        <is>
          <t>OTROS/VERIFICAR</t>
        </is>
      </c>
    </row>
    <row r="606">
      <c r="A606" s="14" t="inlineStr">
        <is>
          <t>C-VS-29212B</t>
        </is>
      </c>
      <c r="B606" s="14" t="inlineStr">
        <is>
          <t>102-CCM-005</t>
        </is>
      </c>
      <c r="C606" s="14" t="inlineStr">
        <is>
          <t>VS-29212B</t>
        </is>
      </c>
      <c r="D606" s="14" t="inlineStr">
        <is>
          <t>110</t>
        </is>
      </c>
      <c r="E606" s="14" t="inlineStr">
        <is>
          <t>215</t>
        </is>
      </c>
      <c r="F606" s="14" t="inlineStr">
        <is>
          <t>1kV-XLPE-Arm-CU</t>
        </is>
      </c>
      <c r="G606" s="14" t="inlineStr">
        <is>
          <t>2x2,5</t>
        </is>
      </c>
      <c r="H606" s="14" t="inlineStr">
        <is>
          <t>SEÑALES</t>
        </is>
      </c>
      <c r="I606" s="14" t="inlineStr">
        <is>
          <t>A</t>
        </is>
      </c>
      <c r="J606" s="14" t="inlineStr">
        <is>
          <t>CONTROL</t>
        </is>
      </c>
      <c r="K606" s="14" t="inlineStr">
        <is>
          <t>CPF2</t>
        </is>
      </c>
      <c r="L606" s="137" t="n">
        <v>2</v>
      </c>
      <c r="M606" s="144" t="inlineStr">
        <is>
          <t>SI</t>
        </is>
      </c>
      <c r="N606" s="139" t="n">
        <v>4</v>
      </c>
      <c r="O606" s="145" t="n">
        <v>2</v>
      </c>
      <c r="P606" s="141" t="n">
        <v>6</v>
      </c>
      <c r="Q606" s="136" t="inlineStr">
        <is>
          <t>CONTROL</t>
        </is>
      </c>
      <c r="R606" s="136" t="inlineStr">
        <is>
          <t>OTROS/VERIFICAR</t>
        </is>
      </c>
    </row>
    <row r="607">
      <c r="A607" s="14" t="inlineStr">
        <is>
          <t>C-VS-29232A</t>
        </is>
      </c>
      <c r="B607" s="14" t="inlineStr">
        <is>
          <t>102-CCM-005</t>
        </is>
      </c>
      <c r="C607" s="14" t="inlineStr">
        <is>
          <t>VS-29232A</t>
        </is>
      </c>
      <c r="D607" s="14" t="inlineStr">
        <is>
          <t>110</t>
        </is>
      </c>
      <c r="E607" s="14" t="inlineStr">
        <is>
          <t>215</t>
        </is>
      </c>
      <c r="F607" s="14" t="inlineStr">
        <is>
          <t>1kV-XLPE-Arm-CU</t>
        </is>
      </c>
      <c r="G607" s="14" t="inlineStr">
        <is>
          <t>2x2,5</t>
        </is>
      </c>
      <c r="H607" s="14" t="inlineStr">
        <is>
          <t>SEÑALES</t>
        </is>
      </c>
      <c r="I607" s="14" t="inlineStr">
        <is>
          <t>A</t>
        </is>
      </c>
      <c r="J607" s="14" t="inlineStr">
        <is>
          <t>CONTROL</t>
        </is>
      </c>
      <c r="K607" s="14" t="inlineStr">
        <is>
          <t>CPF2</t>
        </is>
      </c>
      <c r="L607" s="137" t="n">
        <v>2</v>
      </c>
      <c r="M607" s="144" t="inlineStr">
        <is>
          <t>SI</t>
        </is>
      </c>
      <c r="N607" s="139" t="n">
        <v>4</v>
      </c>
      <c r="O607" s="145" t="n">
        <v>2</v>
      </c>
      <c r="P607" s="141" t="n">
        <v>6</v>
      </c>
      <c r="Q607" s="136" t="inlineStr">
        <is>
          <t>CONTROL</t>
        </is>
      </c>
      <c r="R607" s="136" t="inlineStr">
        <is>
          <t>OTROS/VERIFICAR</t>
        </is>
      </c>
    </row>
    <row r="608">
      <c r="A608" s="14" t="inlineStr">
        <is>
          <t>C-VS-29232B</t>
        </is>
      </c>
      <c r="B608" s="14" t="inlineStr">
        <is>
          <t>102-CCM-005</t>
        </is>
      </c>
      <c r="C608" s="14" t="inlineStr">
        <is>
          <t>VS-29232B</t>
        </is>
      </c>
      <c r="D608" s="14" t="inlineStr">
        <is>
          <t>110</t>
        </is>
      </c>
      <c r="E608" s="14" t="inlineStr">
        <is>
          <t>215</t>
        </is>
      </c>
      <c r="F608" s="14" t="inlineStr">
        <is>
          <t>1kV-XLPE-Arm-CU</t>
        </is>
      </c>
      <c r="G608" s="14" t="inlineStr">
        <is>
          <t>2x2,5</t>
        </is>
      </c>
      <c r="H608" s="14" t="inlineStr">
        <is>
          <t>SEÑALES</t>
        </is>
      </c>
      <c r="I608" s="14" t="inlineStr">
        <is>
          <t>A</t>
        </is>
      </c>
      <c r="J608" s="14" t="inlineStr">
        <is>
          <t>CONTROL</t>
        </is>
      </c>
      <c r="K608" s="14" t="inlineStr">
        <is>
          <t>CPF2</t>
        </is>
      </c>
      <c r="L608" s="137" t="n">
        <v>2</v>
      </c>
      <c r="M608" s="144" t="inlineStr">
        <is>
          <t>SI</t>
        </is>
      </c>
      <c r="N608" s="139" t="n">
        <v>4</v>
      </c>
      <c r="O608" s="145" t="n">
        <v>2</v>
      </c>
      <c r="P608" s="141" t="n">
        <v>6</v>
      </c>
      <c r="Q608" s="136" t="inlineStr">
        <is>
          <t>CONTROL</t>
        </is>
      </c>
      <c r="R608" s="136" t="inlineStr">
        <is>
          <t>OTROS/VERIFICAR</t>
        </is>
      </c>
    </row>
    <row r="609">
      <c r="A609" s="14" t="inlineStr">
        <is>
          <t>C-VS-29285</t>
        </is>
      </c>
      <c r="B609" s="14" t="inlineStr">
        <is>
          <t>102-CCM-005</t>
        </is>
      </c>
      <c r="C609" s="14" t="inlineStr">
        <is>
          <t>VS-29285</t>
        </is>
      </c>
      <c r="D609" s="14" t="inlineStr">
        <is>
          <t>110</t>
        </is>
      </c>
      <c r="E609" s="14" t="inlineStr">
        <is>
          <t>215</t>
        </is>
      </c>
      <c r="F609" s="14" t="inlineStr">
        <is>
          <t>1kV-XLPE-Arm-CU</t>
        </is>
      </c>
      <c r="G609" s="14" t="inlineStr">
        <is>
          <t>2x2,5</t>
        </is>
      </c>
      <c r="H609" s="14" t="inlineStr">
        <is>
          <t>SEÑALES</t>
        </is>
      </c>
      <c r="I609" s="14" t="inlineStr">
        <is>
          <t>A</t>
        </is>
      </c>
      <c r="J609" s="14" t="inlineStr">
        <is>
          <t>CONTROL</t>
        </is>
      </c>
      <c r="K609" s="14" t="inlineStr">
        <is>
          <t>CPF2</t>
        </is>
      </c>
      <c r="L609" s="137" t="n">
        <v>2</v>
      </c>
      <c r="M609" s="144" t="inlineStr">
        <is>
          <t>SI</t>
        </is>
      </c>
      <c r="N609" s="139" t="n">
        <v>4</v>
      </c>
      <c r="O609" s="145" t="n">
        <v>2</v>
      </c>
      <c r="P609" s="141" t="n">
        <v>6</v>
      </c>
      <c r="Q609" s="136" t="inlineStr">
        <is>
          <t>CONTROL</t>
        </is>
      </c>
      <c r="R609" s="136" t="inlineStr">
        <is>
          <t>OTROS/VERIFICAR</t>
        </is>
      </c>
    </row>
    <row r="610">
      <c r="A610" s="14" t="inlineStr">
        <is>
          <t>C-VS-29286</t>
        </is>
      </c>
      <c r="B610" s="14" t="inlineStr">
        <is>
          <t>102-CCM-005</t>
        </is>
      </c>
      <c r="C610" s="14" t="inlineStr">
        <is>
          <t>VS-29286</t>
        </is>
      </c>
      <c r="D610" s="14" t="inlineStr">
        <is>
          <t>110</t>
        </is>
      </c>
      <c r="E610" s="14" t="inlineStr">
        <is>
          <t>215</t>
        </is>
      </c>
      <c r="F610" s="14" t="inlineStr">
        <is>
          <t>1kV-XLPE-Arm-CU</t>
        </is>
      </c>
      <c r="G610" s="14" t="inlineStr">
        <is>
          <t>2x2,5</t>
        </is>
      </c>
      <c r="H610" s="14" t="inlineStr">
        <is>
          <t>SEÑALES</t>
        </is>
      </c>
      <c r="I610" s="14" t="inlineStr">
        <is>
          <t>A</t>
        </is>
      </c>
      <c r="J610" s="14" t="inlineStr">
        <is>
          <t>CONTROL</t>
        </is>
      </c>
      <c r="K610" s="14" t="inlineStr">
        <is>
          <t>CPF2</t>
        </is>
      </c>
      <c r="L610" s="137" t="n">
        <v>2</v>
      </c>
      <c r="M610" s="144" t="inlineStr">
        <is>
          <t>SI</t>
        </is>
      </c>
      <c r="N610" s="139" t="n">
        <v>4</v>
      </c>
      <c r="O610" s="145" t="n">
        <v>2</v>
      </c>
      <c r="P610" s="141" t="n">
        <v>6</v>
      </c>
      <c r="Q610" s="136" t="inlineStr">
        <is>
          <t>CONTROL</t>
        </is>
      </c>
      <c r="R610" s="136" t="inlineStr">
        <is>
          <t>OTROS/VERIFICAR</t>
        </is>
      </c>
    </row>
    <row r="611">
      <c r="A611" s="14" t="inlineStr">
        <is>
          <t>C-VS-29312A</t>
        </is>
      </c>
      <c r="B611" s="14" t="inlineStr">
        <is>
          <t>102-CCM-005</t>
        </is>
      </c>
      <c r="C611" s="14" t="inlineStr">
        <is>
          <t>VS-29312A</t>
        </is>
      </c>
      <c r="D611" s="14" t="inlineStr">
        <is>
          <t>110</t>
        </is>
      </c>
      <c r="E611" s="14" t="inlineStr">
        <is>
          <t>190</t>
        </is>
      </c>
      <c r="F611" s="14" t="inlineStr">
        <is>
          <t>1kV-XLPE-Arm-CU</t>
        </is>
      </c>
      <c r="G611" s="14" t="inlineStr">
        <is>
          <t>2x2,5</t>
        </is>
      </c>
      <c r="H611" s="14" t="inlineStr">
        <is>
          <t>SEÑALES</t>
        </is>
      </c>
      <c r="I611" s="14" t="inlineStr">
        <is>
          <t>A</t>
        </is>
      </c>
      <c r="J611" s="14" t="inlineStr">
        <is>
          <t>CONTROL</t>
        </is>
      </c>
      <c r="K611" s="14" t="inlineStr">
        <is>
          <t>CPF2</t>
        </is>
      </c>
      <c r="L611" s="137" t="n">
        <v>2</v>
      </c>
      <c r="M611" s="144" t="inlineStr">
        <is>
          <t>SI</t>
        </is>
      </c>
      <c r="N611" s="139" t="n">
        <v>4</v>
      </c>
      <c r="O611" s="145" t="n">
        <v>2</v>
      </c>
      <c r="P611" s="141" t="n">
        <v>6</v>
      </c>
      <c r="Q611" s="136" t="inlineStr">
        <is>
          <t>CONTROL</t>
        </is>
      </c>
      <c r="R611" s="136" t="inlineStr">
        <is>
          <t>OTROS/VERIFICAR</t>
        </is>
      </c>
    </row>
    <row r="612">
      <c r="A612" s="14" t="inlineStr">
        <is>
          <t>C-VS-29312B</t>
        </is>
      </c>
      <c r="B612" s="14" t="inlineStr">
        <is>
          <t>102-CCM-005</t>
        </is>
      </c>
      <c r="C612" s="14" t="inlineStr">
        <is>
          <t>VS-29312B</t>
        </is>
      </c>
      <c r="D612" s="14" t="inlineStr">
        <is>
          <t>110</t>
        </is>
      </c>
      <c r="E612" s="14" t="inlineStr">
        <is>
          <t>190</t>
        </is>
      </c>
      <c r="F612" s="14" t="inlineStr">
        <is>
          <t>1kV-XLPE-Arm-CU</t>
        </is>
      </c>
      <c r="G612" s="14" t="inlineStr">
        <is>
          <t>2x2,5</t>
        </is>
      </c>
      <c r="H612" s="14" t="inlineStr">
        <is>
          <t>SEÑALES</t>
        </is>
      </c>
      <c r="I612" s="14" t="inlineStr">
        <is>
          <t>A</t>
        </is>
      </c>
      <c r="J612" s="14" t="inlineStr">
        <is>
          <t>CONTROL</t>
        </is>
      </c>
      <c r="K612" s="14" t="inlineStr">
        <is>
          <t>CPF2</t>
        </is>
      </c>
      <c r="L612" s="137" t="n">
        <v>2</v>
      </c>
      <c r="M612" s="144" t="inlineStr">
        <is>
          <t>SI</t>
        </is>
      </c>
      <c r="N612" s="139" t="n">
        <v>4</v>
      </c>
      <c r="O612" s="145" t="n">
        <v>2</v>
      </c>
      <c r="P612" s="141" t="n">
        <v>6</v>
      </c>
      <c r="Q612" s="136" t="inlineStr">
        <is>
          <t>CONTROL</t>
        </is>
      </c>
      <c r="R612" s="136" t="inlineStr">
        <is>
          <t>OTROS/VERIFICAR</t>
        </is>
      </c>
    </row>
    <row r="613">
      <c r="A613" s="14" t="inlineStr">
        <is>
          <t>C-VS-29332A</t>
        </is>
      </c>
      <c r="B613" s="14" t="inlineStr">
        <is>
          <t>102-CCM-005</t>
        </is>
      </c>
      <c r="C613" s="14" t="inlineStr">
        <is>
          <t>VS-29332A</t>
        </is>
      </c>
      <c r="D613" s="14" t="inlineStr">
        <is>
          <t>110</t>
        </is>
      </c>
      <c r="E613" s="14" t="inlineStr">
        <is>
          <t>190</t>
        </is>
      </c>
      <c r="F613" s="14" t="inlineStr">
        <is>
          <t>1kV-XLPE-Arm-CU</t>
        </is>
      </c>
      <c r="G613" s="14" t="inlineStr">
        <is>
          <t>2x2,5</t>
        </is>
      </c>
      <c r="H613" s="14" t="inlineStr">
        <is>
          <t>SEÑALES</t>
        </is>
      </c>
      <c r="I613" s="14" t="inlineStr">
        <is>
          <t>A</t>
        </is>
      </c>
      <c r="J613" s="14" t="inlineStr">
        <is>
          <t>CONTROL</t>
        </is>
      </c>
      <c r="K613" s="14" t="inlineStr">
        <is>
          <t>CPF2</t>
        </is>
      </c>
      <c r="L613" s="137" t="n">
        <v>2</v>
      </c>
      <c r="M613" s="144" t="inlineStr">
        <is>
          <t>SI</t>
        </is>
      </c>
      <c r="N613" s="139" t="n">
        <v>4</v>
      </c>
      <c r="O613" s="145" t="n">
        <v>2</v>
      </c>
      <c r="P613" s="141" t="n">
        <v>6</v>
      </c>
      <c r="Q613" s="136" t="inlineStr">
        <is>
          <t>CONTROL</t>
        </is>
      </c>
      <c r="R613" s="136" t="inlineStr">
        <is>
          <t>OTROS/VERIFICAR</t>
        </is>
      </c>
    </row>
    <row r="614">
      <c r="A614" s="14" t="inlineStr">
        <is>
          <t>C-VS-29332B</t>
        </is>
      </c>
      <c r="B614" s="14" t="inlineStr">
        <is>
          <t>102-CCM-005</t>
        </is>
      </c>
      <c r="C614" s="14" t="inlineStr">
        <is>
          <t>VS-29332B</t>
        </is>
      </c>
      <c r="D614" s="14" t="inlineStr">
        <is>
          <t>110</t>
        </is>
      </c>
      <c r="E614" s="14" t="inlineStr">
        <is>
          <t>190</t>
        </is>
      </c>
      <c r="F614" s="14" t="inlineStr">
        <is>
          <t>1kV-XLPE-Arm-CU</t>
        </is>
      </c>
      <c r="G614" s="14" t="inlineStr">
        <is>
          <t>2x2,5</t>
        </is>
      </c>
      <c r="H614" s="14" t="inlineStr">
        <is>
          <t>SEÑALES</t>
        </is>
      </c>
      <c r="I614" s="14" t="inlineStr">
        <is>
          <t>A</t>
        </is>
      </c>
      <c r="J614" s="14" t="inlineStr">
        <is>
          <t>CONTROL</t>
        </is>
      </c>
      <c r="K614" s="14" t="inlineStr">
        <is>
          <t>CPF2</t>
        </is>
      </c>
      <c r="L614" s="137" t="n">
        <v>2</v>
      </c>
      <c r="M614" s="144" t="inlineStr">
        <is>
          <t>SI</t>
        </is>
      </c>
      <c r="N614" s="139" t="n">
        <v>4</v>
      </c>
      <c r="O614" s="145" t="n">
        <v>2</v>
      </c>
      <c r="P614" s="141" t="n">
        <v>6</v>
      </c>
      <c r="Q614" s="136" t="inlineStr">
        <is>
          <t>CONTROL</t>
        </is>
      </c>
      <c r="R614" s="136" t="inlineStr">
        <is>
          <t>OTROS/VERIFICAR</t>
        </is>
      </c>
    </row>
    <row r="615">
      <c r="A615" s="14" t="inlineStr">
        <is>
          <t>C-VS-29385</t>
        </is>
      </c>
      <c r="B615" s="14" t="inlineStr">
        <is>
          <t>102-CCM-005</t>
        </is>
      </c>
      <c r="C615" s="14" t="inlineStr">
        <is>
          <t>VS-29385</t>
        </is>
      </c>
      <c r="D615" s="14" t="inlineStr">
        <is>
          <t>110</t>
        </is>
      </c>
      <c r="E615" s="14" t="inlineStr">
        <is>
          <t>190</t>
        </is>
      </c>
      <c r="F615" s="14" t="inlineStr">
        <is>
          <t>1kV-XLPE-Arm-CU</t>
        </is>
      </c>
      <c r="G615" s="14" t="inlineStr">
        <is>
          <t>2x2,5</t>
        </is>
      </c>
      <c r="H615" s="14" t="inlineStr">
        <is>
          <t>SEÑALES</t>
        </is>
      </c>
      <c r="I615" s="14" t="inlineStr">
        <is>
          <t>A</t>
        </is>
      </c>
      <c r="J615" s="14" t="inlineStr">
        <is>
          <t>CONTROL</t>
        </is>
      </c>
      <c r="K615" s="14" t="inlineStr">
        <is>
          <t>CPF2</t>
        </is>
      </c>
      <c r="L615" s="137" t="n">
        <v>2</v>
      </c>
      <c r="M615" s="144" t="inlineStr">
        <is>
          <t>SI</t>
        </is>
      </c>
      <c r="N615" s="139" t="n">
        <v>4</v>
      </c>
      <c r="O615" s="145" t="n">
        <v>2</v>
      </c>
      <c r="P615" s="141" t="n">
        <v>6</v>
      </c>
      <c r="Q615" s="136" t="inlineStr">
        <is>
          <t>CONTROL</t>
        </is>
      </c>
      <c r="R615" s="136" t="inlineStr">
        <is>
          <t>OTROS/VERIFICAR</t>
        </is>
      </c>
    </row>
    <row r="616">
      <c r="A616" s="14" t="inlineStr">
        <is>
          <t>C-VS-29386</t>
        </is>
      </c>
      <c r="B616" s="14" t="inlineStr">
        <is>
          <t>102-CCM-005</t>
        </is>
      </c>
      <c r="C616" s="14" t="inlineStr">
        <is>
          <t>VS-29386</t>
        </is>
      </c>
      <c r="D616" s="14" t="inlineStr">
        <is>
          <t>110</t>
        </is>
      </c>
      <c r="E616" s="14" t="inlineStr">
        <is>
          <t>190</t>
        </is>
      </c>
      <c r="F616" s="14" t="inlineStr">
        <is>
          <t>1kV-XLPE-Arm-CU</t>
        </is>
      </c>
      <c r="G616" s="14" t="inlineStr">
        <is>
          <t>2x2,5</t>
        </is>
      </c>
      <c r="H616" s="14" t="inlineStr">
        <is>
          <t>SEÑALES</t>
        </is>
      </c>
      <c r="I616" s="14" t="inlineStr">
        <is>
          <t>A</t>
        </is>
      </c>
      <c r="J616" s="14" t="inlineStr">
        <is>
          <t>CONTROL</t>
        </is>
      </c>
      <c r="K616" s="14" t="inlineStr">
        <is>
          <t>CPF2</t>
        </is>
      </c>
      <c r="L616" s="137" t="n">
        <v>2</v>
      </c>
      <c r="M616" s="144" t="inlineStr">
        <is>
          <t>SI</t>
        </is>
      </c>
      <c r="N616" s="139" t="n">
        <v>4</v>
      </c>
      <c r="O616" s="145" t="n">
        <v>2</v>
      </c>
      <c r="P616" s="141" t="n">
        <v>6</v>
      </c>
      <c r="Q616" s="136" t="inlineStr">
        <is>
          <t>CONTROL</t>
        </is>
      </c>
      <c r="R616" s="136" t="inlineStr">
        <is>
          <t>OTROS/VERIFICAR</t>
        </is>
      </c>
    </row>
    <row r="617">
      <c r="A617" s="14" t="inlineStr">
        <is>
          <t>C-VS-EAL-94270A</t>
        </is>
      </c>
      <c r="B617" s="14" t="inlineStr">
        <is>
          <t>102-CCM-005</t>
        </is>
      </c>
      <c r="C617" s="14" t="inlineStr">
        <is>
          <t>VS-EAL-94270A</t>
        </is>
      </c>
      <c r="D617" s="14" t="inlineStr">
        <is>
          <t>110</t>
        </is>
      </c>
      <c r="E617" s="14" t="inlineStr">
        <is>
          <t>430</t>
        </is>
      </c>
      <c r="F617" s="14" t="inlineStr">
        <is>
          <t>1kV-XLPE-Arm-CU</t>
        </is>
      </c>
      <c r="G617" s="14" t="inlineStr">
        <is>
          <t>2x2,5</t>
        </is>
      </c>
      <c r="H617" s="14" t="inlineStr">
        <is>
          <t>SEÑALES</t>
        </is>
      </c>
      <c r="I617" s="14" t="inlineStr">
        <is>
          <t>A</t>
        </is>
      </c>
      <c r="J617" s="14" t="inlineStr">
        <is>
          <t>CONTROL</t>
        </is>
      </c>
      <c r="K617" s="14" t="inlineStr">
        <is>
          <t>CPF2</t>
        </is>
      </c>
      <c r="L617" s="137" t="n">
        <v>2</v>
      </c>
      <c r="M617" s="144" t="inlineStr">
        <is>
          <t>SI</t>
        </is>
      </c>
      <c r="N617" s="139" t="n">
        <v>4</v>
      </c>
      <c r="O617" s="145" t="n">
        <v>2</v>
      </c>
      <c r="P617" s="141" t="n">
        <v>6</v>
      </c>
      <c r="Q617" s="136" t="inlineStr">
        <is>
          <t>CONTROL</t>
        </is>
      </c>
      <c r="R617" s="136" t="inlineStr">
        <is>
          <t>OTROS/VERIFICAR</t>
        </is>
      </c>
    </row>
    <row r="618">
      <c r="A618" s="14" t="inlineStr">
        <is>
          <t>C-VS-EAL-94270B</t>
        </is>
      </c>
      <c r="B618" s="14" t="inlineStr">
        <is>
          <t>102-CCM-005</t>
        </is>
      </c>
      <c r="C618" s="14" t="inlineStr">
        <is>
          <t>VS-EAL-94270B</t>
        </is>
      </c>
      <c r="D618" s="14" t="inlineStr">
        <is>
          <t>110</t>
        </is>
      </c>
      <c r="E618" s="14" t="inlineStr">
        <is>
          <t>430</t>
        </is>
      </c>
      <c r="F618" s="14" t="inlineStr">
        <is>
          <t>1kV-XLPE-Arm-CU</t>
        </is>
      </c>
      <c r="G618" s="14" t="inlineStr">
        <is>
          <t>2x2,5</t>
        </is>
      </c>
      <c r="H618" s="14" t="inlineStr">
        <is>
          <t>SEÑALES</t>
        </is>
      </c>
      <c r="I618" s="14" t="inlineStr">
        <is>
          <t>A</t>
        </is>
      </c>
      <c r="J618" s="14" t="inlineStr">
        <is>
          <t>CONTROL</t>
        </is>
      </c>
      <c r="K618" s="14" t="inlineStr">
        <is>
          <t>CPF2</t>
        </is>
      </c>
      <c r="L618" s="137" t="n">
        <v>2</v>
      </c>
      <c r="M618" s="144" t="inlineStr">
        <is>
          <t>SI</t>
        </is>
      </c>
      <c r="N618" s="139" t="n">
        <v>4</v>
      </c>
      <c r="O618" s="145" t="n">
        <v>2</v>
      </c>
      <c r="P618" s="141" t="n">
        <v>6</v>
      </c>
      <c r="Q618" s="136" t="inlineStr">
        <is>
          <t>CONTROL</t>
        </is>
      </c>
      <c r="R618" s="136" t="inlineStr">
        <is>
          <t>OTROS/VERIFICAR</t>
        </is>
      </c>
    </row>
    <row r="619">
      <c r="A619" s="14" t="inlineStr">
        <is>
          <t>C-VS-M-PAY-23310 A</t>
        </is>
      </c>
      <c r="B619" s="14" t="inlineStr">
        <is>
          <t>102-DP-VFD-23310 A</t>
        </is>
      </c>
      <c r="C619" s="14" t="inlineStr">
        <is>
          <t>VS-M-PAY-23310 A</t>
        </is>
      </c>
      <c r="D619" s="14" t="inlineStr">
        <is>
          <t>110</t>
        </is>
      </c>
      <c r="E619" s="14" t="inlineStr">
        <is>
          <t>250</t>
        </is>
      </c>
      <c r="F619" s="14" t="inlineStr">
        <is>
          <t>1kV-XLPE-Arm-CU</t>
        </is>
      </c>
      <c r="G619" s="14" t="inlineStr">
        <is>
          <t>2x2,5</t>
        </is>
      </c>
      <c r="H619" s="14" t="inlineStr">
        <is>
          <t>SEÑALES</t>
        </is>
      </c>
      <c r="I619" s="14" t="inlineStr">
        <is>
          <t>A</t>
        </is>
      </c>
      <c r="J619" s="14" t="inlineStr">
        <is>
          <t>CONTROL</t>
        </is>
      </c>
      <c r="K619" s="14" t="inlineStr">
        <is>
          <t>CPF2</t>
        </is>
      </c>
      <c r="L619" s="137" t="n">
        <v>2</v>
      </c>
      <c r="M619" s="144" t="inlineStr">
        <is>
          <t>SI</t>
        </is>
      </c>
      <c r="N619" s="139" t="n">
        <v>4</v>
      </c>
      <c r="O619" s="145" t="n">
        <v>2</v>
      </c>
      <c r="P619" s="141" t="n">
        <v>6</v>
      </c>
      <c r="Q619" s="136" t="inlineStr">
        <is>
          <t>CONTROL</t>
        </is>
      </c>
      <c r="R619" s="136" t="inlineStr">
        <is>
          <t>OTROS/VERIFICAR</t>
        </is>
      </c>
    </row>
    <row r="620">
      <c r="A620" s="14" t="inlineStr">
        <is>
          <t>C-VS-M-PAY-23310 B</t>
        </is>
      </c>
      <c r="B620" s="14" t="inlineStr">
        <is>
          <t>102-DP-VFD-23310 B</t>
        </is>
      </c>
      <c r="C620" s="14" t="inlineStr">
        <is>
          <t>VS-M-PAY-23310 B</t>
        </is>
      </c>
      <c r="D620" s="14" t="inlineStr">
        <is>
          <t>110</t>
        </is>
      </c>
      <c r="E620" s="14" t="inlineStr">
        <is>
          <t>250</t>
        </is>
      </c>
      <c r="F620" s="14" t="inlineStr">
        <is>
          <t>1kV-XLPE-Arm-CU</t>
        </is>
      </c>
      <c r="G620" s="14" t="inlineStr">
        <is>
          <t>2x2,5</t>
        </is>
      </c>
      <c r="H620" s="14" t="inlineStr">
        <is>
          <t>SEÑALES</t>
        </is>
      </c>
      <c r="I620" s="14" t="inlineStr">
        <is>
          <t>A</t>
        </is>
      </c>
      <c r="J620" s="14" t="inlineStr">
        <is>
          <t>CONTROL</t>
        </is>
      </c>
      <c r="K620" s="14" t="inlineStr">
        <is>
          <t>CPF2</t>
        </is>
      </c>
      <c r="L620" s="137" t="n">
        <v>2</v>
      </c>
      <c r="M620" s="144" t="inlineStr">
        <is>
          <t>SI</t>
        </is>
      </c>
      <c r="N620" s="139" t="n">
        <v>4</v>
      </c>
      <c r="O620" s="145" t="n">
        <v>2</v>
      </c>
      <c r="P620" s="141" t="n">
        <v>6</v>
      </c>
      <c r="Q620" s="136" t="inlineStr">
        <is>
          <t>CONTROL</t>
        </is>
      </c>
      <c r="R620" s="136" t="inlineStr">
        <is>
          <t>OTROS/VERIFICAR</t>
        </is>
      </c>
    </row>
    <row r="621">
      <c r="A621" s="14" t="inlineStr">
        <is>
          <t>C-VS-M-PAY-23310 C</t>
        </is>
      </c>
      <c r="B621" s="14" t="inlineStr">
        <is>
          <t>102-DP-VFD-23310 C</t>
        </is>
      </c>
      <c r="C621" s="14" t="inlineStr">
        <is>
          <t>VS-M-PAY-23310 C</t>
        </is>
      </c>
      <c r="D621" s="14" t="inlineStr">
        <is>
          <t>110</t>
        </is>
      </c>
      <c r="E621" s="14" t="inlineStr">
        <is>
          <t>250</t>
        </is>
      </c>
      <c r="F621" s="14" t="inlineStr">
        <is>
          <t>1kV-XLPE-Arm-CU</t>
        </is>
      </c>
      <c r="G621" s="14" t="inlineStr">
        <is>
          <t>2x2,5</t>
        </is>
      </c>
      <c r="H621" s="14" t="inlineStr">
        <is>
          <t>SEÑALES</t>
        </is>
      </c>
      <c r="I621" s="14" t="inlineStr"/>
      <c r="J621" s="14" t="inlineStr">
        <is>
          <t>CONTROL</t>
        </is>
      </c>
      <c r="K621" s="14" t="inlineStr">
        <is>
          <t>CPF2</t>
        </is>
      </c>
      <c r="L621" s="137" t="n">
        <v>2</v>
      </c>
      <c r="M621" s="144" t="inlineStr">
        <is>
          <t>SI</t>
        </is>
      </c>
      <c r="N621" s="139" t="n">
        <v>4</v>
      </c>
      <c r="O621" s="145" t="n">
        <v>2</v>
      </c>
      <c r="P621" s="141" t="n">
        <v>6</v>
      </c>
      <c r="Q621" s="136" t="inlineStr">
        <is>
          <t>CONTROL</t>
        </is>
      </c>
      <c r="R621" s="136" t="inlineStr">
        <is>
          <t>OTROS/VERIFICAR</t>
        </is>
      </c>
    </row>
    <row r="622">
      <c r="A622" s="14" t="inlineStr">
        <is>
          <t>C-VS-M-PAZ-24210 A</t>
        </is>
      </c>
      <c r="B622" s="14" t="inlineStr">
        <is>
          <t>102-DP-VFD-24210 A</t>
        </is>
      </c>
      <c r="C622" s="14" t="inlineStr">
        <is>
          <t>VS-M-PAZ-24210 A</t>
        </is>
      </c>
      <c r="D622" s="14" t="inlineStr">
        <is>
          <t>110</t>
        </is>
      </c>
      <c r="E622" s="14" t="inlineStr">
        <is>
          <t>230</t>
        </is>
      </c>
      <c r="F622" s="14" t="inlineStr">
        <is>
          <t>1kV-XLPE-Arm-CU</t>
        </is>
      </c>
      <c r="G622" s="14" t="inlineStr">
        <is>
          <t>2x2,5</t>
        </is>
      </c>
      <c r="H622" s="14" t="inlineStr">
        <is>
          <t>SEÑALES</t>
        </is>
      </c>
      <c r="I622" s="14" t="inlineStr"/>
      <c r="J622" s="14" t="inlineStr">
        <is>
          <t>CONTROL</t>
        </is>
      </c>
      <c r="K622" s="14" t="inlineStr">
        <is>
          <t>CPF2</t>
        </is>
      </c>
      <c r="L622" s="137" t="n">
        <v>2</v>
      </c>
      <c r="M622" s="144" t="inlineStr">
        <is>
          <t>SI</t>
        </is>
      </c>
      <c r="N622" s="139" t="n">
        <v>4</v>
      </c>
      <c r="O622" s="145" t="n">
        <v>2</v>
      </c>
      <c r="P622" s="141" t="n">
        <v>6</v>
      </c>
      <c r="Q622" s="136" t="inlineStr">
        <is>
          <t>CONTROL</t>
        </is>
      </c>
      <c r="R622" s="136" t="inlineStr">
        <is>
          <t>OTROS/VERIFICAR</t>
        </is>
      </c>
    </row>
    <row r="623">
      <c r="A623" s="14" t="inlineStr">
        <is>
          <t>C-VS-M-PAZ-24210 B</t>
        </is>
      </c>
      <c r="B623" s="14" t="inlineStr">
        <is>
          <t>102-DP-VFD-24210 B</t>
        </is>
      </c>
      <c r="C623" s="14" t="inlineStr">
        <is>
          <t>VS-M-PAZ-24210 B</t>
        </is>
      </c>
      <c r="D623" s="14" t="inlineStr">
        <is>
          <t>110</t>
        </is>
      </c>
      <c r="E623" s="14" t="inlineStr">
        <is>
          <t>230</t>
        </is>
      </c>
      <c r="F623" s="14" t="inlineStr">
        <is>
          <t>1kV-XLPE-Arm-CU</t>
        </is>
      </c>
      <c r="G623" s="14" t="inlineStr">
        <is>
          <t>2x2,5</t>
        </is>
      </c>
      <c r="H623" s="14" t="inlineStr">
        <is>
          <t>SEÑALES</t>
        </is>
      </c>
      <c r="I623" s="14" t="inlineStr"/>
      <c r="J623" s="14" t="inlineStr">
        <is>
          <t>CONTROL</t>
        </is>
      </c>
      <c r="K623" s="14" t="inlineStr">
        <is>
          <t>CPF2</t>
        </is>
      </c>
      <c r="L623" s="137" t="n">
        <v>2</v>
      </c>
      <c r="M623" s="144" t="inlineStr">
        <is>
          <t>SI</t>
        </is>
      </c>
      <c r="N623" s="139" t="n">
        <v>4</v>
      </c>
      <c r="O623" s="145" t="n">
        <v>2</v>
      </c>
      <c r="P623" s="141" t="n">
        <v>6</v>
      </c>
      <c r="Q623" s="136" t="inlineStr">
        <is>
          <t>CONTROL</t>
        </is>
      </c>
      <c r="R623" s="136" t="inlineStr">
        <is>
          <t>OTROS/VERIFICAR</t>
        </is>
      </c>
    </row>
    <row r="624">
      <c r="A624" s="14" t="inlineStr">
        <is>
          <t>C-VS-M-PAZ-24210 C</t>
        </is>
      </c>
      <c r="B624" s="14" t="inlineStr">
        <is>
          <t>102-DP-VFD-24210 C</t>
        </is>
      </c>
      <c r="C624" s="14" t="inlineStr">
        <is>
          <t>VS-M-PAZ-24210 C</t>
        </is>
      </c>
      <c r="D624" s="14" t="inlineStr">
        <is>
          <t>110</t>
        </is>
      </c>
      <c r="E624" s="14" t="inlineStr">
        <is>
          <t>230</t>
        </is>
      </c>
      <c r="F624" s="14" t="inlineStr">
        <is>
          <t>1kV-XLPE-Arm-CU</t>
        </is>
      </c>
      <c r="G624" s="14" t="inlineStr">
        <is>
          <t>2x2,5</t>
        </is>
      </c>
      <c r="H624" s="14" t="inlineStr">
        <is>
          <t>SEÑALES</t>
        </is>
      </c>
      <c r="I624" s="14" t="inlineStr"/>
      <c r="J624" s="14" t="inlineStr">
        <is>
          <t>CONTROL</t>
        </is>
      </c>
      <c r="K624" s="14" t="inlineStr">
        <is>
          <t>CPF2</t>
        </is>
      </c>
      <c r="L624" s="137" t="n">
        <v>2</v>
      </c>
      <c r="M624" s="144" t="inlineStr">
        <is>
          <t>SI</t>
        </is>
      </c>
      <c r="N624" s="139" t="n">
        <v>4</v>
      </c>
      <c r="O624" s="145" t="n">
        <v>2</v>
      </c>
      <c r="P624" s="141" t="n">
        <v>6</v>
      </c>
      <c r="Q624" s="136" t="inlineStr">
        <is>
          <t>CONTROL</t>
        </is>
      </c>
      <c r="R624" s="136" t="inlineStr">
        <is>
          <t>OTROS/VERIFICAR</t>
        </is>
      </c>
    </row>
    <row r="625">
      <c r="A625" s="14" t="inlineStr">
        <is>
          <t>MC-CPF-CPC-001</t>
        </is>
      </c>
      <c r="B625" s="14" t="inlineStr">
        <is>
          <t>102-PMS-001</t>
        </is>
      </c>
      <c r="C625" s="14" t="inlineStr">
        <is>
          <t>CPF-CPC-001</t>
        </is>
      </c>
      <c r="D625" s="14" t="inlineStr"/>
      <c r="E625" s="14" t="inlineStr"/>
      <c r="F625" s="14" t="inlineStr">
        <is>
          <t>300 V - Arm - BG</t>
        </is>
      </c>
      <c r="G625" s="14" t="inlineStr">
        <is>
          <t>6x2x0,5</t>
        </is>
      </c>
      <c r="H625" s="14" t="inlineStr">
        <is>
          <t>SEÑALES</t>
        </is>
      </c>
      <c r="I625" s="14" t="inlineStr">
        <is>
          <t>DESLASTRE A PANEL DE CONTROL DE VENTANA OPERATIVA</t>
        </is>
      </c>
      <c r="J625" s="14" t="inlineStr">
        <is>
          <t>SEÑAL</t>
        </is>
      </c>
      <c r="K625" s="14" t="inlineStr">
        <is>
          <t>CPF2</t>
        </is>
      </c>
      <c r="L625" s="137" t="n">
        <v>12</v>
      </c>
      <c r="M625" s="144" t="inlineStr">
        <is>
          <t>SI</t>
        </is>
      </c>
      <c r="N625" s="139" t="n">
        <v>24</v>
      </c>
      <c r="O625" s="145" t="n">
        <v>2</v>
      </c>
      <c r="P625" s="141" t="n">
        <v>26</v>
      </c>
      <c r="Q625" s="136" t="inlineStr">
        <is>
          <t>SEÑAL / INSTRUMENTO</t>
        </is>
      </c>
      <c r="R625" s="136" t="inlineStr">
        <is>
          <t>TABLERO/CCM</t>
        </is>
      </c>
    </row>
    <row r="626">
      <c r="A626" s="14" t="inlineStr">
        <is>
          <t>MC-102-DP-VFD-23310 A</t>
        </is>
      </c>
      <c r="B626" s="14" t="inlineStr">
        <is>
          <t>CPF-CPC-001</t>
        </is>
      </c>
      <c r="C626" s="14" t="inlineStr">
        <is>
          <t>102-DP-VFD-23310 A</t>
        </is>
      </c>
      <c r="D626" s="14" t="inlineStr"/>
      <c r="E626" s="14" t="inlineStr"/>
      <c r="F626" s="14" t="inlineStr">
        <is>
          <t>300 V - Arm - BG</t>
        </is>
      </c>
      <c r="G626" s="14" t="inlineStr">
        <is>
          <t>6x2x0,5</t>
        </is>
      </c>
      <c r="H626" s="14" t="inlineStr">
        <is>
          <t>SEÑALES</t>
        </is>
      </c>
      <c r="I626" s="14" t="inlineStr"/>
      <c r="J626" s="14" t="inlineStr">
        <is>
          <t>SEÑAL</t>
        </is>
      </c>
      <c r="K626" s="14" t="inlineStr">
        <is>
          <t>CPF2</t>
        </is>
      </c>
      <c r="L626" s="137" t="n">
        <v>12</v>
      </c>
      <c r="M626" s="144" t="inlineStr">
        <is>
          <t>SI</t>
        </is>
      </c>
      <c r="N626" s="139" t="n">
        <v>24</v>
      </c>
      <c r="O626" s="145" t="n">
        <v>2</v>
      </c>
      <c r="P626" s="141" t="n">
        <v>26</v>
      </c>
      <c r="Q626" s="136" t="inlineStr">
        <is>
          <t>SEÑAL / INSTRUMENTO</t>
        </is>
      </c>
      <c r="R626" s="136" t="inlineStr">
        <is>
          <t>VFD/VARIADOR</t>
        </is>
      </c>
    </row>
    <row r="627">
      <c r="A627" s="14" t="inlineStr">
        <is>
          <t>MC-102-DP-VFD-23310 B</t>
        </is>
      </c>
      <c r="B627" s="14" t="inlineStr">
        <is>
          <t>CPF-CPC-001</t>
        </is>
      </c>
      <c r="C627" s="14" t="inlineStr">
        <is>
          <t>102-DP-VFD-23310 B</t>
        </is>
      </c>
      <c r="D627" s="14" t="inlineStr"/>
      <c r="E627" s="14" t="inlineStr"/>
      <c r="F627" s="14" t="inlineStr">
        <is>
          <t>300 V - Arm - BG</t>
        </is>
      </c>
      <c r="G627" s="14" t="inlineStr">
        <is>
          <t>6x2x0,5</t>
        </is>
      </c>
      <c r="H627" s="14" t="inlineStr">
        <is>
          <t>SEÑALES</t>
        </is>
      </c>
      <c r="I627" s="14" t="inlineStr"/>
      <c r="J627" s="14" t="inlineStr">
        <is>
          <t>SEÑAL</t>
        </is>
      </c>
      <c r="K627" s="14" t="inlineStr">
        <is>
          <t>CPF2</t>
        </is>
      </c>
      <c r="L627" s="137" t="n">
        <v>12</v>
      </c>
      <c r="M627" s="144" t="inlineStr">
        <is>
          <t>SI</t>
        </is>
      </c>
      <c r="N627" s="139" t="n">
        <v>24</v>
      </c>
      <c r="O627" s="145" t="n">
        <v>2</v>
      </c>
      <c r="P627" s="141" t="n">
        <v>26</v>
      </c>
      <c r="Q627" s="136" t="inlineStr">
        <is>
          <t>SEÑAL / INSTRUMENTO</t>
        </is>
      </c>
      <c r="R627" s="136" t="inlineStr">
        <is>
          <t>VFD/VARIADOR</t>
        </is>
      </c>
    </row>
    <row r="628">
      <c r="A628" s="14" t="inlineStr">
        <is>
          <t>MC-102-DP-VFD-23310 C</t>
        </is>
      </c>
      <c r="B628" s="14" t="inlineStr">
        <is>
          <t>CPF-CPC-001</t>
        </is>
      </c>
      <c r="C628" s="14" t="inlineStr">
        <is>
          <t>102-DP-VFD-23310 C</t>
        </is>
      </c>
      <c r="D628" s="14" t="inlineStr"/>
      <c r="E628" s="14" t="inlineStr"/>
      <c r="F628" s="14" t="inlineStr">
        <is>
          <t>300 V - Arm - BG</t>
        </is>
      </c>
      <c r="G628" s="14" t="inlineStr">
        <is>
          <t>6x2x0,5</t>
        </is>
      </c>
      <c r="H628" s="14" t="inlineStr">
        <is>
          <t>SEÑALES</t>
        </is>
      </c>
      <c r="I628" s="14" t="inlineStr"/>
      <c r="J628" s="14" t="inlineStr">
        <is>
          <t>SEÑAL</t>
        </is>
      </c>
      <c r="K628" s="14" t="inlineStr">
        <is>
          <t>CPF2</t>
        </is>
      </c>
      <c r="L628" s="137" t="n">
        <v>12</v>
      </c>
      <c r="M628" s="144" t="inlineStr">
        <is>
          <t>SI</t>
        </is>
      </c>
      <c r="N628" s="139" t="n">
        <v>24</v>
      </c>
      <c r="O628" s="145" t="n">
        <v>2</v>
      </c>
      <c r="P628" s="141" t="n">
        <v>26</v>
      </c>
      <c r="Q628" s="136" t="inlineStr">
        <is>
          <t>SEÑAL / INSTRUMENTO</t>
        </is>
      </c>
      <c r="R628" s="136" t="inlineStr">
        <is>
          <t>VFD/VARIADOR</t>
        </is>
      </c>
    </row>
    <row r="629">
      <c r="A629" s="14" t="inlineStr">
        <is>
          <t>MC-102-DP-VFD-23310 A1</t>
        </is>
      </c>
      <c r="B629" s="14" t="inlineStr">
        <is>
          <t>CPF-CPC-001</t>
        </is>
      </c>
      <c r="C629" s="14" t="inlineStr">
        <is>
          <t>102-DP-VFD-23310 A</t>
        </is>
      </c>
      <c r="D629" s="14" t="inlineStr"/>
      <c r="E629" s="14" t="inlineStr"/>
      <c r="F629" s="14" t="inlineStr">
        <is>
          <t>300 V - Arm - BG/BI</t>
        </is>
      </c>
      <c r="G629" s="14" t="inlineStr">
        <is>
          <t>2x2x0,5</t>
        </is>
      </c>
      <c r="H629" s="14" t="inlineStr">
        <is>
          <t>SEÑALES</t>
        </is>
      </c>
      <c r="I629" s="14" t="inlineStr">
        <is>
          <t>SEÑAL ANALOGICA SET POINT VEL. A VFD MT</t>
        </is>
      </c>
      <c r="J629" s="14" t="inlineStr">
        <is>
          <t>SEÑAL</t>
        </is>
      </c>
      <c r="K629" s="14" t="inlineStr">
        <is>
          <t>CPF2</t>
        </is>
      </c>
      <c r="L629" s="137" t="n">
        <v>4</v>
      </c>
      <c r="M629" s="144" t="inlineStr">
        <is>
          <t>SI</t>
        </is>
      </c>
      <c r="N629" s="139" t="n">
        <v>8</v>
      </c>
      <c r="O629" s="145" t="n">
        <v>2</v>
      </c>
      <c r="P629" s="141" t="n">
        <v>10</v>
      </c>
      <c r="Q629" s="136" t="inlineStr">
        <is>
          <t>SEÑAL / INSTRUMENTO</t>
        </is>
      </c>
      <c r="R629" s="136" t="inlineStr">
        <is>
          <t>VFD/VARIADOR</t>
        </is>
      </c>
    </row>
    <row r="630">
      <c r="A630" s="14" t="inlineStr">
        <is>
          <t>MC-102-DP-VFD-23310 B1</t>
        </is>
      </c>
      <c r="B630" s="14" t="inlineStr">
        <is>
          <t>CPF-CPC-001</t>
        </is>
      </c>
      <c r="C630" s="14" t="inlineStr">
        <is>
          <t>102-DP-VFD-23310 B</t>
        </is>
      </c>
      <c r="D630" s="14" t="inlineStr"/>
      <c r="E630" s="14" t="inlineStr"/>
      <c r="F630" s="14" t="inlineStr">
        <is>
          <t>300 V - Arm - BG/BI</t>
        </is>
      </c>
      <c r="G630" s="14" t="inlineStr">
        <is>
          <t>2x2x0,5</t>
        </is>
      </c>
      <c r="H630" s="14" t="inlineStr">
        <is>
          <t>SEÑALES</t>
        </is>
      </c>
      <c r="I630" s="14" t="inlineStr">
        <is>
          <t>SEÑAL ANALOGICA SET POINT VEL. A VFD MT</t>
        </is>
      </c>
      <c r="J630" s="14" t="inlineStr">
        <is>
          <t>SEÑAL</t>
        </is>
      </c>
      <c r="K630" s="14" t="inlineStr">
        <is>
          <t>CPF2</t>
        </is>
      </c>
      <c r="L630" s="137" t="n">
        <v>4</v>
      </c>
      <c r="M630" s="144" t="inlineStr">
        <is>
          <t>SI</t>
        </is>
      </c>
      <c r="N630" s="139" t="n">
        <v>8</v>
      </c>
      <c r="O630" s="145" t="n">
        <v>2</v>
      </c>
      <c r="P630" s="141" t="n">
        <v>10</v>
      </c>
      <c r="Q630" s="136" t="inlineStr">
        <is>
          <t>SEÑAL / INSTRUMENTO</t>
        </is>
      </c>
      <c r="R630" s="136" t="inlineStr">
        <is>
          <t>VFD/VARIADOR</t>
        </is>
      </c>
    </row>
    <row r="631">
      <c r="A631" s="14" t="inlineStr">
        <is>
          <t>MC-102-DP-VFD-23310 C1</t>
        </is>
      </c>
      <c r="B631" s="14" t="inlineStr">
        <is>
          <t>CPF-CPC-001</t>
        </is>
      </c>
      <c r="C631" s="14" t="inlineStr">
        <is>
          <t>102-DP-VFD-23310 C</t>
        </is>
      </c>
      <c r="D631" s="14" t="inlineStr"/>
      <c r="E631" s="14" t="inlineStr"/>
      <c r="F631" s="14" t="inlineStr">
        <is>
          <t>300 V - Arm - BG/BI</t>
        </is>
      </c>
      <c r="G631" s="14" t="inlineStr">
        <is>
          <t>2x2x0,5</t>
        </is>
      </c>
      <c r="H631" s="14" t="inlineStr">
        <is>
          <t>SEÑALES</t>
        </is>
      </c>
      <c r="I631" s="14" t="inlineStr">
        <is>
          <t>SEÑAL ANALOGICA SET POINT VEL. A VFD MT</t>
        </is>
      </c>
      <c r="J631" s="14" t="inlineStr">
        <is>
          <t>SEÑAL</t>
        </is>
      </c>
      <c r="K631" s="14" t="inlineStr">
        <is>
          <t>CPF2</t>
        </is>
      </c>
      <c r="L631" s="137" t="n">
        <v>4</v>
      </c>
      <c r="M631" s="144" t="inlineStr">
        <is>
          <t>SI</t>
        </is>
      </c>
      <c r="N631" s="139" t="n">
        <v>8</v>
      </c>
      <c r="O631" s="145" t="n">
        <v>2</v>
      </c>
      <c r="P631" s="141" t="n">
        <v>10</v>
      </c>
      <c r="Q631" s="136" t="inlineStr">
        <is>
          <t>SEÑAL / INSTRUMENTO</t>
        </is>
      </c>
      <c r="R631" s="136" t="inlineStr">
        <is>
          <t>VFD/VARIADOR</t>
        </is>
      </c>
    </row>
    <row r="632">
      <c r="A632" s="14" t="inlineStr">
        <is>
          <t>MC-102-DP-VFD-23310 A2</t>
        </is>
      </c>
      <c r="B632" s="14" t="inlineStr">
        <is>
          <t>CPF-CPC-001</t>
        </is>
      </c>
      <c r="C632" s="14" t="inlineStr">
        <is>
          <t>102-DP-VFD-23310 A</t>
        </is>
      </c>
      <c r="D632" s="14" t="inlineStr"/>
      <c r="E632" s="14" t="inlineStr"/>
      <c r="F632" s="14" t="inlineStr">
        <is>
          <t>300 V - Arm - BG/BI</t>
        </is>
      </c>
      <c r="G632" s="14" t="inlineStr">
        <is>
          <t>2x2x0,5</t>
        </is>
      </c>
      <c r="H632" s="14" t="inlineStr">
        <is>
          <t>SEÑALES</t>
        </is>
      </c>
      <c r="I632" s="14" t="inlineStr"/>
      <c r="J632" s="14" t="inlineStr">
        <is>
          <t>SEÑAL</t>
        </is>
      </c>
      <c r="K632" s="14" t="inlineStr">
        <is>
          <t>CPF2</t>
        </is>
      </c>
      <c r="L632" s="137" t="n">
        <v>4</v>
      </c>
      <c r="M632" s="144" t="inlineStr">
        <is>
          <t>SI</t>
        </is>
      </c>
      <c r="N632" s="139" t="n">
        <v>8</v>
      </c>
      <c r="O632" s="145" t="n">
        <v>2</v>
      </c>
      <c r="P632" s="141" t="n">
        <v>10</v>
      </c>
      <c r="Q632" s="136" t="inlineStr">
        <is>
          <t>SEÑAL / INSTRUMENTO</t>
        </is>
      </c>
      <c r="R632" s="136" t="inlineStr">
        <is>
          <t>VFD/VARIADOR</t>
        </is>
      </c>
    </row>
    <row r="633">
      <c r="A633" s="14" t="inlineStr">
        <is>
          <t>MC-102-DP-VFD-23310 B2</t>
        </is>
      </c>
      <c r="B633" s="14" t="inlineStr">
        <is>
          <t>CPF-CPC-001</t>
        </is>
      </c>
      <c r="C633" s="14" t="inlineStr">
        <is>
          <t>102-DP-VFD-23310 B</t>
        </is>
      </c>
      <c r="D633" s="14" t="inlineStr"/>
      <c r="E633" s="14" t="inlineStr"/>
      <c r="F633" s="14" t="inlineStr">
        <is>
          <t>300 V - Arm - BG/BI</t>
        </is>
      </c>
      <c r="G633" s="14" t="inlineStr">
        <is>
          <t>2x2x0,5</t>
        </is>
      </c>
      <c r="H633" s="14" t="inlineStr">
        <is>
          <t>SEÑALES</t>
        </is>
      </c>
      <c r="I633" s="14" t="inlineStr"/>
      <c r="J633" s="14" t="inlineStr">
        <is>
          <t>SEÑAL</t>
        </is>
      </c>
      <c r="K633" s="14" t="inlineStr">
        <is>
          <t>CPF2</t>
        </is>
      </c>
      <c r="L633" s="137" t="n">
        <v>4</v>
      </c>
      <c r="M633" s="144" t="inlineStr">
        <is>
          <t>SI</t>
        </is>
      </c>
      <c r="N633" s="139" t="n">
        <v>8</v>
      </c>
      <c r="O633" s="145" t="n">
        <v>2</v>
      </c>
      <c r="P633" s="141" t="n">
        <v>10</v>
      </c>
      <c r="Q633" s="136" t="inlineStr">
        <is>
          <t>SEÑAL / INSTRUMENTO</t>
        </is>
      </c>
      <c r="R633" s="136" t="inlineStr">
        <is>
          <t>VFD/VARIADOR</t>
        </is>
      </c>
    </row>
    <row r="634">
      <c r="A634" s="14" t="inlineStr">
        <is>
          <t>MC-102-DP-VFD-23310 C2</t>
        </is>
      </c>
      <c r="B634" s="14" t="inlineStr">
        <is>
          <t>CPF-CPC-001</t>
        </is>
      </c>
      <c r="C634" s="14" t="inlineStr">
        <is>
          <t>102-DP-VFD-23310 C</t>
        </is>
      </c>
      <c r="D634" s="14" t="inlineStr"/>
      <c r="E634" s="14" t="inlineStr"/>
      <c r="F634" s="14" t="inlineStr">
        <is>
          <t>300 V - Arm - BG/BI</t>
        </is>
      </c>
      <c r="G634" s="14" t="inlineStr">
        <is>
          <t>2x2x0,5</t>
        </is>
      </c>
      <c r="H634" s="14" t="inlineStr">
        <is>
          <t>SEÑALES</t>
        </is>
      </c>
      <c r="I634" s="14" t="inlineStr"/>
      <c r="J634" s="14" t="inlineStr">
        <is>
          <t>SEÑAL</t>
        </is>
      </c>
      <c r="K634" s="14" t="inlineStr">
        <is>
          <t>CPF2</t>
        </is>
      </c>
      <c r="L634" s="137" t="n">
        <v>4</v>
      </c>
      <c r="M634" s="144" t="inlineStr">
        <is>
          <t>SI</t>
        </is>
      </c>
      <c r="N634" s="139" t="n">
        <v>8</v>
      </c>
      <c r="O634" s="145" t="n">
        <v>2</v>
      </c>
      <c r="P634" s="141" t="n">
        <v>10</v>
      </c>
      <c r="Q634" s="136" t="inlineStr">
        <is>
          <t>SEÑAL / INSTRUMENTO</t>
        </is>
      </c>
      <c r="R634" s="136" t="inlineStr">
        <is>
          <t>VFD/VARIADOR</t>
        </is>
      </c>
    </row>
  </sheetData>
  <autoFilter ref="A1:K6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5" customHeight="1">
      <c r="A1" s="11" t="inlineStr">
        <is>
          <t>FORMACION</t>
        </is>
      </c>
      <c r="B1" s="11" t="inlineStr">
        <is>
          <t>CONST</t>
        </is>
      </c>
      <c r="C1" s="11" t="inlineStr">
        <is>
          <t>TIPO</t>
        </is>
      </c>
      <c r="D1" s="11" t="inlineStr">
        <is>
          <t>CANT_CABLES</t>
        </is>
      </c>
      <c r="E1" s="11" t="inlineStr">
        <is>
          <t>METROS_TOTAL</t>
        </is>
      </c>
      <c r="F1" s="11" t="inlineStr">
        <is>
          <t>CPF1_m</t>
        </is>
      </c>
      <c r="G1" s="11" t="inlineStr">
        <is>
          <t>CPF2_m</t>
        </is>
      </c>
      <c r="H1" s="11" t="inlineStr">
        <is>
          <t>% CPF2</t>
        </is>
      </c>
    </row>
    <row r="2">
      <c r="A2" s="12" t="inlineStr">
        <is>
          <t>7x2,5+T</t>
        </is>
      </c>
      <c r="B2" s="12" t="inlineStr">
        <is>
          <t>1kV-XLPE-Arm-T-CU</t>
        </is>
      </c>
      <c r="C2" s="12" t="inlineStr">
        <is>
          <t>CONTROL</t>
        </is>
      </c>
      <c r="D2" s="15" t="n">
        <v>96</v>
      </c>
      <c r="E2" s="15" t="n">
        <v>17390</v>
      </c>
      <c r="F2" s="15" t="n">
        <v>0</v>
      </c>
      <c r="G2" s="15" t="n">
        <v>17390</v>
      </c>
      <c r="H2" s="16" t="n">
        <v>100</v>
      </c>
    </row>
    <row r="3">
      <c r="A3" s="13" t="inlineStr">
        <is>
          <t>2x4</t>
        </is>
      </c>
      <c r="B3" s="13" t="inlineStr">
        <is>
          <t>1kV-XLPE-Arm-CU</t>
        </is>
      </c>
      <c r="C3" s="13" t="inlineStr">
        <is>
          <t>POTENCIA_BT</t>
        </is>
      </c>
      <c r="D3" s="17" t="n">
        <v>105</v>
      </c>
      <c r="E3" s="17" t="n">
        <v>10905</v>
      </c>
      <c r="F3" s="17" t="n">
        <v>540</v>
      </c>
      <c r="G3" s="17" t="n">
        <v>10365</v>
      </c>
      <c r="H3" s="18" t="n">
        <v>95</v>
      </c>
    </row>
    <row r="4">
      <c r="A4" s="12" t="inlineStr">
        <is>
          <t>2x2,5</t>
        </is>
      </c>
      <c r="B4" s="12" t="inlineStr">
        <is>
          <t>1kV-XLPE-Arm-CU</t>
        </is>
      </c>
      <c r="C4" s="12" t="inlineStr">
        <is>
          <t>CONTROL</t>
        </is>
      </c>
      <c r="D4" s="15" t="n">
        <v>39</v>
      </c>
      <c r="E4" s="15" t="n">
        <v>7270</v>
      </c>
      <c r="F4" s="15" t="n">
        <v>200</v>
      </c>
      <c r="G4" s="15" t="n">
        <v>7070</v>
      </c>
      <c r="H4" s="16" t="n">
        <v>97.2</v>
      </c>
    </row>
    <row r="5">
      <c r="A5" s="13" t="inlineStr">
        <is>
          <t>2x6</t>
        </is>
      </c>
      <c r="B5" s="13" t="inlineStr">
        <is>
          <t>1kV-XLPE-Arm-CU</t>
        </is>
      </c>
      <c r="C5" s="13" t="inlineStr">
        <is>
          <t>POTENCIA_BT</t>
        </is>
      </c>
      <c r="D5" s="17" t="n">
        <v>15</v>
      </c>
      <c r="E5" s="17" t="n">
        <v>4480</v>
      </c>
      <c r="F5" s="17" t="n">
        <v>0</v>
      </c>
      <c r="G5" s="17" t="n">
        <v>4480</v>
      </c>
      <c r="H5" s="18" t="n">
        <v>100</v>
      </c>
    </row>
    <row r="6">
      <c r="A6" s="12" t="inlineStr">
        <is>
          <t>3x240</t>
        </is>
      </c>
      <c r="B6" s="12" t="inlineStr">
        <is>
          <t>1kV-XLPE-Arm-CU</t>
        </is>
      </c>
      <c r="C6" s="12" t="inlineStr">
        <is>
          <t>POTENCIA_BT</t>
        </is>
      </c>
      <c r="D6" s="15" t="n">
        <v>23</v>
      </c>
      <c r="E6" s="15" t="n">
        <v>4050</v>
      </c>
      <c r="F6" s="15" t="n">
        <v>0</v>
      </c>
      <c r="G6" s="15" t="n">
        <v>4050</v>
      </c>
      <c r="H6" s="16" t="n">
        <v>100</v>
      </c>
    </row>
    <row r="7">
      <c r="A7" s="13" t="inlineStr">
        <is>
          <t>3x120/70</t>
        </is>
      </c>
      <c r="B7" s="13" t="inlineStr">
        <is>
          <t>1kV-XLPE-Arm-CU</t>
        </is>
      </c>
      <c r="C7" s="13" t="inlineStr">
        <is>
          <t>POTENCIA_BT</t>
        </is>
      </c>
      <c r="D7" s="17" t="n">
        <v>8</v>
      </c>
      <c r="E7" s="17" t="n">
        <v>4000</v>
      </c>
      <c r="F7" s="17" t="n">
        <v>0</v>
      </c>
      <c r="G7" s="17" t="n">
        <v>4000</v>
      </c>
      <c r="H7" s="18" t="n">
        <v>100</v>
      </c>
    </row>
    <row r="8">
      <c r="A8" s="12" t="inlineStr">
        <is>
          <t>4x4</t>
        </is>
      </c>
      <c r="B8" s="12" t="inlineStr">
        <is>
          <t>1kV-XLPE-CU</t>
        </is>
      </c>
      <c r="C8" s="12" t="inlineStr">
        <is>
          <t>POTENCIA_BT</t>
        </is>
      </c>
      <c r="D8" s="15" t="n">
        <v>20</v>
      </c>
      <c r="E8" s="15" t="n">
        <v>3860</v>
      </c>
      <c r="F8" s="15" t="n">
        <v>130</v>
      </c>
      <c r="G8" s="15" t="n">
        <v>3730</v>
      </c>
      <c r="H8" s="16" t="n">
        <v>96.59999999999999</v>
      </c>
    </row>
    <row r="9">
      <c r="A9" s="13" t="inlineStr">
        <is>
          <t>4x10+T</t>
        </is>
      </c>
      <c r="B9" s="13" t="inlineStr">
        <is>
          <t>1kV-XLPE-Arm-T-RF-CU</t>
        </is>
      </c>
      <c r="C9" s="13" t="inlineStr">
        <is>
          <t>POTENCIA_BT</t>
        </is>
      </c>
      <c r="D9" s="17" t="n">
        <v>24</v>
      </c>
      <c r="E9" s="17" t="n">
        <v>3560</v>
      </c>
      <c r="F9" s="17" t="n">
        <v>0</v>
      </c>
      <c r="G9" s="17" t="n">
        <v>3560</v>
      </c>
      <c r="H9" s="18" t="n">
        <v>100</v>
      </c>
    </row>
    <row r="10">
      <c r="A10" s="12" t="inlineStr">
        <is>
          <t>3x35</t>
        </is>
      </c>
      <c r="B10" s="12" t="inlineStr">
        <is>
          <t>1kV-XLPE-Arm-CU</t>
        </is>
      </c>
      <c r="C10" s="12" t="inlineStr">
        <is>
          <t>POTENCIA_BT</t>
        </is>
      </c>
      <c r="D10" s="15" t="n">
        <v>16</v>
      </c>
      <c r="E10" s="15" t="n">
        <v>2960</v>
      </c>
      <c r="F10" s="15" t="n">
        <v>0</v>
      </c>
      <c r="G10" s="15" t="n">
        <v>2960</v>
      </c>
      <c r="H10" s="16" t="n">
        <v>100</v>
      </c>
    </row>
    <row r="11">
      <c r="A11" s="13" t="inlineStr">
        <is>
          <t>3x50</t>
        </is>
      </c>
      <c r="B11" s="13" t="inlineStr">
        <is>
          <t>1kV-XLPE-Arm-CU</t>
        </is>
      </c>
      <c r="C11" s="13" t="inlineStr">
        <is>
          <t>POTENCIA_BT</t>
        </is>
      </c>
      <c r="D11" s="17" t="n">
        <v>10</v>
      </c>
      <c r="E11" s="17" t="n">
        <v>2700</v>
      </c>
      <c r="F11" s="17" t="n">
        <v>0</v>
      </c>
      <c r="G11" s="17" t="n">
        <v>2700</v>
      </c>
      <c r="H11" s="18" t="n">
        <v>100</v>
      </c>
    </row>
    <row r="12">
      <c r="A12" s="12" t="inlineStr">
        <is>
          <t>3x6</t>
        </is>
      </c>
      <c r="B12" s="12" t="inlineStr">
        <is>
          <t>1kV-XLPE-Arm-CU</t>
        </is>
      </c>
      <c r="C12" s="12" t="inlineStr">
        <is>
          <t>POTENCIA_BT</t>
        </is>
      </c>
      <c r="D12" s="15" t="n">
        <v>11</v>
      </c>
      <c r="E12" s="15" t="n">
        <v>2350</v>
      </c>
      <c r="F12" s="15" t="n">
        <v>0</v>
      </c>
      <c r="G12" s="15" t="n">
        <v>2350</v>
      </c>
      <c r="H12" s="16" t="n">
        <v>100</v>
      </c>
    </row>
    <row r="13">
      <c r="A13" s="13" t="inlineStr">
        <is>
          <t>3x16</t>
        </is>
      </c>
      <c r="B13" s="13" t="inlineStr">
        <is>
          <t>1kV-XLPE-Arm-CU</t>
        </is>
      </c>
      <c r="C13" s="13" t="inlineStr">
        <is>
          <t>POTENCIA_BT</t>
        </is>
      </c>
      <c r="D13" s="17" t="n">
        <v>9</v>
      </c>
      <c r="E13" s="17" t="n">
        <v>2290</v>
      </c>
      <c r="F13" s="17" t="n">
        <v>0</v>
      </c>
      <c r="G13" s="17" t="n">
        <v>2290</v>
      </c>
      <c r="H13" s="18" t="n">
        <v>100</v>
      </c>
    </row>
    <row r="14">
      <c r="A14" s="12" t="inlineStr">
        <is>
          <t>4x4+T</t>
        </is>
      </c>
      <c r="B14" s="12" t="inlineStr">
        <is>
          <t>1kV-XLPE-Arm-T-CU</t>
        </is>
      </c>
      <c r="C14" s="12" t="inlineStr">
        <is>
          <t>POTENCIA_BT</t>
        </is>
      </c>
      <c r="D14" s="15" t="n">
        <v>12</v>
      </c>
      <c r="E14" s="15" t="n">
        <v>1820</v>
      </c>
      <c r="F14" s="15" t="n">
        <v>0</v>
      </c>
      <c r="G14" s="15" t="n">
        <v>1820</v>
      </c>
      <c r="H14" s="16" t="n">
        <v>100</v>
      </c>
    </row>
    <row r="15">
      <c r="A15" s="13" t="inlineStr">
        <is>
          <t>1x240</t>
        </is>
      </c>
      <c r="B15" s="13" t="inlineStr">
        <is>
          <t>1kV-XLPE-Arm-CU</t>
        </is>
      </c>
      <c r="C15" s="13" t="inlineStr">
        <is>
          <t>POTENCIA_BT</t>
        </is>
      </c>
      <c r="D15" s="17" t="n">
        <v>65</v>
      </c>
      <c r="E15" s="17" t="n">
        <v>1810</v>
      </c>
      <c r="F15" s="17" t="n">
        <v>960</v>
      </c>
      <c r="G15" s="17" t="n">
        <v>850</v>
      </c>
      <c r="H15" s="18" t="n">
        <v>47</v>
      </c>
    </row>
    <row r="16">
      <c r="A16" s="12" t="inlineStr">
        <is>
          <t>3x95</t>
        </is>
      </c>
      <c r="B16" s="12" t="inlineStr">
        <is>
          <t>1kV-XLPE-Arm-CU</t>
        </is>
      </c>
      <c r="C16" s="12" t="inlineStr">
        <is>
          <t>POTENCIA_BT</t>
        </is>
      </c>
      <c r="D16" s="15" t="n">
        <v>14</v>
      </c>
      <c r="E16" s="15" t="n">
        <v>1740</v>
      </c>
      <c r="F16" s="15" t="n">
        <v>0</v>
      </c>
      <c r="G16" s="15" t="n">
        <v>1740</v>
      </c>
      <c r="H16" s="16" t="n">
        <v>100</v>
      </c>
    </row>
    <row r="17">
      <c r="A17" s="13" t="inlineStr">
        <is>
          <t>3x10</t>
        </is>
      </c>
      <c r="B17" s="13" t="inlineStr">
        <is>
          <t>1kV-XLPE-Arm-CU</t>
        </is>
      </c>
      <c r="C17" s="13" t="inlineStr">
        <is>
          <t>POTENCIA_BT</t>
        </is>
      </c>
      <c r="D17" s="17" t="n">
        <v>10</v>
      </c>
      <c r="E17" s="17" t="n">
        <v>1740</v>
      </c>
      <c r="F17" s="17" t="n">
        <v>0</v>
      </c>
      <c r="G17" s="17" t="n">
        <v>1740</v>
      </c>
      <c r="H17" s="18" t="n">
        <v>100</v>
      </c>
    </row>
    <row r="18">
      <c r="A18" s="12" t="inlineStr">
        <is>
          <t>8x3x1,31</t>
        </is>
      </c>
      <c r="B18" s="12" t="inlineStr">
        <is>
          <t>300 V - Arm - BG + BI</t>
        </is>
      </c>
      <c r="C18" s="12" t="inlineStr">
        <is>
          <t>SEÑAL</t>
        </is>
      </c>
      <c r="D18" s="15" t="n">
        <v>8</v>
      </c>
      <c r="E18" s="15" t="n">
        <v>1700</v>
      </c>
      <c r="F18" s="15" t="n">
        <v>0</v>
      </c>
      <c r="G18" s="15" t="n">
        <v>1700</v>
      </c>
      <c r="H18" s="16" t="n">
        <v>100</v>
      </c>
    </row>
    <row r="19">
      <c r="A19" s="13" t="inlineStr">
        <is>
          <t>3x25</t>
        </is>
      </c>
      <c r="B19" s="13" t="inlineStr">
        <is>
          <t>1kV-XLPE-Arm-CU</t>
        </is>
      </c>
      <c r="C19" s="13" t="inlineStr">
        <is>
          <t>POTENCIA_BT</t>
        </is>
      </c>
      <c r="D19" s="17" t="n">
        <v>9</v>
      </c>
      <c r="E19" s="17" t="n">
        <v>1560</v>
      </c>
      <c r="F19" s="17" t="n">
        <v>0</v>
      </c>
      <c r="G19" s="17" t="n">
        <v>1560</v>
      </c>
      <c r="H19" s="18" t="n">
        <v>100</v>
      </c>
    </row>
    <row r="20">
      <c r="A20" s="12" t="inlineStr">
        <is>
          <t>4x25/16</t>
        </is>
      </c>
      <c r="B20" s="12" t="inlineStr">
        <is>
          <t>1kV-XLPE-Arm-T-CU</t>
        </is>
      </c>
      <c r="C20" s="12" t="inlineStr">
        <is>
          <t>POTENCIA_BT</t>
        </is>
      </c>
      <c r="D20" s="15" t="n">
        <v>12</v>
      </c>
      <c r="E20" s="15" t="n">
        <v>1200</v>
      </c>
      <c r="F20" s="15" t="n">
        <v>0</v>
      </c>
      <c r="G20" s="15" t="n">
        <v>1200</v>
      </c>
      <c r="H20" s="16" t="n">
        <v>100</v>
      </c>
    </row>
    <row r="21">
      <c r="A21" s="13" t="inlineStr">
        <is>
          <t>2x2,5+T</t>
        </is>
      </c>
      <c r="B21" s="13" t="inlineStr">
        <is>
          <t>1kV-XLPE-Arm-CU</t>
        </is>
      </c>
      <c r="C21" s="13" t="inlineStr">
        <is>
          <t>SEÑAL</t>
        </is>
      </c>
      <c r="D21" s="17" t="n">
        <v>14</v>
      </c>
      <c r="E21" s="17" t="n">
        <v>1050</v>
      </c>
      <c r="F21" s="17" t="n">
        <v>1050</v>
      </c>
      <c r="G21" s="17" t="n">
        <v>0</v>
      </c>
      <c r="H21" s="18" t="n">
        <v>0</v>
      </c>
    </row>
    <row r="22">
      <c r="A22" s="12" t="inlineStr">
        <is>
          <t>2x10</t>
        </is>
      </c>
      <c r="B22" s="12" t="inlineStr">
        <is>
          <t>1kV-XLPE-CU</t>
        </is>
      </c>
      <c r="C22" s="12" t="inlineStr">
        <is>
          <t>CONTROL</t>
        </is>
      </c>
      <c r="D22" s="15" t="n">
        <v>6</v>
      </c>
      <c r="E22" s="15" t="n">
        <v>1040</v>
      </c>
      <c r="F22" s="15" t="n">
        <v>0</v>
      </c>
      <c r="G22" s="15" t="n">
        <v>1040</v>
      </c>
      <c r="H22" s="16" t="n">
        <v>100</v>
      </c>
    </row>
    <row r="23">
      <c r="A23" s="13" t="inlineStr">
        <is>
          <t>12x2,5</t>
        </is>
      </c>
      <c r="B23" s="13" t="inlineStr">
        <is>
          <t>1kV-XLPE-Arm-CU</t>
        </is>
      </c>
      <c r="C23" s="13" t="inlineStr">
        <is>
          <t>SEÑAL</t>
        </is>
      </c>
      <c r="D23" s="17" t="n">
        <v>8</v>
      </c>
      <c r="E23" s="17" t="n">
        <v>600</v>
      </c>
      <c r="F23" s="17" t="n">
        <v>600</v>
      </c>
      <c r="G23" s="17" t="n">
        <v>0</v>
      </c>
      <c r="H23" s="18" t="n">
        <v>0</v>
      </c>
    </row>
    <row r="24">
      <c r="A24" s="12" t="inlineStr">
        <is>
          <t>3x25/16</t>
        </is>
      </c>
      <c r="B24" s="12" t="inlineStr">
        <is>
          <t>1kV-XLPE-Arm-CU</t>
        </is>
      </c>
      <c r="C24" s="12" t="inlineStr">
        <is>
          <t>POTENCIA_BT</t>
        </is>
      </c>
      <c r="D24" s="15" t="n">
        <v>6</v>
      </c>
      <c r="E24" s="15" t="n">
        <v>590</v>
      </c>
      <c r="F24" s="15" t="n">
        <v>150</v>
      </c>
      <c r="G24" s="15" t="n">
        <v>440</v>
      </c>
      <c r="H24" s="16" t="n">
        <v>74.59999999999999</v>
      </c>
    </row>
    <row r="25">
      <c r="A25" s="13" t="inlineStr">
        <is>
          <t>3x50+T</t>
        </is>
      </c>
      <c r="B25" s="13" t="inlineStr">
        <is>
          <t>1kV-XLPE-Arm-CU</t>
        </is>
      </c>
      <c r="C25" s="13" t="inlineStr">
        <is>
          <t>POTENCIA_BT</t>
        </is>
      </c>
      <c r="D25" s="17" t="n">
        <v>3</v>
      </c>
      <c r="E25" s="17" t="n">
        <v>570</v>
      </c>
      <c r="F25" s="17" t="n">
        <v>0</v>
      </c>
      <c r="G25" s="17" t="n">
        <v>570</v>
      </c>
      <c r="H25" s="18" t="n">
        <v>100</v>
      </c>
    </row>
    <row r="26">
      <c r="A26" s="12" t="inlineStr">
        <is>
          <t>3x25+T</t>
        </is>
      </c>
      <c r="B26" s="12" t="inlineStr">
        <is>
          <t>1kV-XLPE-Arm-CU</t>
        </is>
      </c>
      <c r="C26" s="12" t="inlineStr">
        <is>
          <t>POTENCIA_BT</t>
        </is>
      </c>
      <c r="D26" s="15" t="n">
        <v>3</v>
      </c>
      <c r="E26" s="15" t="n">
        <v>570</v>
      </c>
      <c r="F26" s="15" t="n">
        <v>0</v>
      </c>
      <c r="G26" s="15" t="n">
        <v>570</v>
      </c>
      <c r="H26" s="16" t="n">
        <v>100</v>
      </c>
    </row>
    <row r="27">
      <c r="A27" s="13" t="inlineStr">
        <is>
          <t>2x35</t>
        </is>
      </c>
      <c r="B27" s="13" t="inlineStr">
        <is>
          <t>1kV-XLPE-Arm-RF-CU</t>
        </is>
      </c>
      <c r="C27" s="13" t="inlineStr">
        <is>
          <t>POTENCIA_BT</t>
        </is>
      </c>
      <c r="D27" s="17" t="n">
        <v>3</v>
      </c>
      <c r="E27" s="17" t="n">
        <v>540</v>
      </c>
      <c r="F27" s="17" t="n">
        <v>0</v>
      </c>
      <c r="G27" s="17" t="n">
        <v>540</v>
      </c>
      <c r="H27" s="18" t="n">
        <v>100</v>
      </c>
    </row>
    <row r="28">
      <c r="A28" s="12" t="inlineStr">
        <is>
          <t>F.O.</t>
        </is>
      </c>
      <c r="B28" s="12" t="inlineStr">
        <is>
          <t>F.O. multimodo</t>
        </is>
      </c>
      <c r="C28" s="12" t="inlineStr">
        <is>
          <t>FO</t>
        </is>
      </c>
      <c r="D28" s="15" t="n">
        <v>3</v>
      </c>
      <c r="E28" s="15" t="n">
        <v>480</v>
      </c>
      <c r="F28" s="15" t="n">
        <v>80</v>
      </c>
      <c r="G28" s="15" t="n">
        <v>400</v>
      </c>
      <c r="H28" s="16" t="n">
        <v>83.3</v>
      </c>
    </row>
    <row r="29">
      <c r="A29" s="13" t="inlineStr">
        <is>
          <t>2x50</t>
        </is>
      </c>
      <c r="B29" s="13" t="inlineStr">
        <is>
          <t>1kV-XLPE-CU</t>
        </is>
      </c>
      <c r="C29" s="13" t="inlineStr">
        <is>
          <t>CONTROL</t>
        </is>
      </c>
      <c r="D29" s="17" t="n">
        <v>2</v>
      </c>
      <c r="E29" s="17" t="n">
        <v>410</v>
      </c>
      <c r="F29" s="17" t="n">
        <v>0</v>
      </c>
      <c r="G29" s="17" t="n">
        <v>410</v>
      </c>
      <c r="H29" s="18" t="n">
        <v>100</v>
      </c>
    </row>
    <row r="30">
      <c r="A30" s="12" t="inlineStr">
        <is>
          <t>3x35/16</t>
        </is>
      </c>
      <c r="B30" s="12" t="inlineStr">
        <is>
          <t>1kV-XLPE-Arm-CU</t>
        </is>
      </c>
      <c r="C30" s="12" t="inlineStr">
        <is>
          <t>POTENCIA_BT</t>
        </is>
      </c>
      <c r="D30" s="15" t="n">
        <v>3</v>
      </c>
      <c r="E30" s="15" t="n">
        <v>400</v>
      </c>
      <c r="F30" s="15" t="n">
        <v>200</v>
      </c>
      <c r="G30" s="15" t="n">
        <v>200</v>
      </c>
      <c r="H30" s="16" t="n">
        <v>50</v>
      </c>
    </row>
    <row r="31">
      <c r="A31" s="13" t="inlineStr">
        <is>
          <t>3x70</t>
        </is>
      </c>
      <c r="B31" s="13" t="inlineStr">
        <is>
          <t>1kV-XLPE-Arm-CU</t>
        </is>
      </c>
      <c r="C31" s="13" t="inlineStr">
        <is>
          <t>POTENCIA_BT</t>
        </is>
      </c>
      <c r="D31" s="17" t="n">
        <v>2</v>
      </c>
      <c r="E31" s="17" t="n">
        <v>400</v>
      </c>
      <c r="F31" s="17" t="n">
        <v>0</v>
      </c>
      <c r="G31" s="17" t="n">
        <v>400</v>
      </c>
      <c r="H31" s="18" t="n">
        <v>100</v>
      </c>
    </row>
    <row r="32">
      <c r="A32" s="12" t="inlineStr">
        <is>
          <t>3x4</t>
        </is>
      </c>
      <c r="B32" s="12" t="inlineStr">
        <is>
          <t>1kV-XLPE-Arm-CU</t>
        </is>
      </c>
      <c r="C32" s="12" t="inlineStr">
        <is>
          <t>POTENCIA_BT</t>
        </is>
      </c>
      <c r="D32" s="15" t="n">
        <v>2</v>
      </c>
      <c r="E32" s="15" t="n">
        <v>300</v>
      </c>
      <c r="F32" s="15" t="n">
        <v>0</v>
      </c>
      <c r="G32" s="15" t="n">
        <v>300</v>
      </c>
      <c r="H32" s="16" t="n">
        <v>100</v>
      </c>
    </row>
    <row r="33">
      <c r="A33" s="13" t="inlineStr">
        <is>
          <t>7x2,5</t>
        </is>
      </c>
      <c r="B33" s="13" t="inlineStr">
        <is>
          <t>1kV-XLPE-Arm-CU</t>
        </is>
      </c>
      <c r="C33" s="13" t="inlineStr">
        <is>
          <t>CONTROL</t>
        </is>
      </c>
      <c r="D33" s="17" t="n">
        <v>10</v>
      </c>
      <c r="E33" s="17" t="n">
        <v>290</v>
      </c>
      <c r="F33" s="17" t="n">
        <v>290</v>
      </c>
      <c r="G33" s="17" t="n">
        <v>0</v>
      </c>
      <c r="H33" s="18" t="n">
        <v>0</v>
      </c>
    </row>
    <row r="34">
      <c r="A34" s="12" t="inlineStr">
        <is>
          <t>15</t>
        </is>
      </c>
      <c r="B34" s="12" t="inlineStr"/>
      <c r="C34" s="12" t="inlineStr">
        <is>
          <t>CONTROL</t>
        </is>
      </c>
      <c r="D34" s="15" t="n">
        <v>9</v>
      </c>
      <c r="E34" s="15" t="n">
        <v>216</v>
      </c>
      <c r="F34" s="15" t="n">
        <v>0</v>
      </c>
      <c r="G34" s="15" t="n">
        <v>216</v>
      </c>
      <c r="H34" s="16" t="n">
        <v>100</v>
      </c>
    </row>
    <row r="35">
      <c r="A35" s="13" t="inlineStr">
        <is>
          <t>3x2,5</t>
        </is>
      </c>
      <c r="B35" s="13" t="inlineStr">
        <is>
          <t>1kV-XLPE-Arm-CU</t>
        </is>
      </c>
      <c r="C35" s="13" t="inlineStr">
        <is>
          <t>CONTROL</t>
        </is>
      </c>
      <c r="D35" s="17" t="n">
        <v>6</v>
      </c>
      <c r="E35" s="17" t="n">
        <v>160</v>
      </c>
      <c r="F35" s="17" t="n">
        <v>160</v>
      </c>
      <c r="G35" s="17" t="n">
        <v>0</v>
      </c>
      <c r="H35" s="18" t="n">
        <v>0</v>
      </c>
    </row>
    <row r="36">
      <c r="A36" s="12" t="inlineStr">
        <is>
          <t>3x95/50</t>
        </is>
      </c>
      <c r="B36" s="12" t="inlineStr">
        <is>
          <t>1kV-XLPE-Arm-CU</t>
        </is>
      </c>
      <c r="C36" s="12" t="inlineStr">
        <is>
          <t>POTENCIA_BT</t>
        </is>
      </c>
      <c r="D36" s="15" t="n">
        <v>4</v>
      </c>
      <c r="E36" s="15" t="n">
        <v>160</v>
      </c>
      <c r="F36" s="15" t="n">
        <v>0</v>
      </c>
      <c r="G36" s="15" t="n">
        <v>160</v>
      </c>
      <c r="H36" s="16" t="n">
        <v>100</v>
      </c>
    </row>
    <row r="37">
      <c r="A37" s="13" t="inlineStr">
        <is>
          <t>1x70</t>
        </is>
      </c>
      <c r="B37" s="13" t="inlineStr">
        <is>
          <t>13,2kV-XLPE-Arm-B-CU</t>
        </is>
      </c>
      <c r="C37" s="13" t="inlineStr">
        <is>
          <t>POTENCIA_MT</t>
        </is>
      </c>
      <c r="D37" s="17" t="n">
        <v>6</v>
      </c>
      <c r="E37" s="17" t="n">
        <v>120</v>
      </c>
      <c r="F37" s="17" t="n">
        <v>120</v>
      </c>
      <c r="G37" s="17" t="n">
        <v>0</v>
      </c>
      <c r="H37" s="18" t="n">
        <v>0</v>
      </c>
    </row>
    <row r="38">
      <c r="A38" s="12" t="inlineStr">
        <is>
          <t>2x4+T</t>
        </is>
      </c>
      <c r="B38" s="12" t="inlineStr">
        <is>
          <t>1kV-XLPE-Arm-T-CU</t>
        </is>
      </c>
      <c r="C38" s="12" t="inlineStr">
        <is>
          <t>POTENCIA_BT</t>
        </is>
      </c>
      <c r="D38" s="15" t="n">
        <v>1</v>
      </c>
      <c r="E38" s="15" t="n">
        <v>100</v>
      </c>
      <c r="F38" s="15" t="n">
        <v>100</v>
      </c>
      <c r="G38" s="15" t="n">
        <v>0</v>
      </c>
      <c r="H38" s="16" t="n">
        <v>0</v>
      </c>
    </row>
    <row r="39">
      <c r="A39" s="13" t="inlineStr">
        <is>
          <t>3x150</t>
        </is>
      </c>
      <c r="B39" s="13" t="inlineStr">
        <is>
          <t>1kV-XLPE-RF-CU</t>
        </is>
      </c>
      <c r="C39" s="13" t="inlineStr">
        <is>
          <t>POTENCIA_BT</t>
        </is>
      </c>
      <c r="D39" s="17" t="n">
        <v>5</v>
      </c>
      <c r="E39" s="17" t="n">
        <v>100</v>
      </c>
      <c r="F39" s="17" t="n">
        <v>0</v>
      </c>
      <c r="G39" s="17" t="n">
        <v>100</v>
      </c>
      <c r="H39" s="18" t="n">
        <v>100</v>
      </c>
    </row>
    <row r="40">
      <c r="A40" s="12" t="inlineStr">
        <is>
          <t>3x150/70</t>
        </is>
      </c>
      <c r="B40" s="12" t="inlineStr">
        <is>
          <t>1kV-XLPE-CU</t>
        </is>
      </c>
      <c r="C40" s="12" t="inlineStr">
        <is>
          <t>POTENCIA_BT</t>
        </is>
      </c>
      <c r="D40" s="15" t="n">
        <v>4</v>
      </c>
      <c r="E40" s="15" t="n">
        <v>80</v>
      </c>
      <c r="F40" s="15" t="n">
        <v>0</v>
      </c>
      <c r="G40" s="15" t="n">
        <v>80</v>
      </c>
      <c r="H40" s="16" t="n">
        <v>100</v>
      </c>
    </row>
    <row r="41">
      <c r="A41" s="13" t="inlineStr">
        <is>
          <t>2x25</t>
        </is>
      </c>
      <c r="B41" s="13" t="inlineStr">
        <is>
          <t>1kV-XLPE-CU</t>
        </is>
      </c>
      <c r="C41" s="13" t="inlineStr">
        <is>
          <t>CONTROL</t>
        </is>
      </c>
      <c r="D41" s="17" t="n">
        <v>2</v>
      </c>
      <c r="E41" s="17" t="n">
        <v>80</v>
      </c>
      <c r="F41" s="17" t="n">
        <v>0</v>
      </c>
      <c r="G41" s="17" t="n">
        <v>80</v>
      </c>
      <c r="H41" s="18" t="n">
        <v>100</v>
      </c>
    </row>
    <row r="42">
      <c r="A42" s="12" t="inlineStr">
        <is>
          <t>3x50/25</t>
        </is>
      </c>
      <c r="B42" s="12" t="inlineStr">
        <is>
          <t>1kV-XLPE-Arm-CU</t>
        </is>
      </c>
      <c r="C42" s="12" t="inlineStr">
        <is>
          <t>POTENCIA_BT</t>
        </is>
      </c>
      <c r="D42" s="15" t="n">
        <v>1</v>
      </c>
      <c r="E42" s="15" t="n">
        <v>60</v>
      </c>
      <c r="F42" s="15" t="n">
        <v>0</v>
      </c>
      <c r="G42" s="15" t="n">
        <v>60</v>
      </c>
      <c r="H42" s="16" t="n">
        <v>100</v>
      </c>
    </row>
    <row r="43">
      <c r="A43" s="13" t="inlineStr">
        <is>
          <t>2x95</t>
        </is>
      </c>
      <c r="B43" s="13" t="inlineStr">
        <is>
          <t>1kV-XLPE-RF-CU</t>
        </is>
      </c>
      <c r="C43" s="13" t="inlineStr">
        <is>
          <t>CONTROL</t>
        </is>
      </c>
      <c r="D43" s="17" t="n">
        <v>5</v>
      </c>
      <c r="E43" s="17" t="n">
        <v>50</v>
      </c>
      <c r="F43" s="17" t="n">
        <v>0</v>
      </c>
      <c r="G43" s="17" t="n">
        <v>50</v>
      </c>
      <c r="H43" s="18" t="n">
        <v>100</v>
      </c>
    </row>
    <row r="44">
      <c r="A44" s="12" t="inlineStr">
        <is>
          <t>3x2,5+T</t>
        </is>
      </c>
      <c r="B44" s="12" t="inlineStr">
        <is>
          <t>1kV-XLPE-Arm-T-CU</t>
        </is>
      </c>
      <c r="C44" s="12" t="inlineStr">
        <is>
          <t>CONTROL</t>
        </is>
      </c>
      <c r="D44" s="15" t="n">
        <v>2</v>
      </c>
      <c r="E44" s="15" t="n">
        <v>40</v>
      </c>
      <c r="F44" s="15" t="n">
        <v>40</v>
      </c>
      <c r="G44" s="15" t="n">
        <v>0</v>
      </c>
      <c r="H44" s="16" t="n">
        <v>0</v>
      </c>
    </row>
    <row r="45">
      <c r="A45" s="13" t="inlineStr">
        <is>
          <t>1x2x0,5</t>
        </is>
      </c>
      <c r="B45" s="13" t="inlineStr">
        <is>
          <t>300 V - Arm - BG</t>
        </is>
      </c>
      <c r="C45" s="13" t="inlineStr">
        <is>
          <t>SEÑAL</t>
        </is>
      </c>
      <c r="D45" s="17" t="n">
        <v>2</v>
      </c>
      <c r="E45" s="17" t="n">
        <v>30</v>
      </c>
      <c r="F45" s="17" t="n">
        <v>30</v>
      </c>
      <c r="G45" s="17" t="n">
        <v>0</v>
      </c>
      <c r="H45" s="18" t="n">
        <v>0</v>
      </c>
    </row>
    <row r="46">
      <c r="A46" s="12" t="inlineStr">
        <is>
          <t>3x240/120</t>
        </is>
      </c>
      <c r="B46" s="12" t="inlineStr">
        <is>
          <t>1kV-XLPE-CU</t>
        </is>
      </c>
      <c r="C46" s="12" t="inlineStr">
        <is>
          <t>POTENCIA_BT</t>
        </is>
      </c>
      <c r="D46" s="15" t="n">
        <v>1</v>
      </c>
      <c r="E46" s="15" t="n">
        <v>20</v>
      </c>
      <c r="F46" s="15" t="n">
        <v>0</v>
      </c>
      <c r="G46" s="15" t="n">
        <v>20</v>
      </c>
      <c r="H46" s="16" t="n">
        <v>100</v>
      </c>
    </row>
    <row r="47">
      <c r="A47" s="13" t="inlineStr">
        <is>
          <t>2x120</t>
        </is>
      </c>
      <c r="B47" s="13" t="inlineStr">
        <is>
          <t>1kV-XLPE-RF-CU</t>
        </is>
      </c>
      <c r="C47" s="13" t="inlineStr">
        <is>
          <t>POTENCIA_BT</t>
        </is>
      </c>
      <c r="D47" s="17" t="n">
        <v>2</v>
      </c>
      <c r="E47" s="17" t="n">
        <v>20</v>
      </c>
      <c r="F47" s="17" t="n">
        <v>0</v>
      </c>
      <c r="G47" s="17" t="n">
        <v>20</v>
      </c>
      <c r="H47" s="18" t="n">
        <v>100</v>
      </c>
    </row>
    <row r="48">
      <c r="A48" s="12" t="inlineStr">
        <is>
          <t>2x16</t>
        </is>
      </c>
      <c r="B48" s="12" t="inlineStr">
        <is>
          <t>1kV-XLPE-CU</t>
        </is>
      </c>
      <c r="C48" s="12" t="inlineStr">
        <is>
          <t>POTENCIA_BT</t>
        </is>
      </c>
      <c r="D48" s="15" t="n">
        <v>2</v>
      </c>
      <c r="E48" s="15" t="n">
        <v>20</v>
      </c>
      <c r="F48" s="15" t="n">
        <v>0</v>
      </c>
      <c r="G48" s="15" t="n">
        <v>20</v>
      </c>
      <c r="H48" s="16" t="n">
        <v>100</v>
      </c>
    </row>
    <row r="49">
      <c r="A49" s="13" t="inlineStr">
        <is>
          <t>6x2x0,5</t>
        </is>
      </c>
      <c r="B49" s="13" t="inlineStr">
        <is>
          <t>300 V - Arm - BG</t>
        </is>
      </c>
      <c r="C49" s="13" t="inlineStr">
        <is>
          <t>SEÑAL</t>
        </is>
      </c>
      <c r="D49" s="17" t="n">
        <v>4</v>
      </c>
      <c r="E49" s="17" t="n">
        <v>0</v>
      </c>
      <c r="F49" s="17" t="n">
        <v>0</v>
      </c>
      <c r="G49" s="17" t="n">
        <v>0</v>
      </c>
      <c r="H49" s="18" t="n">
        <v>0</v>
      </c>
    </row>
    <row r="50">
      <c r="A50" s="12" t="inlineStr">
        <is>
          <t>2x2x0,5</t>
        </is>
      </c>
      <c r="B50" s="12" t="inlineStr">
        <is>
          <t>300 V - Arm - BG/BI</t>
        </is>
      </c>
      <c r="C50" s="12" t="inlineStr">
        <is>
          <t>SEÑAL</t>
        </is>
      </c>
      <c r="D50" s="15" t="n">
        <v>6</v>
      </c>
      <c r="E50" s="15" t="n">
        <v>0</v>
      </c>
      <c r="F50" s="15" t="n">
        <v>0</v>
      </c>
      <c r="G50" s="15" t="n">
        <v>0</v>
      </c>
      <c r="H50" s="16" t="n">
        <v>0</v>
      </c>
    </row>
    <row r="51">
      <c r="A51" s="19" t="inlineStr">
        <is>
          <t>TOTAL</t>
        </is>
      </c>
      <c r="B51" s="19" t="inlineStr"/>
      <c r="C51" s="19" t="inlineStr"/>
      <c r="D51" s="20" t="n">
        <v>633</v>
      </c>
      <c r="E51" s="20" t="n">
        <v>85881</v>
      </c>
      <c r="F51" s="20" t="n">
        <v>4650</v>
      </c>
      <c r="G51" s="20" t="n">
        <v>81231</v>
      </c>
      <c r="H51" s="21" t="n">
        <v>94.59999999999999</v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  <col width="24" customWidth="1" min="4" max="4"/>
    <col width="18" customWidth="1" min="5" max="5"/>
    <col width="10" customWidth="1" min="6" max="6"/>
    <col width="24" customWidth="1" min="7" max="7"/>
    <col width="16" customWidth="1" min="8" max="8"/>
  </cols>
  <sheetData>
    <row r="1" ht="35" customHeight="1">
      <c r="A1" s="11" t="inlineStr">
        <is>
          <t>TAG_EQUIPO</t>
        </is>
      </c>
      <c r="B1" s="11" t="inlineStr">
        <is>
          <t>DESCRIPCION</t>
        </is>
      </c>
      <c r="C1" s="11" t="inlineStr">
        <is>
          <t>TENSION_V</t>
        </is>
      </c>
      <c r="D1" s="11" t="inlineStr">
        <is>
          <t>CCM_ALIMENTADOR</t>
        </is>
      </c>
      <c r="E1" s="11" t="inlineStr">
        <is>
          <t>FORMACION_POTENCIA</t>
        </is>
      </c>
      <c r="F1" s="11" t="inlineStr">
        <is>
          <t>LONGITUD_m</t>
        </is>
      </c>
      <c r="G1" s="11" t="inlineStr">
        <is>
          <t>AREA</t>
        </is>
      </c>
      <c r="H1" s="11" t="inlineStr">
        <is>
          <t>TIPO_CARGA</t>
        </is>
      </c>
    </row>
    <row r="2">
      <c r="A2" s="12" t="inlineStr">
        <is>
          <t>102-BB-001A</t>
        </is>
      </c>
      <c r="B2" s="12" t="inlineStr"/>
      <c r="C2" s="12" t="inlineStr">
        <is>
          <t>220</t>
        </is>
      </c>
      <c r="D2" s="12" t="inlineStr">
        <is>
          <t>102-UPS-001-A</t>
        </is>
      </c>
      <c r="E2" s="12" t="inlineStr">
        <is>
          <t>2x120</t>
        </is>
      </c>
      <c r="F2" s="12" t="inlineStr">
        <is>
          <t>10</t>
        </is>
      </c>
      <c r="G2" s="12" t="inlineStr">
        <is>
          <t>SALA ELÉCTRICA 4</t>
        </is>
      </c>
      <c r="H2" s="12" t="inlineStr">
        <is>
          <t>INSTRUMENTO</t>
        </is>
      </c>
    </row>
    <row r="3">
      <c r="A3" s="13" t="inlineStr">
        <is>
          <t>102-BB-001B</t>
        </is>
      </c>
      <c r="B3" s="13" t="inlineStr"/>
      <c r="C3" s="13" t="inlineStr">
        <is>
          <t>220</t>
        </is>
      </c>
      <c r="D3" s="13" t="inlineStr">
        <is>
          <t>102-UPS-001-B</t>
        </is>
      </c>
      <c r="E3" s="13" t="inlineStr">
        <is>
          <t>2x120</t>
        </is>
      </c>
      <c r="F3" s="13" t="inlineStr">
        <is>
          <t>10</t>
        </is>
      </c>
      <c r="G3" s="13" t="inlineStr">
        <is>
          <t>SALA ELÉCTRICA 3</t>
        </is>
      </c>
      <c r="H3" s="13" t="inlineStr">
        <is>
          <t>INSTRUMENTO</t>
        </is>
      </c>
    </row>
    <row r="4">
      <c r="A4" s="12" t="inlineStr">
        <is>
          <t>102-BY-001</t>
        </is>
      </c>
      <c r="B4" s="12" t="inlineStr"/>
      <c r="C4" s="12" t="inlineStr">
        <is>
          <t>380</t>
        </is>
      </c>
      <c r="D4" s="12" t="inlineStr">
        <is>
          <t>102-CCM-006</t>
        </is>
      </c>
      <c r="E4" s="12" t="inlineStr">
        <is>
          <t>3x150</t>
        </is>
      </c>
      <c r="F4" s="12" t="inlineStr">
        <is>
          <t>20</t>
        </is>
      </c>
      <c r="G4" s="12" t="inlineStr">
        <is>
          <t>SALA ELÉCTRICA 3</t>
        </is>
      </c>
      <c r="H4" s="12" t="inlineStr">
        <is>
          <t>INSTRUMENTO</t>
        </is>
      </c>
    </row>
    <row r="5">
      <c r="A5" s="13" t="inlineStr">
        <is>
          <t>102-CCM-005AUX1</t>
        </is>
      </c>
      <c r="B5" s="13" t="inlineStr">
        <is>
          <t>ALIMENTACIÓN AUXILIAR CCM-005 0</t>
        </is>
      </c>
      <c r="C5" s="13" t="inlineStr">
        <is>
          <t>220</t>
        </is>
      </c>
      <c r="D5" s="13" t="inlineStr">
        <is>
          <t>102-DP-001UPS-A</t>
        </is>
      </c>
      <c r="E5" s="13" t="inlineStr">
        <is>
          <t>2x4</t>
        </is>
      </c>
      <c r="F5" s="13" t="inlineStr">
        <is>
          <t>20</t>
        </is>
      </c>
      <c r="G5" s="13" t="inlineStr">
        <is>
          <t>SALA ELÉCTRICA 4</t>
        </is>
      </c>
      <c r="H5" s="13" t="inlineStr">
        <is>
          <t>SSAA</t>
        </is>
      </c>
    </row>
    <row r="6">
      <c r="A6" s="12" t="inlineStr">
        <is>
          <t>102-CCM-005AUX2</t>
        </is>
      </c>
      <c r="B6" s="12" t="inlineStr">
        <is>
          <t>ALIMENTACIÓN AUXILIAR CCM-005 0</t>
        </is>
      </c>
      <c r="C6" s="12" t="inlineStr">
        <is>
          <t>220</t>
        </is>
      </c>
      <c r="D6" s="12" t="inlineStr">
        <is>
          <t>102-DP-001UPS-B</t>
        </is>
      </c>
      <c r="E6" s="12" t="inlineStr">
        <is>
          <t>2x4</t>
        </is>
      </c>
      <c r="F6" s="12" t="inlineStr">
        <is>
          <t>20</t>
        </is>
      </c>
      <c r="G6" s="12" t="inlineStr">
        <is>
          <t>SALA ELÉCTRICA 4</t>
        </is>
      </c>
      <c r="H6" s="12" t="inlineStr">
        <is>
          <t>SSAA</t>
        </is>
      </c>
    </row>
    <row r="7">
      <c r="A7" s="13" t="inlineStr">
        <is>
          <t>102-CCM-005AUX3</t>
        </is>
      </c>
      <c r="B7" s="13" t="inlineStr">
        <is>
          <t>ALIMENTACIÓN AUXILIAR CCM-005 0</t>
        </is>
      </c>
      <c r="C7" s="13" t="inlineStr">
        <is>
          <t>220</t>
        </is>
      </c>
      <c r="D7" s="13" t="inlineStr">
        <is>
          <t>102-DP-001UPS-A</t>
        </is>
      </c>
      <c r="E7" s="13" t="inlineStr">
        <is>
          <t>2x4</t>
        </is>
      </c>
      <c r="F7" s="13" t="inlineStr">
        <is>
          <t>20</t>
        </is>
      </c>
      <c r="G7" s="13" t="inlineStr">
        <is>
          <t>SALA ELÉCTRICA 4</t>
        </is>
      </c>
      <c r="H7" s="13" t="inlineStr">
        <is>
          <t>SSAA</t>
        </is>
      </c>
    </row>
    <row r="8">
      <c r="A8" s="12" t="inlineStr">
        <is>
          <t>102-CCM-005AUX4</t>
        </is>
      </c>
      <c r="B8" s="12" t="inlineStr">
        <is>
          <t>ALIMENTACIÓN AUXILIAR CCM-005 0</t>
        </is>
      </c>
      <c r="C8" s="12" t="inlineStr">
        <is>
          <t>220</t>
        </is>
      </c>
      <c r="D8" s="12" t="inlineStr">
        <is>
          <t>102-DP-001UPS-B</t>
        </is>
      </c>
      <c r="E8" s="12" t="inlineStr">
        <is>
          <t>2x4</t>
        </is>
      </c>
      <c r="F8" s="12" t="inlineStr">
        <is>
          <t>20</t>
        </is>
      </c>
      <c r="G8" s="12" t="inlineStr">
        <is>
          <t>SALA ELÉCTRICA 4</t>
        </is>
      </c>
      <c r="H8" s="12" t="inlineStr">
        <is>
          <t>SSAA</t>
        </is>
      </c>
    </row>
    <row r="9">
      <c r="A9" s="13" t="inlineStr">
        <is>
          <t>102-CCM-006AUX1</t>
        </is>
      </c>
      <c r="B9" s="13" t="inlineStr">
        <is>
          <t>ALIMENTACIÓN AUXILIAR CCM-006 0</t>
        </is>
      </c>
      <c r="C9" s="13" t="inlineStr">
        <is>
          <t>220</t>
        </is>
      </c>
      <c r="D9" s="13" t="inlineStr">
        <is>
          <t>102-DP-001UPS-A</t>
        </is>
      </c>
      <c r="E9" s="13" t="inlineStr">
        <is>
          <t>2x4</t>
        </is>
      </c>
      <c r="F9" s="13" t="inlineStr">
        <is>
          <t>20</t>
        </is>
      </c>
      <c r="G9" s="13" t="inlineStr">
        <is>
          <t>SALA ELÉCTRICA 4</t>
        </is>
      </c>
      <c r="H9" s="13" t="inlineStr">
        <is>
          <t>SSAA</t>
        </is>
      </c>
    </row>
    <row r="10">
      <c r="A10" s="12" t="inlineStr">
        <is>
          <t>102-CCM-006AUX2</t>
        </is>
      </c>
      <c r="B10" s="12" t="inlineStr">
        <is>
          <t>ALIMENTACIÓN AUXILIAR CCM-006 0</t>
        </is>
      </c>
      <c r="C10" s="12" t="inlineStr">
        <is>
          <t>220</t>
        </is>
      </c>
      <c r="D10" s="12" t="inlineStr">
        <is>
          <t>102-DP-001UPS-B</t>
        </is>
      </c>
      <c r="E10" s="12" t="inlineStr">
        <is>
          <t>2x4</t>
        </is>
      </c>
      <c r="F10" s="12" t="inlineStr">
        <is>
          <t>20</t>
        </is>
      </c>
      <c r="G10" s="12" t="inlineStr">
        <is>
          <t>SALA ELÉCTRICA 4</t>
        </is>
      </c>
      <c r="H10" s="12" t="inlineStr">
        <is>
          <t>SSAA</t>
        </is>
      </c>
    </row>
    <row r="11">
      <c r="A11" s="13" t="inlineStr">
        <is>
          <t>102-CCM-006AUX3</t>
        </is>
      </c>
      <c r="B11" s="13" t="inlineStr">
        <is>
          <t>ALIMENTACIÓN AUXILIAR CCM-006 0</t>
        </is>
      </c>
      <c r="C11" s="13" t="inlineStr">
        <is>
          <t>220</t>
        </is>
      </c>
      <c r="D11" s="13" t="inlineStr">
        <is>
          <t>102-DP-001UPS-A</t>
        </is>
      </c>
      <c r="E11" s="13" t="inlineStr">
        <is>
          <t>2x4</t>
        </is>
      </c>
      <c r="F11" s="13" t="inlineStr">
        <is>
          <t>20</t>
        </is>
      </c>
      <c r="G11" s="13" t="inlineStr">
        <is>
          <t>SALA ELÉCTRICA 4</t>
        </is>
      </c>
      <c r="H11" s="13" t="inlineStr">
        <is>
          <t>SSAA</t>
        </is>
      </c>
    </row>
    <row r="12">
      <c r="A12" s="12" t="inlineStr">
        <is>
          <t>102-CCM-006AUX4</t>
        </is>
      </c>
      <c r="B12" s="12" t="inlineStr">
        <is>
          <t>ALIMENTACIÓN AUXILIAR CCM-006 0</t>
        </is>
      </c>
      <c r="C12" s="12" t="inlineStr">
        <is>
          <t>220</t>
        </is>
      </c>
      <c r="D12" s="12" t="inlineStr">
        <is>
          <t>102-DP-001UPS-B</t>
        </is>
      </c>
      <c r="E12" s="12" t="inlineStr">
        <is>
          <t>2x4</t>
        </is>
      </c>
      <c r="F12" s="12" t="inlineStr">
        <is>
          <t>20</t>
        </is>
      </c>
      <c r="G12" s="12" t="inlineStr">
        <is>
          <t>SALA ELÉCTRICA 4</t>
        </is>
      </c>
      <c r="H12" s="12" t="inlineStr">
        <is>
          <t>SSAA</t>
        </is>
      </c>
    </row>
    <row r="13">
      <c r="A13" s="13" t="inlineStr">
        <is>
          <t>102-CCM-006AUX5</t>
        </is>
      </c>
      <c r="B13" s="13" t="inlineStr">
        <is>
          <t>ALIMENTACIÓN AUXILIAR CCM-006 0</t>
        </is>
      </c>
      <c r="C13" s="13" t="inlineStr">
        <is>
          <t>220</t>
        </is>
      </c>
      <c r="D13" s="13" t="inlineStr">
        <is>
          <t>102-DP-001UPS-A</t>
        </is>
      </c>
      <c r="E13" s="13" t="inlineStr">
        <is>
          <t>2x4</t>
        </is>
      </c>
      <c r="F13" s="13" t="inlineStr">
        <is>
          <t>20</t>
        </is>
      </c>
      <c r="G13" s="13" t="inlineStr">
        <is>
          <t>SALA ELÉCTRICA 4</t>
        </is>
      </c>
      <c r="H13" s="13" t="inlineStr">
        <is>
          <t>SSAA</t>
        </is>
      </c>
    </row>
    <row r="14">
      <c r="A14" s="12" t="inlineStr">
        <is>
          <t>102-CCM-006AUX6</t>
        </is>
      </c>
      <c r="B14" s="12" t="inlineStr">
        <is>
          <t>ALIMENTACIÓN AUXILIAR CCM-006 0</t>
        </is>
      </c>
      <c r="C14" s="12" t="inlineStr">
        <is>
          <t>220</t>
        </is>
      </c>
      <c r="D14" s="12" t="inlineStr">
        <is>
          <t>102-DP-001UPS-B</t>
        </is>
      </c>
      <c r="E14" s="12" t="inlineStr">
        <is>
          <t>2x4</t>
        </is>
      </c>
      <c r="F14" s="12" t="inlineStr">
        <is>
          <t>20</t>
        </is>
      </c>
      <c r="G14" s="12" t="inlineStr">
        <is>
          <t>SALA ELÉCTRICA 4</t>
        </is>
      </c>
      <c r="H14" s="12" t="inlineStr">
        <is>
          <t>SSAA</t>
        </is>
      </c>
    </row>
    <row r="15">
      <c r="A15" s="13" t="inlineStr">
        <is>
          <t>102-CCM-007AUX1</t>
        </is>
      </c>
      <c r="B15" s="13" t="inlineStr">
        <is>
          <t>ALIMENTACIÓN AUXILIAR CCM-007 0</t>
        </is>
      </c>
      <c r="C15" s="13" t="inlineStr">
        <is>
          <t>220</t>
        </is>
      </c>
      <c r="D15" s="13" t="inlineStr">
        <is>
          <t>102-DP-001UPS-A</t>
        </is>
      </c>
      <c r="E15" s="13" t="inlineStr">
        <is>
          <t>2x4</t>
        </is>
      </c>
      <c r="F15" s="13" t="inlineStr">
        <is>
          <t>20</t>
        </is>
      </c>
      <c r="G15" s="13" t="inlineStr">
        <is>
          <t>SALA ELÉCTRICA 4</t>
        </is>
      </c>
      <c r="H15" s="13" t="inlineStr">
        <is>
          <t>SSAA</t>
        </is>
      </c>
    </row>
    <row r="16">
      <c r="A16" s="12" t="inlineStr">
        <is>
          <t>102-CCM-007AUX2</t>
        </is>
      </c>
      <c r="B16" s="12" t="inlineStr">
        <is>
          <t>ALIMENTACIÓN AUXILIAR CCM-007 0</t>
        </is>
      </c>
      <c r="C16" s="12" t="inlineStr">
        <is>
          <t>220</t>
        </is>
      </c>
      <c r="D16" s="12" t="inlineStr">
        <is>
          <t>102-DP-001UPS-B</t>
        </is>
      </c>
      <c r="E16" s="12" t="inlineStr">
        <is>
          <t>2x4</t>
        </is>
      </c>
      <c r="F16" s="12" t="inlineStr">
        <is>
          <t>20</t>
        </is>
      </c>
      <c r="G16" s="12" t="inlineStr">
        <is>
          <t>SALA ELÉCTRICA 4</t>
        </is>
      </c>
      <c r="H16" s="12" t="inlineStr">
        <is>
          <t>SSAA</t>
        </is>
      </c>
    </row>
    <row r="17">
      <c r="A17" s="13" t="inlineStr">
        <is>
          <t>102-CCM-007AUX3</t>
        </is>
      </c>
      <c r="B17" s="13" t="inlineStr">
        <is>
          <t>ALIMENTACIÓN AUXILIAR CCM-007 0</t>
        </is>
      </c>
      <c r="C17" s="13" t="inlineStr">
        <is>
          <t>220</t>
        </is>
      </c>
      <c r="D17" s="13" t="inlineStr">
        <is>
          <t>102-DP-001UPS-A</t>
        </is>
      </c>
      <c r="E17" s="13" t="inlineStr">
        <is>
          <t>2x4</t>
        </is>
      </c>
      <c r="F17" s="13" t="inlineStr">
        <is>
          <t>20</t>
        </is>
      </c>
      <c r="G17" s="13" t="inlineStr">
        <is>
          <t>SALA ELÉCTRICA 4</t>
        </is>
      </c>
      <c r="H17" s="13" t="inlineStr">
        <is>
          <t>SSAA</t>
        </is>
      </c>
    </row>
    <row r="18">
      <c r="A18" s="12" t="inlineStr">
        <is>
          <t>102-CCM-007AUX4</t>
        </is>
      </c>
      <c r="B18" s="12" t="inlineStr">
        <is>
          <t>ALIMENTACIÓN AUXILIAR CCM-007 0</t>
        </is>
      </c>
      <c r="C18" s="12" t="inlineStr">
        <is>
          <t>220</t>
        </is>
      </c>
      <c r="D18" s="12" t="inlineStr">
        <is>
          <t>102-DP-001UPS-B</t>
        </is>
      </c>
      <c r="E18" s="12" t="inlineStr">
        <is>
          <t>2x4</t>
        </is>
      </c>
      <c r="F18" s="12" t="inlineStr">
        <is>
          <t>20</t>
        </is>
      </c>
      <c r="G18" s="12" t="inlineStr">
        <is>
          <t>SALA ELÉCTRICA 4</t>
        </is>
      </c>
      <c r="H18" s="12" t="inlineStr">
        <is>
          <t>SSAA</t>
        </is>
      </c>
    </row>
    <row r="19">
      <c r="A19" s="13" t="inlineStr">
        <is>
          <t>102-DP-001</t>
        </is>
      </c>
      <c r="B19" s="13" t="inlineStr"/>
      <c r="C19" s="13" t="inlineStr">
        <is>
          <t>380</t>
        </is>
      </c>
      <c r="D19" s="13" t="inlineStr">
        <is>
          <t>102-CCM-006</t>
        </is>
      </c>
      <c r="E19" s="13" t="inlineStr">
        <is>
          <t>3x150/70</t>
        </is>
      </c>
      <c r="F19" s="13" t="inlineStr">
        <is>
          <t>20</t>
        </is>
      </c>
      <c r="G19" s="13" t="inlineStr">
        <is>
          <t>SALA ELÉCTRICA 4</t>
        </is>
      </c>
      <c r="H19" s="13" t="inlineStr">
        <is>
          <t>CONTROL</t>
        </is>
      </c>
    </row>
    <row r="20">
      <c r="A20" s="12" t="inlineStr">
        <is>
          <t>102-DP-001-TRA</t>
        </is>
      </c>
      <c r="B20" s="12" t="inlineStr">
        <is>
          <t>TABLERO DE DISTRIBUCIÓN TRACING 0</t>
        </is>
      </c>
      <c r="C20" s="12" t="inlineStr">
        <is>
          <t>380</t>
        </is>
      </c>
      <c r="D20" s="12" t="inlineStr">
        <is>
          <t>102-CCM-006</t>
        </is>
      </c>
      <c r="E20" s="12" t="inlineStr">
        <is>
          <t>3x240/120</t>
        </is>
      </c>
      <c r="F20" s="12" t="inlineStr">
        <is>
          <t>20</t>
        </is>
      </c>
      <c r="G20" s="12" t="inlineStr">
        <is>
          <t>Compressor KIM HS Prelube Heater - Área 293</t>
        </is>
      </c>
      <c r="H20" s="12" t="inlineStr">
        <is>
          <t>CONTROL</t>
        </is>
      </c>
    </row>
    <row r="21">
      <c r="A21" s="13" t="inlineStr">
        <is>
          <t>102-DP-001UPS-A</t>
        </is>
      </c>
      <c r="B21" s="13" t="inlineStr"/>
      <c r="C21" s="13" t="inlineStr">
        <is>
          <t>220</t>
        </is>
      </c>
      <c r="D21" s="13" t="inlineStr">
        <is>
          <t>102-UPS-001-A</t>
        </is>
      </c>
      <c r="E21" s="13" t="inlineStr">
        <is>
          <t>2x95</t>
        </is>
      </c>
      <c r="F21" s="13" t="inlineStr">
        <is>
          <t>10</t>
        </is>
      </c>
      <c r="G21" s="13" t="inlineStr">
        <is>
          <t>SALA ELÉCTRICA 4</t>
        </is>
      </c>
      <c r="H21" s="13" t="inlineStr">
        <is>
          <t>SSAA</t>
        </is>
      </c>
    </row>
    <row r="22">
      <c r="A22" s="12" t="inlineStr">
        <is>
          <t>102-DP-001UPS-B</t>
        </is>
      </c>
      <c r="B22" s="12" t="inlineStr"/>
      <c r="C22" s="12" t="inlineStr">
        <is>
          <t>220</t>
        </is>
      </c>
      <c r="D22" s="12" t="inlineStr">
        <is>
          <t>102-UPS-001-B</t>
        </is>
      </c>
      <c r="E22" s="12" t="inlineStr">
        <is>
          <t>2x95</t>
        </is>
      </c>
      <c r="F22" s="12" t="inlineStr">
        <is>
          <t>10</t>
        </is>
      </c>
      <c r="G22" s="12" t="inlineStr">
        <is>
          <t>SALA ELÉCTRICA 3</t>
        </is>
      </c>
      <c r="H22" s="12" t="inlineStr">
        <is>
          <t>SSAA</t>
        </is>
      </c>
    </row>
    <row r="23">
      <c r="A23" s="13" t="inlineStr">
        <is>
          <t>102-DP-101</t>
        </is>
      </c>
      <c r="B23" s="13" t="inlineStr"/>
      <c r="C23" s="13" t="inlineStr">
        <is>
          <t>380</t>
        </is>
      </c>
      <c r="D23" s="13" t="inlineStr">
        <is>
          <t>102-CCM-006</t>
        </is>
      </c>
      <c r="E23" s="13" t="inlineStr">
        <is>
          <t>3x25/16</t>
        </is>
      </c>
      <c r="F23" s="13" t="inlineStr">
        <is>
          <t>60</t>
        </is>
      </c>
      <c r="G23" s="13" t="inlineStr">
        <is>
          <t>SALA ELÉCTRICA 3</t>
        </is>
      </c>
      <c r="H23" s="13" t="inlineStr">
        <is>
          <t>CONTROL</t>
        </is>
      </c>
    </row>
    <row r="24">
      <c r="A24" s="12" t="inlineStr">
        <is>
          <t>102-DP-101UPS-A</t>
        </is>
      </c>
      <c r="B24" s="12" t="inlineStr"/>
      <c r="C24" s="12" t="inlineStr">
        <is>
          <t>220</t>
        </is>
      </c>
      <c r="D24" s="12" t="inlineStr">
        <is>
          <t>102-DP-001UPS-A</t>
        </is>
      </c>
      <c r="E24" s="12" t="inlineStr">
        <is>
          <t>2x10</t>
        </is>
      </c>
      <c r="F24" s="12" t="inlineStr">
        <is>
          <t>60</t>
        </is>
      </c>
      <c r="G24" s="12" t="inlineStr">
        <is>
          <t>SALA ELÉCTRICA 3</t>
        </is>
      </c>
      <c r="H24" s="12" t="inlineStr">
        <is>
          <t>SSAA</t>
        </is>
      </c>
    </row>
    <row r="25">
      <c r="A25" s="13" t="inlineStr">
        <is>
          <t>102-DP-101UPS-B</t>
        </is>
      </c>
      <c r="B25" s="13" t="inlineStr"/>
      <c r="C25" s="13" t="inlineStr">
        <is>
          <t>220</t>
        </is>
      </c>
      <c r="D25" s="13" t="inlineStr">
        <is>
          <t>102-DP-001UPS-B</t>
        </is>
      </c>
      <c r="E25" s="13" t="inlineStr">
        <is>
          <t>2x10</t>
        </is>
      </c>
      <c r="F25" s="13" t="inlineStr">
        <is>
          <t>60</t>
        </is>
      </c>
      <c r="G25" s="13" t="inlineStr">
        <is>
          <t>SALA ELÉCTRICA 3</t>
        </is>
      </c>
      <c r="H25" s="13" t="inlineStr">
        <is>
          <t>SSAA</t>
        </is>
      </c>
    </row>
    <row r="26">
      <c r="A26" s="12" t="inlineStr">
        <is>
          <t>102-DP-471-A</t>
        </is>
      </c>
      <c r="B26" s="12" t="inlineStr"/>
      <c r="C26" s="12" t="inlineStr">
        <is>
          <t>220</t>
        </is>
      </c>
      <c r="D26" s="12" t="inlineStr">
        <is>
          <t>102-DP-001UPS-A</t>
        </is>
      </c>
      <c r="E26" s="12" t="inlineStr">
        <is>
          <t>2x35</t>
        </is>
      </c>
      <c r="F26" s="12" t="inlineStr">
        <is>
          <t>80</t>
        </is>
      </c>
      <c r="G26" s="12" t="inlineStr">
        <is>
          <t>SALA ELÉCTRICA 3</t>
        </is>
      </c>
      <c r="H26" s="12" t="inlineStr">
        <is>
          <t>CONTROL</t>
        </is>
      </c>
    </row>
    <row r="27">
      <c r="A27" s="13" t="inlineStr">
        <is>
          <t>102-DP-471-B</t>
        </is>
      </c>
      <c r="B27" s="13" t="inlineStr"/>
      <c r="C27" s="13" t="inlineStr">
        <is>
          <t>220</t>
        </is>
      </c>
      <c r="D27" s="13" t="inlineStr">
        <is>
          <t>102-DP-001UPS-B</t>
        </is>
      </c>
      <c r="E27" s="13" t="inlineStr">
        <is>
          <t>2x35</t>
        </is>
      </c>
      <c r="F27" s="13" t="inlineStr">
        <is>
          <t>80</t>
        </is>
      </c>
      <c r="G27" s="13" t="inlineStr">
        <is>
          <t>SALA ELÉCTRICA 4</t>
        </is>
      </c>
      <c r="H27" s="13" t="inlineStr">
        <is>
          <t>CONTROL</t>
        </is>
      </c>
    </row>
    <row r="28">
      <c r="A28" s="12" t="inlineStr">
        <is>
          <t>102-DP-472</t>
        </is>
      </c>
      <c r="B28" s="12" t="inlineStr"/>
      <c r="C28" s="12" t="inlineStr">
        <is>
          <t>380</t>
        </is>
      </c>
      <c r="D28" s="12" t="inlineStr">
        <is>
          <t>102-CCM-006</t>
        </is>
      </c>
      <c r="E28" s="12" t="inlineStr">
        <is>
          <t>3x25/16</t>
        </is>
      </c>
      <c r="F28" s="12" t="inlineStr">
        <is>
          <t>80</t>
        </is>
      </c>
      <c r="G28" s="12" t="inlineStr">
        <is>
          <t>SALA ELÉCTRICA 3</t>
        </is>
      </c>
      <c r="H28" s="12" t="inlineStr">
        <is>
          <t>CONTROL</t>
        </is>
      </c>
    </row>
    <row r="29">
      <c r="A29" s="13" t="inlineStr">
        <is>
          <t>102-DP-473A</t>
        </is>
      </c>
      <c r="B29" s="13" t="inlineStr">
        <is>
          <t>Tablero Conversión 220VAC/24VCC (Alimentador A\ 0</t>
        </is>
      </c>
      <c r="C29" s="13" t="inlineStr">
        <is>
          <t>220</t>
        </is>
      </c>
      <c r="D29" s="13" t="inlineStr">
        <is>
          <t>102-DP-471</t>
        </is>
      </c>
      <c r="E29" s="13" t="inlineStr">
        <is>
          <t>2x16</t>
        </is>
      </c>
      <c r="F29" s="13" t="inlineStr">
        <is>
          <t>10</t>
        </is>
      </c>
      <c r="G29" s="13" t="inlineStr">
        <is>
          <t>Iluminación ext. emergencia - Área KOD</t>
        </is>
      </c>
      <c r="H29" s="13" t="inlineStr">
        <is>
          <t>CONTROL</t>
        </is>
      </c>
    </row>
    <row r="30">
      <c r="A30" s="12" t="inlineStr">
        <is>
          <t>102-DP-473B</t>
        </is>
      </c>
      <c r="B30" s="12" t="inlineStr">
        <is>
          <t>Tablero Conversión 220VAC/24VCC (Alimentador B\ 0</t>
        </is>
      </c>
      <c r="C30" s="12" t="inlineStr">
        <is>
          <t>220</t>
        </is>
      </c>
      <c r="D30" s="12" t="inlineStr">
        <is>
          <t>102-DP-471</t>
        </is>
      </c>
      <c r="E30" s="12" t="inlineStr">
        <is>
          <t>2x16</t>
        </is>
      </c>
      <c r="F30" s="12" t="inlineStr">
        <is>
          <t>10</t>
        </is>
      </c>
      <c r="G30" s="12" t="inlineStr">
        <is>
          <t>Iluminación ext. emergencia - Área KOD</t>
        </is>
      </c>
      <c r="H30" s="12" t="inlineStr">
        <is>
          <t>CONTROL</t>
        </is>
      </c>
    </row>
    <row r="31">
      <c r="A31" s="13" t="inlineStr">
        <is>
          <t>102-DP-VFD-23310 A</t>
        </is>
      </c>
      <c r="B31" s="13" t="inlineStr">
        <is>
          <t>BOMBA DE CONDENSADO 0</t>
        </is>
      </c>
      <c r="C31" s="13" t="inlineStr">
        <is>
          <t>6600</t>
        </is>
      </c>
      <c r="D31" s="13" t="inlineStr">
        <is>
          <t>102-TGMT-002</t>
        </is>
      </c>
      <c r="E31" s="13" t="inlineStr">
        <is>
          <t>3x25</t>
        </is>
      </c>
      <c r="F31" s="13" t="inlineStr">
        <is>
          <t>20</t>
        </is>
      </c>
      <c r="G31" s="13" t="inlineStr">
        <is>
          <t>SALA ELÉCTRICA 4</t>
        </is>
      </c>
      <c r="H31" s="13" t="inlineStr">
        <is>
          <t>VFD_MT</t>
        </is>
      </c>
    </row>
    <row r="32">
      <c r="A32" s="12" t="inlineStr">
        <is>
          <t>102-DP-VFD-23310 B</t>
        </is>
      </c>
      <c r="B32" s="12" t="inlineStr">
        <is>
          <t>BOMBA DE CONDENSADO 0</t>
        </is>
      </c>
      <c r="C32" s="12" t="inlineStr">
        <is>
          <t>6600</t>
        </is>
      </c>
      <c r="D32" s="12" t="inlineStr">
        <is>
          <t>102-TGMT-002</t>
        </is>
      </c>
      <c r="E32" s="12" t="inlineStr">
        <is>
          <t>3x25</t>
        </is>
      </c>
      <c r="F32" s="12" t="inlineStr">
        <is>
          <t>20</t>
        </is>
      </c>
      <c r="G32" s="12" t="inlineStr">
        <is>
          <t>SALA ELÉCTRICA 4</t>
        </is>
      </c>
      <c r="H32" s="12" t="inlineStr">
        <is>
          <t>VFD_MT</t>
        </is>
      </c>
    </row>
    <row r="33">
      <c r="A33" s="13" t="inlineStr">
        <is>
          <t>102-DP-VFD-23310 C</t>
        </is>
      </c>
      <c r="B33" s="13" t="inlineStr">
        <is>
          <t>BOMBA DE CONDENSADO 0</t>
        </is>
      </c>
      <c r="C33" s="13" t="inlineStr">
        <is>
          <t>6600</t>
        </is>
      </c>
      <c r="D33" s="13" t="inlineStr">
        <is>
          <t>102-TGMT-002</t>
        </is>
      </c>
      <c r="E33" s="13" t="inlineStr">
        <is>
          <t>3x25</t>
        </is>
      </c>
      <c r="F33" s="13" t="inlineStr">
        <is>
          <t>20</t>
        </is>
      </c>
      <c r="G33" s="13" t="inlineStr">
        <is>
          <t>SALA ELÉCTRICA 4</t>
        </is>
      </c>
      <c r="H33" s="13" t="inlineStr">
        <is>
          <t>VFD_MT</t>
        </is>
      </c>
    </row>
    <row r="34">
      <c r="A34" s="12" t="inlineStr">
        <is>
          <t>102-DP-VFD-24210 A</t>
        </is>
      </c>
      <c r="B34" s="12" t="inlineStr">
        <is>
          <t>BOMBA DE INYECCION DE AGUA</t>
        </is>
      </c>
      <c r="C34" s="12" t="inlineStr">
        <is>
          <t>460</t>
        </is>
      </c>
      <c r="D34" s="12" t="inlineStr">
        <is>
          <t>102-TR-24210 A</t>
        </is>
      </c>
      <c r="E34" s="12" t="inlineStr">
        <is>
          <t>3x240</t>
        </is>
      </c>
      <c r="F34" s="12" t="inlineStr">
        <is>
          <t>30</t>
        </is>
      </c>
      <c r="G34" s="12" t="inlineStr">
        <is>
          <t>SALA ELÉCTRICA 3</t>
        </is>
      </c>
      <c r="H34" s="12" t="inlineStr">
        <is>
          <t>VFD_BT</t>
        </is>
      </c>
    </row>
    <row r="35">
      <c r="A35" s="13" t="inlineStr">
        <is>
          <t>102-DP-VFD-24210 B</t>
        </is>
      </c>
      <c r="B35" s="13" t="inlineStr">
        <is>
          <t>BOMBA DE INYECCION DE AGUA 0</t>
        </is>
      </c>
      <c r="C35" s="13" t="inlineStr">
        <is>
          <t>460</t>
        </is>
      </c>
      <c r="D35" s="13" t="inlineStr">
        <is>
          <t>102-TR-24210 B</t>
        </is>
      </c>
      <c r="E35" s="13" t="inlineStr">
        <is>
          <t>3x240</t>
        </is>
      </c>
      <c r="F35" s="13" t="inlineStr">
        <is>
          <t>30</t>
        </is>
      </c>
      <c r="G35" s="13" t="inlineStr">
        <is>
          <t>SALA ELÉCTRICA 3</t>
        </is>
      </c>
      <c r="H35" s="13" t="inlineStr">
        <is>
          <t>VFD_BT</t>
        </is>
      </c>
    </row>
    <row r="36">
      <c r="A36" s="12" t="inlineStr">
        <is>
          <t>102-DP-VFD-24210 C</t>
        </is>
      </c>
      <c r="B36" s="12" t="inlineStr">
        <is>
          <t>BOMBA DE INYECCION DE AGUA 0</t>
        </is>
      </c>
      <c r="C36" s="12" t="inlineStr">
        <is>
          <t>460</t>
        </is>
      </c>
      <c r="D36" s="12" t="inlineStr">
        <is>
          <t>102-TR-24210 C</t>
        </is>
      </c>
      <c r="E36" s="12" t="inlineStr">
        <is>
          <t>3x240</t>
        </is>
      </c>
      <c r="F36" s="12" t="inlineStr">
        <is>
          <t>30</t>
        </is>
      </c>
      <c r="G36" s="12" t="inlineStr">
        <is>
          <t>SALA ELÉCTRICA 3</t>
        </is>
      </c>
      <c r="H36" s="12" t="inlineStr">
        <is>
          <t>VFD_BT</t>
        </is>
      </c>
    </row>
    <row r="37">
      <c r="A37" s="13" t="inlineStr">
        <is>
          <t>102-HVAC-001</t>
        </is>
      </c>
      <c r="B37" s="13" t="inlineStr"/>
      <c r="C37" s="13" t="inlineStr">
        <is>
          <t>380</t>
        </is>
      </c>
      <c r="D37" s="13" t="inlineStr">
        <is>
          <t>102-CCM-006</t>
        </is>
      </c>
      <c r="E37" s="13" t="inlineStr">
        <is>
          <t>3x95/50</t>
        </is>
      </c>
      <c r="F37" s="13" t="inlineStr">
        <is>
          <t>20</t>
        </is>
      </c>
      <c r="G37" s="13" t="inlineStr">
        <is>
          <t>Compressor KIM HS Prelube Heater - Área 293</t>
        </is>
      </c>
      <c r="H37" s="13" t="inlineStr">
        <is>
          <t>INSTRUMENTO</t>
        </is>
      </c>
    </row>
    <row r="38">
      <c r="A38" s="12" t="inlineStr">
        <is>
          <t>102-HVAC-101</t>
        </is>
      </c>
      <c r="B38" s="12" t="inlineStr"/>
      <c r="C38" s="12" t="inlineStr">
        <is>
          <t>380</t>
        </is>
      </c>
      <c r="D38" s="12" t="inlineStr">
        <is>
          <t>102-CCM-006</t>
        </is>
      </c>
      <c r="E38" s="12" t="inlineStr">
        <is>
          <t>3x95/50</t>
        </is>
      </c>
      <c r="F38" s="12" t="inlineStr">
        <is>
          <t>60</t>
        </is>
      </c>
      <c r="G38" s="12" t="inlineStr">
        <is>
          <t>SALA ELÉCTRICA 3</t>
        </is>
      </c>
      <c r="H38" s="12" t="inlineStr">
        <is>
          <t>INSTRUMENTO</t>
        </is>
      </c>
    </row>
    <row r="39">
      <c r="A39" s="13" t="inlineStr">
        <is>
          <t>102-JBI-001</t>
        </is>
      </c>
      <c r="B39" s="13" t="inlineStr"/>
      <c r="C39" s="13" t="inlineStr">
        <is>
          <t>380</t>
        </is>
      </c>
      <c r="D39" s="13" t="inlineStr">
        <is>
          <t>102-LP-001</t>
        </is>
      </c>
      <c r="E39" s="13" t="inlineStr">
        <is>
          <t>4x10+T</t>
        </is>
      </c>
      <c r="F39" s="13" t="inlineStr">
        <is>
          <t>150</t>
        </is>
      </c>
      <c r="G39" s="13" t="inlineStr">
        <is>
          <t>SALA ELÉCTRICA 3</t>
        </is>
      </c>
      <c r="H39" s="13" t="inlineStr">
        <is>
          <t>ILUMINACION</t>
        </is>
      </c>
    </row>
    <row r="40">
      <c r="A40" s="12" t="inlineStr">
        <is>
          <t>102-JBI-002</t>
        </is>
      </c>
      <c r="B40" s="12" t="inlineStr">
        <is>
          <t>Iluminación ext. normal - Áreas Unidad Trat de Condensado 260  y Efluentes</t>
        </is>
      </c>
      <c r="C40" s="12" t="inlineStr">
        <is>
          <t>380</t>
        </is>
      </c>
      <c r="D40" s="12" t="inlineStr">
        <is>
          <t>102-LP-001</t>
        </is>
      </c>
      <c r="E40" s="12" t="inlineStr">
        <is>
          <t>4x10+T</t>
        </is>
      </c>
      <c r="F40" s="12" t="inlineStr">
        <is>
          <t>130</t>
        </is>
      </c>
      <c r="G40" s="12" t="inlineStr">
        <is>
          <t>Iluminación ext. normal - Área PTA</t>
        </is>
      </c>
      <c r="H40" s="12" t="inlineStr">
        <is>
          <t>ILUMINACION</t>
        </is>
      </c>
    </row>
    <row r="41">
      <c r="A41" s="13" t="inlineStr">
        <is>
          <t>102-JBI-003</t>
        </is>
      </c>
      <c r="B41" s="13" t="inlineStr"/>
      <c r="C41" s="13" t="inlineStr">
        <is>
          <t>380</t>
        </is>
      </c>
      <c r="D41" s="13" t="inlineStr">
        <is>
          <t>102-LP-001</t>
        </is>
      </c>
      <c r="E41" s="13" t="inlineStr">
        <is>
          <t>4x10+T</t>
        </is>
      </c>
      <c r="F41" s="13" t="inlineStr">
        <is>
          <t>220</t>
        </is>
      </c>
      <c r="G41" s="13" t="inlineStr">
        <is>
          <t>Iluminación ext. normal - Área PTA</t>
        </is>
      </c>
      <c r="H41" s="13" t="inlineStr">
        <is>
          <t>ILUMINACION</t>
        </is>
      </c>
    </row>
    <row r="42">
      <c r="A42" s="12" t="inlineStr">
        <is>
          <t>102-JBI-004</t>
        </is>
      </c>
      <c r="B42" s="12" t="inlineStr">
        <is>
          <t>Iluminación ext. normal - Áreas Unidad Proc de Gas 140 y Skid Gas Comb</t>
        </is>
      </c>
      <c r="C42" s="12" t="inlineStr">
        <is>
          <t>380</t>
        </is>
      </c>
      <c r="D42" s="12" t="inlineStr">
        <is>
          <t>102-LP-001</t>
        </is>
      </c>
      <c r="E42" s="12" t="inlineStr">
        <is>
          <t>4x10+T</t>
        </is>
      </c>
      <c r="F42" s="12" t="inlineStr">
        <is>
          <t>150</t>
        </is>
      </c>
      <c r="G42" s="12" t="inlineStr">
        <is>
          <t>Iluminación ext. normal - Área 942 HOT OIL</t>
        </is>
      </c>
      <c r="H42" s="12" t="inlineStr">
        <is>
          <t>ILUMINACION</t>
        </is>
      </c>
    </row>
    <row r="43">
      <c r="A43" s="13" t="inlineStr">
        <is>
          <t>102-JBI-005</t>
        </is>
      </c>
      <c r="B43" s="13" t="inlineStr">
        <is>
          <t>Iluminación ext. normal - Áreas Compresores 291/292/293 y Serv. Comp A</t>
        </is>
      </c>
      <c r="C43" s="13" t="inlineStr">
        <is>
          <t>380</t>
        </is>
      </c>
      <c r="D43" s="13" t="inlineStr">
        <is>
          <t>102-LP-001</t>
        </is>
      </c>
      <c r="E43" s="13" t="inlineStr">
        <is>
          <t>4x10+T</t>
        </is>
      </c>
      <c r="F43" s="13" t="inlineStr">
        <is>
          <t>130</t>
        </is>
      </c>
      <c r="G43" s="13" t="inlineStr">
        <is>
          <t>Iluminación ext. normal - Área 942 HOT OIL</t>
        </is>
      </c>
      <c r="H43" s="13" t="inlineStr">
        <is>
          <t>MOTOR_BT</t>
        </is>
      </c>
    </row>
    <row r="44">
      <c r="A44" s="12" t="inlineStr">
        <is>
          <t>102-JBI-006</t>
        </is>
      </c>
      <c r="B44" s="12" t="inlineStr">
        <is>
          <t>Iluminación ext. normal - Áreas Almacenamiento de cond e Iny. De Agua A</t>
        </is>
      </c>
      <c r="C44" s="12" t="inlineStr">
        <is>
          <t>380</t>
        </is>
      </c>
      <c r="D44" s="12" t="inlineStr">
        <is>
          <t>102-LP-001</t>
        </is>
      </c>
      <c r="E44" s="12" t="inlineStr">
        <is>
          <t>4x10+T</t>
        </is>
      </c>
      <c r="F44" s="12" t="inlineStr">
        <is>
          <t>200</t>
        </is>
      </c>
      <c r="G44" s="12" t="inlineStr">
        <is>
          <t>Iluminación ext. normal - Área 942 HOT OIL</t>
        </is>
      </c>
      <c r="H44" s="12" t="inlineStr">
        <is>
          <t>ILUMINACION</t>
        </is>
      </c>
    </row>
    <row r="45">
      <c r="A45" s="13" t="inlineStr">
        <is>
          <t>102-JBI-007</t>
        </is>
      </c>
      <c r="B45" s="13" t="inlineStr">
        <is>
          <t>Iluminación ext. normal- Salas Elect 3 /4 y Shelter INS007 A</t>
        </is>
      </c>
      <c r="C45" s="13" t="inlineStr">
        <is>
          <t>380</t>
        </is>
      </c>
      <c r="D45" s="13" t="inlineStr">
        <is>
          <t>102-LP-001</t>
        </is>
      </c>
      <c r="E45" s="13" t="inlineStr">
        <is>
          <t>4x10+T</t>
        </is>
      </c>
      <c r="F45" s="13" t="inlineStr">
        <is>
          <t>80</t>
        </is>
      </c>
      <c r="G45" s="13" t="inlineStr">
        <is>
          <t>Iluminación ext. normal - Área 942 HOT OIL</t>
        </is>
      </c>
      <c r="H45" s="13" t="inlineStr">
        <is>
          <t>ILUMINACION</t>
        </is>
      </c>
    </row>
    <row r="46">
      <c r="A46" s="12" t="inlineStr">
        <is>
          <t>102-JBI-008</t>
        </is>
      </c>
      <c r="B46" s="12" t="inlineStr"/>
      <c r="C46" s="12" t="inlineStr">
        <is>
          <t>380</t>
        </is>
      </c>
      <c r="D46" s="12" t="inlineStr">
        <is>
          <t>102-LP-001</t>
        </is>
      </c>
      <c r="E46" s="12" t="inlineStr">
        <is>
          <t>4x10+T</t>
        </is>
      </c>
      <c r="F46" s="12" t="inlineStr">
        <is>
          <t>220</t>
        </is>
      </c>
      <c r="G46" s="12" t="inlineStr">
        <is>
          <t>Iluminación ext. normal - Área 942 HOT OIL</t>
        </is>
      </c>
      <c r="H46" s="12" t="inlineStr">
        <is>
          <t>ILUMINACION</t>
        </is>
      </c>
    </row>
    <row r="47">
      <c r="A47" s="13" t="inlineStr">
        <is>
          <t>102-JBI-009</t>
        </is>
      </c>
      <c r="B47" s="13" t="inlineStr"/>
      <c r="C47" s="13" t="inlineStr">
        <is>
          <t>380</t>
        </is>
      </c>
      <c r="D47" s="13" t="inlineStr">
        <is>
          <t>102-LP-001</t>
        </is>
      </c>
      <c r="E47" s="13" t="inlineStr">
        <is>
          <t>4x10+T</t>
        </is>
      </c>
      <c r="F47" s="13" t="inlineStr">
        <is>
          <t>200</t>
        </is>
      </c>
      <c r="G47" s="13" t="inlineStr">
        <is>
          <t>Iluminación ext. normal- Área Servicios Aire y Nitrógeno</t>
        </is>
      </c>
      <c r="H47" s="13" t="inlineStr">
        <is>
          <t>ILUMINACION</t>
        </is>
      </c>
    </row>
    <row r="48">
      <c r="A48" s="12" t="inlineStr">
        <is>
          <t>102-JBI-010</t>
        </is>
      </c>
      <c r="B48" s="12" t="inlineStr">
        <is>
          <t>Iluminación Vial Calle E A</t>
        </is>
      </c>
      <c r="C48" s="12" t="inlineStr">
        <is>
          <t>380</t>
        </is>
      </c>
      <c r="D48" s="12" t="inlineStr">
        <is>
          <t>102-LP-001</t>
        </is>
      </c>
      <c r="E48" s="12" t="inlineStr">
        <is>
          <t>4x10+T</t>
        </is>
      </c>
      <c r="F48" s="12" t="inlineStr">
        <is>
          <t>100</t>
        </is>
      </c>
      <c r="G48" s="12" t="inlineStr">
        <is>
          <t>Iluminación ext. normal- Área KOD</t>
        </is>
      </c>
      <c r="H48" s="12" t="inlineStr">
        <is>
          <t>ILUMINACION</t>
        </is>
      </c>
    </row>
    <row r="49">
      <c r="A49" s="13" t="inlineStr">
        <is>
          <t>102-JBI-011</t>
        </is>
      </c>
      <c r="B49" s="13" t="inlineStr">
        <is>
          <t>Iluminación Vial Calle E1 A</t>
        </is>
      </c>
      <c r="C49" s="13" t="inlineStr">
        <is>
          <t>380</t>
        </is>
      </c>
      <c r="D49" s="13" t="inlineStr">
        <is>
          <t>102-LP-001</t>
        </is>
      </c>
      <c r="E49" s="13" t="inlineStr">
        <is>
          <t>4x10+T</t>
        </is>
      </c>
      <c r="F49" s="13" t="inlineStr">
        <is>
          <t>100</t>
        </is>
      </c>
      <c r="G49" s="13" t="inlineStr">
        <is>
          <t>Iluminación ext. normal- Área KOD</t>
        </is>
      </c>
      <c r="H49" s="13" t="inlineStr">
        <is>
          <t>ILUMINACION</t>
        </is>
      </c>
    </row>
    <row r="50">
      <c r="A50" s="12" t="inlineStr">
        <is>
          <t>102-JBI-012</t>
        </is>
      </c>
      <c r="B50" s="12" t="inlineStr">
        <is>
          <t>Iluminación Vial Calle 2 A</t>
        </is>
      </c>
      <c r="C50" s="12" t="inlineStr">
        <is>
          <t>380</t>
        </is>
      </c>
      <c r="D50" s="12" t="inlineStr">
        <is>
          <t>102-LP-001</t>
        </is>
      </c>
      <c r="E50" s="12" t="inlineStr">
        <is>
          <t>4x10+T</t>
        </is>
      </c>
      <c r="F50" s="12" t="inlineStr">
        <is>
          <t>100</t>
        </is>
      </c>
      <c r="G50" s="12" t="inlineStr">
        <is>
          <t>Iluminación ext. normal- Área KOD</t>
        </is>
      </c>
      <c r="H50" s="12" t="inlineStr">
        <is>
          <t>ILUMINACION</t>
        </is>
      </c>
    </row>
    <row r="51">
      <c r="A51" s="13" t="inlineStr">
        <is>
          <t>102-JBI-013</t>
        </is>
      </c>
      <c r="B51" s="13" t="inlineStr">
        <is>
          <t>Iluminación Vial Calle 3 A</t>
        </is>
      </c>
      <c r="C51" s="13" t="inlineStr">
        <is>
          <t>380</t>
        </is>
      </c>
      <c r="D51" s="13" t="inlineStr">
        <is>
          <t>102-LP-001</t>
        </is>
      </c>
      <c r="E51" s="13" t="inlineStr">
        <is>
          <t>4x10+T</t>
        </is>
      </c>
      <c r="F51" s="13" t="inlineStr">
        <is>
          <t>100</t>
        </is>
      </c>
      <c r="G51" s="13" t="inlineStr">
        <is>
          <t>Iluminación ext. normal- Área KOD</t>
        </is>
      </c>
      <c r="H51" s="13" t="inlineStr">
        <is>
          <t>ILUMINACION</t>
        </is>
      </c>
    </row>
    <row r="52">
      <c r="A52" s="12" t="inlineStr">
        <is>
          <t>102-JBIE-001</t>
        </is>
      </c>
      <c r="B52" s="12" t="inlineStr"/>
      <c r="C52" s="12" t="inlineStr">
        <is>
          <t>380</t>
        </is>
      </c>
      <c r="D52" s="12" t="inlineStr">
        <is>
          <t>102-LP-002</t>
        </is>
      </c>
      <c r="E52" s="12" t="inlineStr">
        <is>
          <t>4x10+T</t>
        </is>
      </c>
      <c r="F52" s="12" t="inlineStr">
        <is>
          <t>150</t>
        </is>
      </c>
      <c r="G52" s="12" t="inlineStr">
        <is>
          <t>Tomacorrientes - Área 942 HOT OIL</t>
        </is>
      </c>
      <c r="H52" s="12" t="inlineStr">
        <is>
          <t>ILUMINACION</t>
        </is>
      </c>
    </row>
    <row r="53">
      <c r="A53" s="13" t="inlineStr">
        <is>
          <t>102-JBIE-002</t>
        </is>
      </c>
      <c r="B53" s="13" t="inlineStr">
        <is>
          <t>Iluminación ext. emergencia - Áreas Unidad Trat de Condensado 260  y Efluentes A</t>
        </is>
      </c>
      <c r="C53" s="13" t="inlineStr">
        <is>
          <t>380</t>
        </is>
      </c>
      <c r="D53" s="13" t="inlineStr">
        <is>
          <t>102-LP-002</t>
        </is>
      </c>
      <c r="E53" s="13" t="inlineStr">
        <is>
          <t>4x10+T</t>
        </is>
      </c>
      <c r="F53" s="13" t="inlineStr">
        <is>
          <t>130</t>
        </is>
      </c>
      <c r="G53" s="13" t="inlineStr">
        <is>
          <t>Iluminación ext. emergencia - Área PTA</t>
        </is>
      </c>
      <c r="H53" s="13" t="inlineStr">
        <is>
          <t>ILUMINACION</t>
        </is>
      </c>
    </row>
    <row r="54">
      <c r="A54" s="12" t="inlineStr">
        <is>
          <t>102-JBIE-003</t>
        </is>
      </c>
      <c r="B54" s="12" t="inlineStr"/>
      <c r="C54" s="12" t="inlineStr">
        <is>
          <t>380</t>
        </is>
      </c>
      <c r="D54" s="12" t="inlineStr">
        <is>
          <t>102-LP-002</t>
        </is>
      </c>
      <c r="E54" s="12" t="inlineStr">
        <is>
          <t>4x10+T</t>
        </is>
      </c>
      <c r="F54" s="12" t="inlineStr">
        <is>
          <t>220</t>
        </is>
      </c>
      <c r="G54" s="12" t="inlineStr">
        <is>
          <t>Iluminación ext. emergencia - Área PTA</t>
        </is>
      </c>
      <c r="H54" s="12" t="inlineStr">
        <is>
          <t>ILUMINACION</t>
        </is>
      </c>
    </row>
    <row r="55">
      <c r="A55" s="13" t="inlineStr">
        <is>
          <t>102-JBIE-004</t>
        </is>
      </c>
      <c r="B55" s="13" t="inlineStr">
        <is>
          <t>Iluminación ext. emergencia - Áreas Unidad Proc de Gas 140 y Skid Gas Comb A</t>
        </is>
      </c>
      <c r="C55" s="13" t="inlineStr">
        <is>
          <t>380</t>
        </is>
      </c>
      <c r="D55" s="13" t="inlineStr">
        <is>
          <t>102-LP-002</t>
        </is>
      </c>
      <c r="E55" s="13" t="inlineStr">
        <is>
          <t>4x10+T</t>
        </is>
      </c>
      <c r="F55" s="13" t="inlineStr">
        <is>
          <t>150</t>
        </is>
      </c>
      <c r="G55" s="13" t="inlineStr">
        <is>
          <t>Iluminación ext. emergencia - Área 942 HOT OIL</t>
        </is>
      </c>
      <c r="H55" s="13" t="inlineStr">
        <is>
          <t>ILUMINACION</t>
        </is>
      </c>
    </row>
    <row r="56">
      <c r="A56" s="12" t="inlineStr">
        <is>
          <t>102-JBIE-005</t>
        </is>
      </c>
      <c r="B56" s="12" t="inlineStr">
        <is>
          <t>Iluminación ext. emergencia - Áreas Compresores 291/292/293 y Serv. Comp A</t>
        </is>
      </c>
      <c r="C56" s="12" t="inlineStr">
        <is>
          <t>380</t>
        </is>
      </c>
      <c r="D56" s="12" t="inlineStr">
        <is>
          <t>102-LP-002</t>
        </is>
      </c>
      <c r="E56" s="12" t="inlineStr">
        <is>
          <t>4x10+T</t>
        </is>
      </c>
      <c r="F56" s="12" t="inlineStr">
        <is>
          <t>130</t>
        </is>
      </c>
      <c r="G56" s="12" t="inlineStr">
        <is>
          <t>Iluminación ext. emergencia - Área 942 HOT OIL</t>
        </is>
      </c>
      <c r="H56" s="12" t="inlineStr">
        <is>
          <t>MOTOR_BT</t>
        </is>
      </c>
    </row>
    <row r="57">
      <c r="A57" s="13" t="inlineStr">
        <is>
          <t>102-JBIE-006</t>
        </is>
      </c>
      <c r="B57" s="13" t="inlineStr">
        <is>
          <t>Iluminación ext. emergencia - Áreas Almacenamiento de cond e Iny. De Agua A</t>
        </is>
      </c>
      <c r="C57" s="13" t="inlineStr">
        <is>
          <t>380</t>
        </is>
      </c>
      <c r="D57" s="13" t="inlineStr">
        <is>
          <t>102-LP-002</t>
        </is>
      </c>
      <c r="E57" s="13" t="inlineStr">
        <is>
          <t>4x10+T</t>
        </is>
      </c>
      <c r="F57" s="13" t="inlineStr">
        <is>
          <t>200</t>
        </is>
      </c>
      <c r="G57" s="13" t="inlineStr">
        <is>
          <t>Iluminación ext. emergencia - Área 942 HOT OIL</t>
        </is>
      </c>
      <c r="H57" s="13" t="inlineStr">
        <is>
          <t>ILUMINACION</t>
        </is>
      </c>
    </row>
    <row r="58">
      <c r="A58" s="12" t="inlineStr">
        <is>
          <t>102-JBIE-007</t>
        </is>
      </c>
      <c r="B58" s="12" t="inlineStr">
        <is>
          <t>Iluminación ext. emergencia - Salas Elect 3 /4 y Shelter INS007 A</t>
        </is>
      </c>
      <c r="C58" s="12" t="inlineStr">
        <is>
          <t>380</t>
        </is>
      </c>
      <c r="D58" s="12" t="inlineStr">
        <is>
          <t>102-LP-002</t>
        </is>
      </c>
      <c r="E58" s="12" t="inlineStr">
        <is>
          <t>4x10+T</t>
        </is>
      </c>
      <c r="F58" s="12" t="inlineStr">
        <is>
          <t>80</t>
        </is>
      </c>
      <c r="G58" s="12" t="inlineStr">
        <is>
          <t>Iluminación ext. emergencia - Área 942 HOT OIL</t>
        </is>
      </c>
      <c r="H58" s="12" t="inlineStr">
        <is>
          <t>ILUMINACION</t>
        </is>
      </c>
    </row>
    <row r="59">
      <c r="A59" s="13" t="inlineStr">
        <is>
          <t>102-JBIE-008</t>
        </is>
      </c>
      <c r="B59" s="13" t="inlineStr"/>
      <c r="C59" s="13" t="inlineStr">
        <is>
          <t>380</t>
        </is>
      </c>
      <c r="D59" s="13" t="inlineStr">
        <is>
          <t>102-LP-002</t>
        </is>
      </c>
      <c r="E59" s="13" t="inlineStr">
        <is>
          <t>4x10+T</t>
        </is>
      </c>
      <c r="F59" s="13" t="inlineStr">
        <is>
          <t>220</t>
        </is>
      </c>
      <c r="G59" s="13" t="inlineStr">
        <is>
          <t>Iluminación ext. emergencia - Área 942 HOT OIL</t>
        </is>
      </c>
      <c r="H59" s="13" t="inlineStr">
        <is>
          <t>ILUMINACION</t>
        </is>
      </c>
    </row>
    <row r="60">
      <c r="A60" s="12" t="inlineStr">
        <is>
          <t>102-JBIE-009</t>
        </is>
      </c>
      <c r="B60" s="12" t="inlineStr"/>
      <c r="C60" s="12" t="inlineStr">
        <is>
          <t>380</t>
        </is>
      </c>
      <c r="D60" s="12" t="inlineStr">
        <is>
          <t>102-LP-002</t>
        </is>
      </c>
      <c r="E60" s="12" t="inlineStr">
        <is>
          <t>4x10+T</t>
        </is>
      </c>
      <c r="F60" s="12" t="inlineStr">
        <is>
          <t>200</t>
        </is>
      </c>
      <c r="G60" s="12" t="inlineStr">
        <is>
          <t>Iluminación ext. emergencia - Área Servicios Aire y Nitrógeno</t>
        </is>
      </c>
      <c r="H60" s="12" t="inlineStr">
        <is>
          <t>ILUMINACION</t>
        </is>
      </c>
    </row>
    <row r="61">
      <c r="A61" s="13" t="inlineStr">
        <is>
          <t>102-JBIE-010</t>
        </is>
      </c>
      <c r="B61" s="13" t="inlineStr">
        <is>
          <t>Iluminación Vial Emergencia Calle E y E1 A</t>
        </is>
      </c>
      <c r="C61" s="13" t="inlineStr">
        <is>
          <t>380</t>
        </is>
      </c>
      <c r="D61" s="13" t="inlineStr">
        <is>
          <t>102-LP-002</t>
        </is>
      </c>
      <c r="E61" s="13" t="inlineStr">
        <is>
          <t>4x10+T</t>
        </is>
      </c>
      <c r="F61" s="13" t="inlineStr">
        <is>
          <t>100</t>
        </is>
      </c>
      <c r="G61" s="13" t="inlineStr">
        <is>
          <t>Iluminación ext. emergencia - Área KOD</t>
        </is>
      </c>
      <c r="H61" s="13" t="inlineStr">
        <is>
          <t>ILUMINACION</t>
        </is>
      </c>
    </row>
    <row r="62">
      <c r="A62" s="12" t="inlineStr">
        <is>
          <t>102-JBIE-011</t>
        </is>
      </c>
      <c r="B62" s="12" t="inlineStr">
        <is>
          <t>Iluminación Vial Emergencia Calle 2 y 3 102-DP-001-TRA</t>
        </is>
      </c>
      <c r="C62" s="12" t="inlineStr">
        <is>
          <t>380</t>
        </is>
      </c>
      <c r="D62" s="12" t="inlineStr">
        <is>
          <t>102-LP-002</t>
        </is>
      </c>
      <c r="E62" s="12" t="inlineStr">
        <is>
          <t>4x10+T</t>
        </is>
      </c>
      <c r="F62" s="12" t="inlineStr">
        <is>
          <t>100</t>
        </is>
      </c>
      <c r="G62" s="12" t="inlineStr">
        <is>
          <t>Iluminación ext. emergencia - Área KOD</t>
        </is>
      </c>
      <c r="H62" s="12" t="inlineStr">
        <is>
          <t>ILUMINACION</t>
        </is>
      </c>
    </row>
    <row r="63">
      <c r="A63" s="13" t="inlineStr">
        <is>
          <t>102-JBT-001</t>
        </is>
      </c>
      <c r="B63" s="13" t="inlineStr">
        <is>
          <t>JUNCTION BOX  TRACING EN CAMPO A</t>
        </is>
      </c>
      <c r="C63" s="13" t="inlineStr">
        <is>
          <t>380</t>
        </is>
      </c>
      <c r="D63" s="13" t="inlineStr">
        <is>
          <t>102-DP-001-TRA</t>
        </is>
      </c>
      <c r="E63" s="13" t="inlineStr">
        <is>
          <t>4x4+T</t>
        </is>
      </c>
      <c r="F63" s="13" t="inlineStr">
        <is>
          <t>150</t>
        </is>
      </c>
      <c r="G63" s="13" t="inlineStr">
        <is>
          <t>Iluminación ext. emergencia - Área KOD</t>
        </is>
      </c>
      <c r="H63" s="13" t="inlineStr">
        <is>
          <t>CALEFACCION</t>
        </is>
      </c>
    </row>
    <row r="64">
      <c r="A64" s="12" t="inlineStr">
        <is>
          <t>102-JBT-002</t>
        </is>
      </c>
      <c r="B64" s="12" t="inlineStr">
        <is>
          <t>JUNCTION BOX  TRACING EN CAMPO A</t>
        </is>
      </c>
      <c r="C64" s="12" t="inlineStr">
        <is>
          <t>380</t>
        </is>
      </c>
      <c r="D64" s="12" t="inlineStr">
        <is>
          <t>102-DP-001-TRA</t>
        </is>
      </c>
      <c r="E64" s="12" t="inlineStr">
        <is>
          <t>4x4+T</t>
        </is>
      </c>
      <c r="F64" s="12" t="inlineStr">
        <is>
          <t>150</t>
        </is>
      </c>
      <c r="G64" s="12" t="inlineStr">
        <is>
          <t>Iluminación ext. emergencia - Área KOD</t>
        </is>
      </c>
      <c r="H64" s="12" t="inlineStr">
        <is>
          <t>CALEFACCION</t>
        </is>
      </c>
    </row>
    <row r="65">
      <c r="A65" s="13" t="inlineStr">
        <is>
          <t>102-JBT-003</t>
        </is>
      </c>
      <c r="B65" s="13" t="inlineStr">
        <is>
          <t>JUNCTION BOX  TRACING EN CAMPO</t>
        </is>
      </c>
      <c r="C65" s="13" t="inlineStr">
        <is>
          <t>380</t>
        </is>
      </c>
      <c r="D65" s="13" t="inlineStr">
        <is>
          <t>102-DP-001-TRA</t>
        </is>
      </c>
      <c r="E65" s="13" t="inlineStr">
        <is>
          <t>4x4+T</t>
        </is>
      </c>
      <c r="F65" s="13" t="inlineStr">
        <is>
          <t>150</t>
        </is>
      </c>
      <c r="G65" s="13" t="inlineStr">
        <is>
          <t>Iluminación ext. emergencia - Área KOD</t>
        </is>
      </c>
      <c r="H65" s="13" t="inlineStr">
        <is>
          <t>CALEFACCION</t>
        </is>
      </c>
    </row>
    <row r="66">
      <c r="A66" s="12" t="inlineStr">
        <is>
          <t>102-JBT-004</t>
        </is>
      </c>
      <c r="B66" s="12" t="inlineStr">
        <is>
          <t>JUNCTION BOX  TRACING EN CAMPO A</t>
        </is>
      </c>
      <c r="C66" s="12" t="inlineStr">
        <is>
          <t>380</t>
        </is>
      </c>
      <c r="D66" s="12" t="inlineStr">
        <is>
          <t>102-DP-001-TRA</t>
        </is>
      </c>
      <c r="E66" s="12" t="inlineStr">
        <is>
          <t>4x4+T</t>
        </is>
      </c>
      <c r="F66" s="12" t="inlineStr">
        <is>
          <t>150</t>
        </is>
      </c>
      <c r="G66" s="12" t="inlineStr">
        <is>
          <t>Iluminación ext. emergencia - Área KOD</t>
        </is>
      </c>
      <c r="H66" s="12" t="inlineStr">
        <is>
          <t>CALEFACCION</t>
        </is>
      </c>
    </row>
    <row r="67">
      <c r="A67" s="13" t="inlineStr">
        <is>
          <t>102-JBT-005</t>
        </is>
      </c>
      <c r="B67" s="13" t="inlineStr">
        <is>
          <t>JUNCTION BOX  TRACING EN CAMPO A</t>
        </is>
      </c>
      <c r="C67" s="13" t="inlineStr">
        <is>
          <t>380</t>
        </is>
      </c>
      <c r="D67" s="13" t="inlineStr">
        <is>
          <t>102-DP-001-TRA</t>
        </is>
      </c>
      <c r="E67" s="13" t="inlineStr">
        <is>
          <t>4x4+T</t>
        </is>
      </c>
      <c r="F67" s="13" t="inlineStr">
        <is>
          <t>150</t>
        </is>
      </c>
      <c r="G67" s="13" t="inlineStr">
        <is>
          <t>Iluminación ext. emergencia - Área KOD</t>
        </is>
      </c>
      <c r="H67" s="13" t="inlineStr">
        <is>
          <t>CALEFACCION</t>
        </is>
      </c>
    </row>
    <row r="68">
      <c r="A68" s="12" t="inlineStr">
        <is>
          <t>102-JBT-006</t>
        </is>
      </c>
      <c r="B68" s="12" t="inlineStr">
        <is>
          <t>JUNCTION BOX  TRACING EN CAMPO</t>
        </is>
      </c>
      <c r="C68" s="12" t="inlineStr">
        <is>
          <t>380</t>
        </is>
      </c>
      <c r="D68" s="12" t="inlineStr">
        <is>
          <t>102-DP-001-TRA</t>
        </is>
      </c>
      <c r="E68" s="12" t="inlineStr">
        <is>
          <t>4x4+T</t>
        </is>
      </c>
      <c r="F68" s="12" t="inlineStr">
        <is>
          <t>150</t>
        </is>
      </c>
      <c r="G68" s="12" t="inlineStr">
        <is>
          <t>Iluminación ext. emergencia - Área KOD</t>
        </is>
      </c>
      <c r="H68" s="12" t="inlineStr">
        <is>
          <t>CALEFACCION</t>
        </is>
      </c>
    </row>
    <row r="69">
      <c r="A69" s="13" t="inlineStr">
        <is>
          <t>102-JBT-140</t>
        </is>
      </c>
      <c r="B69" s="13" t="inlineStr">
        <is>
          <t>JUNCTION BOX  TRACING - MODULO 140 A</t>
        </is>
      </c>
      <c r="C69" s="13" t="inlineStr">
        <is>
          <t>380</t>
        </is>
      </c>
      <c r="D69" s="13" t="inlineStr">
        <is>
          <t>102-DP-001-TRA</t>
        </is>
      </c>
      <c r="E69" s="13" t="inlineStr">
        <is>
          <t>4x4+T</t>
        </is>
      </c>
      <c r="F69" s="13" t="inlineStr">
        <is>
          <t>150</t>
        </is>
      </c>
      <c r="G69" s="13" t="inlineStr">
        <is>
          <t>Iluminación ext. emergencia - Área KOD</t>
        </is>
      </c>
      <c r="H69" s="13" t="inlineStr">
        <is>
          <t>CALEFACCION</t>
        </is>
      </c>
    </row>
    <row r="70">
      <c r="A70" s="12" t="inlineStr">
        <is>
          <t>102-JBT-260</t>
        </is>
      </c>
      <c r="B70" s="12" t="inlineStr">
        <is>
          <t>JUNCTION BOX  TRACING - MODULO 260 A</t>
        </is>
      </c>
      <c r="C70" s="12" t="inlineStr">
        <is>
          <t>380</t>
        </is>
      </c>
      <c r="D70" s="12" t="inlineStr">
        <is>
          <t>102-DP-001-TRA</t>
        </is>
      </c>
      <c r="E70" s="12" t="inlineStr">
        <is>
          <t>4x4+T</t>
        </is>
      </c>
      <c r="F70" s="12" t="inlineStr">
        <is>
          <t>130</t>
        </is>
      </c>
      <c r="G70" s="12" t="inlineStr">
        <is>
          <t>Iluminación ext. emergencia - Área KOD</t>
        </is>
      </c>
      <c r="H70" s="12" t="inlineStr">
        <is>
          <t>CALEFACCION</t>
        </is>
      </c>
    </row>
    <row r="71">
      <c r="A71" s="13" t="inlineStr">
        <is>
          <t>102-JBT-290</t>
        </is>
      </c>
      <c r="B71" s="13" t="inlineStr">
        <is>
          <t>JUNCTION BOX  TRACING - MODULO 290 A</t>
        </is>
      </c>
      <c r="C71" s="13" t="inlineStr">
        <is>
          <t>380</t>
        </is>
      </c>
      <c r="D71" s="13" t="inlineStr">
        <is>
          <t>102-DP-001-TRA</t>
        </is>
      </c>
      <c r="E71" s="13" t="inlineStr">
        <is>
          <t>4x4+T</t>
        </is>
      </c>
      <c r="F71" s="13" t="inlineStr">
        <is>
          <t>220</t>
        </is>
      </c>
      <c r="G71" s="13" t="inlineStr">
        <is>
          <t>Iluminación ext. emergencia - Área KOD</t>
        </is>
      </c>
      <c r="H71" s="13" t="inlineStr">
        <is>
          <t>CALEFACCION</t>
        </is>
      </c>
    </row>
    <row r="72">
      <c r="A72" s="12" t="inlineStr">
        <is>
          <t>102-JBT-291</t>
        </is>
      </c>
      <c r="B72" s="12" t="inlineStr">
        <is>
          <t>JUNCTION BOX  TRACING - MODULO 291 A</t>
        </is>
      </c>
      <c r="C72" s="12" t="inlineStr">
        <is>
          <t>380</t>
        </is>
      </c>
      <c r="D72" s="12" t="inlineStr">
        <is>
          <t>102-DP-001-TRA</t>
        </is>
      </c>
      <c r="E72" s="12" t="inlineStr">
        <is>
          <t>4x4+T</t>
        </is>
      </c>
      <c r="F72" s="12" t="inlineStr">
        <is>
          <t>150</t>
        </is>
      </c>
      <c r="G72" s="12" t="inlineStr">
        <is>
          <t>Iluminación ext. emergencia - Área KOD</t>
        </is>
      </c>
      <c r="H72" s="12" t="inlineStr">
        <is>
          <t>CALEFACCION</t>
        </is>
      </c>
    </row>
    <row r="73">
      <c r="A73" s="13" t="inlineStr">
        <is>
          <t>102-JBT-292</t>
        </is>
      </c>
      <c r="B73" s="13" t="inlineStr">
        <is>
          <t>JUNCTION BOX  TRACING - MODULO 292 A</t>
        </is>
      </c>
      <c r="C73" s="13" t="inlineStr">
        <is>
          <t>380</t>
        </is>
      </c>
      <c r="D73" s="13" t="inlineStr">
        <is>
          <t>102-DP-001-TRA</t>
        </is>
      </c>
      <c r="E73" s="13" t="inlineStr">
        <is>
          <t>4x4+T</t>
        </is>
      </c>
      <c r="F73" s="13" t="inlineStr">
        <is>
          <t>140</t>
        </is>
      </c>
      <c r="G73" s="13" t="inlineStr">
        <is>
          <t>Iluminación ext. emergencia - Área KOD</t>
        </is>
      </c>
      <c r="H73" s="13" t="inlineStr">
        <is>
          <t>CALEFACCION</t>
        </is>
      </c>
    </row>
    <row r="74">
      <c r="A74" s="12" t="inlineStr">
        <is>
          <t>102-JBT-293</t>
        </is>
      </c>
      <c r="B74" s="12" t="inlineStr">
        <is>
          <t>JUNCTION BOX  TRACING - MODULO 293 A</t>
        </is>
      </c>
      <c r="C74" s="12" t="inlineStr">
        <is>
          <t>380</t>
        </is>
      </c>
      <c r="D74" s="12" t="inlineStr">
        <is>
          <t>102-DP-001-TRA</t>
        </is>
      </c>
      <c r="E74" s="12" t="inlineStr">
        <is>
          <t>4x4+T</t>
        </is>
      </c>
      <c r="F74" s="12" t="inlineStr">
        <is>
          <t>130</t>
        </is>
      </c>
      <c r="G74" s="12" t="inlineStr">
        <is>
          <t>Iluminación ext. emergencia - Área KOD</t>
        </is>
      </c>
      <c r="H74" s="12" t="inlineStr">
        <is>
          <t>CALEFACCION</t>
        </is>
      </c>
    </row>
    <row r="75">
      <c r="A75" s="13" t="inlineStr">
        <is>
          <t>102-LP-001</t>
        </is>
      </c>
      <c r="B75" s="13" t="inlineStr">
        <is>
          <t>TABLERO DE ILUMINACIÓN Y TOMAS CPF2 0</t>
        </is>
      </c>
      <c r="C75" s="13" t="inlineStr">
        <is>
          <t>380</t>
        </is>
      </c>
      <c r="D75" s="13" t="inlineStr">
        <is>
          <t>102-CCM-006</t>
        </is>
      </c>
      <c r="E75" s="13" t="inlineStr">
        <is>
          <t>3x150/70</t>
        </is>
      </c>
      <c r="F75" s="13" t="inlineStr">
        <is>
          <t>20</t>
        </is>
      </c>
      <c r="G75" s="13" t="inlineStr">
        <is>
          <t>SALA ELÉCTRICA 4</t>
        </is>
      </c>
      <c r="H75" s="13" t="inlineStr">
        <is>
          <t>ILUMINACION</t>
        </is>
      </c>
    </row>
    <row r="76">
      <c r="A76" s="12" t="inlineStr">
        <is>
          <t>102-LP-002</t>
        </is>
      </c>
      <c r="B76" s="12" t="inlineStr">
        <is>
          <t>TABLEROS DE ILUMINACION DE EMERGENCIA CPF2 0</t>
        </is>
      </c>
      <c r="C76" s="12" t="inlineStr">
        <is>
          <t>380</t>
        </is>
      </c>
      <c r="D76" s="12" t="inlineStr">
        <is>
          <t>102-CCM-006</t>
        </is>
      </c>
      <c r="E76" s="12" t="inlineStr">
        <is>
          <t>3x150/70</t>
        </is>
      </c>
      <c r="F76" s="12" t="inlineStr">
        <is>
          <t>20</t>
        </is>
      </c>
      <c r="G76" s="12" t="inlineStr">
        <is>
          <t>SALA ELÉCTRICA 4</t>
        </is>
      </c>
      <c r="H76" s="12" t="inlineStr">
        <is>
          <t>ILUMINACION</t>
        </is>
      </c>
    </row>
    <row r="77">
      <c r="A77" s="13" t="inlineStr">
        <is>
          <t>102-LP-101</t>
        </is>
      </c>
      <c r="B77" s="13" t="inlineStr">
        <is>
          <t>TABLEROS DE DISTRIBUCIÓN ILUMINACION NORMAL 0</t>
        </is>
      </c>
      <c r="C77" s="13" t="inlineStr">
        <is>
          <t>380</t>
        </is>
      </c>
      <c r="D77" s="13" t="inlineStr">
        <is>
          <t>102-CCM-007</t>
        </is>
      </c>
      <c r="E77" s="13" t="inlineStr">
        <is>
          <t>3x150/70</t>
        </is>
      </c>
      <c r="F77" s="13" t="inlineStr">
        <is>
          <t>20</t>
        </is>
      </c>
      <c r="G77" s="13" t="inlineStr">
        <is>
          <t>SALA ELÉCTRICA 3</t>
        </is>
      </c>
      <c r="H77" s="13" t="inlineStr">
        <is>
          <t>ILUMINACION</t>
        </is>
      </c>
    </row>
    <row r="78">
      <c r="A78" s="12" t="inlineStr">
        <is>
          <t>102-LP-102</t>
        </is>
      </c>
      <c r="B78" s="12" t="inlineStr"/>
      <c r="C78" s="12" t="inlineStr">
        <is>
          <t>380</t>
        </is>
      </c>
      <c r="D78" s="12" t="inlineStr">
        <is>
          <t>102-CCM-006</t>
        </is>
      </c>
      <c r="E78" s="12" t="inlineStr">
        <is>
          <t>3x50/25</t>
        </is>
      </c>
      <c r="F78" s="12" t="inlineStr">
        <is>
          <t>60</t>
        </is>
      </c>
      <c r="G78" s="12" t="inlineStr">
        <is>
          <t>SALA ELÉCTRICA 3</t>
        </is>
      </c>
      <c r="H78" s="12" t="inlineStr">
        <is>
          <t>ILUMINACION</t>
        </is>
      </c>
    </row>
    <row r="79">
      <c r="A79" s="13" t="inlineStr">
        <is>
          <t>102-PC-001</t>
        </is>
      </c>
      <c r="B79" s="13" t="inlineStr">
        <is>
          <t>TABLERO PROTECCION CATODICA 102-UPS-001</t>
        </is>
      </c>
      <c r="C79" s="13" t="inlineStr">
        <is>
          <t>380</t>
        </is>
      </c>
      <c r="D79" s="13" t="inlineStr">
        <is>
          <t>102-CCM-006</t>
        </is>
      </c>
      <c r="E79" s="13" t="inlineStr">
        <is>
          <t>3x35/16</t>
        </is>
      </c>
      <c r="F79" s="13" t="inlineStr">
        <is>
          <t>200</t>
        </is>
      </c>
      <c r="G79" s="13" t="inlineStr">
        <is>
          <t>SALA ELÉCTRICA 4</t>
        </is>
      </c>
      <c r="H79" s="13" t="inlineStr">
        <is>
          <t>CONTROL</t>
        </is>
      </c>
    </row>
    <row r="80">
      <c r="A80" s="12" t="inlineStr">
        <is>
          <t>102-PC-101</t>
        </is>
      </c>
      <c r="B80" s="12" t="inlineStr">
        <is>
          <t>TABLEROS DE DISTRIBUCIÓN PROTECCIÓN CATODICA 0</t>
        </is>
      </c>
      <c r="C80" s="12" t="inlineStr">
        <is>
          <t>380</t>
        </is>
      </c>
      <c r="D80" s="12" t="inlineStr">
        <is>
          <t>102-CCM-007</t>
        </is>
      </c>
      <c r="E80" s="12" t="inlineStr">
        <is>
          <t>3x25/16</t>
        </is>
      </c>
      <c r="F80" s="12" t="inlineStr">
        <is>
          <t>150</t>
        </is>
      </c>
      <c r="G80" s="12" t="inlineStr">
        <is>
          <t>SALA ELÉCTRICA 3</t>
        </is>
      </c>
      <c r="H80" s="12" t="inlineStr">
        <is>
          <t>CONTROL</t>
        </is>
      </c>
    </row>
    <row r="81">
      <c r="A81" s="13" t="inlineStr">
        <is>
          <t>102-PC-102</t>
        </is>
      </c>
      <c r="B81" s="13" t="inlineStr">
        <is>
          <t>TABLEROS DE DISTRIBUCIÓN PROTECCIÓN CATODICA 0</t>
        </is>
      </c>
      <c r="C81" s="13" t="inlineStr">
        <is>
          <t>380</t>
        </is>
      </c>
      <c r="D81" s="13" t="inlineStr">
        <is>
          <t>102-CCM-007</t>
        </is>
      </c>
      <c r="E81" s="13" t="inlineStr">
        <is>
          <t>3x25/16</t>
        </is>
      </c>
      <c r="F81" s="13" t="inlineStr">
        <is>
          <t>150</t>
        </is>
      </c>
      <c r="G81" s="13" t="inlineStr">
        <is>
          <t>SALA ELÉCTRICA 3</t>
        </is>
      </c>
      <c r="H81" s="13" t="inlineStr">
        <is>
          <t>CONTROL</t>
        </is>
      </c>
    </row>
    <row r="82">
      <c r="A82" s="12" t="inlineStr">
        <is>
          <t>102-PMS-001-A</t>
        </is>
      </c>
      <c r="B82" s="12" t="inlineStr"/>
      <c r="C82" s="12" t="inlineStr">
        <is>
          <t>220</t>
        </is>
      </c>
      <c r="D82" s="12" t="inlineStr">
        <is>
          <t>102-DP-001UPS-A</t>
        </is>
      </c>
      <c r="E82" s="12" t="inlineStr">
        <is>
          <t>2x4</t>
        </is>
      </c>
      <c r="F82" s="12" t="inlineStr">
        <is>
          <t>20</t>
        </is>
      </c>
      <c r="G82" s="12" t="inlineStr">
        <is>
          <t>SALA ELÉCTRICA 3</t>
        </is>
      </c>
      <c r="H82" s="12" t="inlineStr">
        <is>
          <t>CONTROL</t>
        </is>
      </c>
    </row>
    <row r="83">
      <c r="A83" s="13" t="inlineStr">
        <is>
          <t>102-PMS-001-B</t>
        </is>
      </c>
      <c r="B83" s="13" t="inlineStr"/>
      <c r="C83" s="13" t="inlineStr">
        <is>
          <t>220</t>
        </is>
      </c>
      <c r="D83" s="13" t="inlineStr">
        <is>
          <t>102-DP-001UPS-B</t>
        </is>
      </c>
      <c r="E83" s="13" t="inlineStr">
        <is>
          <t>2x4</t>
        </is>
      </c>
      <c r="F83" s="13" t="inlineStr">
        <is>
          <t>20</t>
        </is>
      </c>
      <c r="G83" s="13" t="inlineStr">
        <is>
          <t>SALA ELÉCTRICA 4</t>
        </is>
      </c>
      <c r="H83" s="13" t="inlineStr">
        <is>
          <t>CONTROL</t>
        </is>
      </c>
    </row>
    <row r="84">
      <c r="A84" s="12" t="inlineStr">
        <is>
          <t>102-PMS-101-A</t>
        </is>
      </c>
      <c r="B84" s="12" t="inlineStr"/>
      <c r="C84" s="12" t="inlineStr">
        <is>
          <t>220</t>
        </is>
      </c>
      <c r="D84" s="12" t="inlineStr">
        <is>
          <t>102-DP-101UPS-A</t>
        </is>
      </c>
      <c r="E84" s="12" t="inlineStr">
        <is>
          <t>2x4</t>
        </is>
      </c>
      <c r="F84" s="12" t="inlineStr">
        <is>
          <t>60</t>
        </is>
      </c>
      <c r="G84" s="12" t="inlineStr">
        <is>
          <t>SALA ELÉCTRICA 4</t>
        </is>
      </c>
      <c r="H84" s="12" t="inlineStr">
        <is>
          <t>CONTROL</t>
        </is>
      </c>
    </row>
    <row r="85">
      <c r="A85" s="13" t="inlineStr">
        <is>
          <t>102-PMS-101-B</t>
        </is>
      </c>
      <c r="B85" s="13" t="inlineStr"/>
      <c r="C85" s="13" t="inlineStr">
        <is>
          <t>220</t>
        </is>
      </c>
      <c r="D85" s="13" t="inlineStr">
        <is>
          <t>102-DP-101UPS-B</t>
        </is>
      </c>
      <c r="E85" s="13" t="inlineStr">
        <is>
          <t>2x4</t>
        </is>
      </c>
      <c r="F85" s="13" t="inlineStr">
        <is>
          <t>20</t>
        </is>
      </c>
      <c r="G85" s="13" t="inlineStr">
        <is>
          <t>SALA ELÉCTRICA 4</t>
        </is>
      </c>
      <c r="H85" s="13" t="inlineStr">
        <is>
          <t>CONTROL</t>
        </is>
      </c>
    </row>
    <row r="86">
      <c r="A86" s="12" t="inlineStr">
        <is>
          <t>102-TGMT-001A</t>
        </is>
      </c>
      <c r="B86" s="12" t="inlineStr">
        <is>
          <t>0</t>
        </is>
      </c>
      <c r="C86" s="12" t="inlineStr">
        <is>
          <t>13200</t>
        </is>
      </c>
      <c r="D86" s="12" t="inlineStr">
        <is>
          <t>670-TGMT-001-K01</t>
        </is>
      </c>
      <c r="E86" s="12" t="inlineStr">
        <is>
          <t>3x95</t>
        </is>
      </c>
      <c r="F86" s="12" t="inlineStr">
        <is>
          <t>350</t>
        </is>
      </c>
      <c r="G86" s="12" t="inlineStr">
        <is>
          <t>SALA ELÉCTRICA 4</t>
        </is>
      </c>
      <c r="H86" s="12" t="inlineStr">
        <is>
          <t>SSAA</t>
        </is>
      </c>
    </row>
    <row r="87">
      <c r="A87" s="13" t="inlineStr">
        <is>
          <t>102-TGMT-001B</t>
        </is>
      </c>
      <c r="B87" s="13" t="inlineStr">
        <is>
          <t>0</t>
        </is>
      </c>
      <c r="C87" s="13" t="inlineStr">
        <is>
          <t>13200</t>
        </is>
      </c>
      <c r="D87" s="13" t="inlineStr">
        <is>
          <t>670-TGMT-001-K14</t>
        </is>
      </c>
      <c r="E87" s="13" t="inlineStr">
        <is>
          <t>3x95</t>
        </is>
      </c>
      <c r="F87" s="13" t="inlineStr">
        <is>
          <t>350</t>
        </is>
      </c>
      <c r="G87" s="13" t="inlineStr">
        <is>
          <t>SALA ELÉCTRICA 4</t>
        </is>
      </c>
      <c r="H87" s="13" t="inlineStr">
        <is>
          <t>SSAA</t>
        </is>
      </c>
    </row>
    <row r="88">
      <c r="A88" s="12" t="inlineStr">
        <is>
          <t>102-TGMT-002A</t>
        </is>
      </c>
      <c r="B88" s="12" t="inlineStr">
        <is>
          <t>TRANSFORMADOR BOMBAS DE CONDENSADO 0</t>
        </is>
      </c>
      <c r="C88" s="12" t="inlineStr">
        <is>
          <t>6600</t>
        </is>
      </c>
      <c r="D88" s="12" t="inlineStr">
        <is>
          <t>102-TRMT-001A</t>
        </is>
      </c>
      <c r="E88" s="12" t="inlineStr">
        <is>
          <t>3x95</t>
        </is>
      </c>
      <c r="F88" s="12" t="inlineStr">
        <is>
          <t>15</t>
        </is>
      </c>
      <c r="G88" s="12" t="inlineStr">
        <is>
          <t>SALA ELÉCTRICA 4</t>
        </is>
      </c>
      <c r="H88" s="12" t="inlineStr">
        <is>
          <t>SSAA</t>
        </is>
      </c>
    </row>
    <row r="89">
      <c r="A89" s="13" t="inlineStr">
        <is>
          <t>102-TGMT-002B</t>
        </is>
      </c>
      <c r="B89" s="13" t="inlineStr">
        <is>
          <t>TRANSFORMADOR BOMBAS DE CONDENSADO 0</t>
        </is>
      </c>
      <c r="C89" s="13" t="inlineStr">
        <is>
          <t>6600</t>
        </is>
      </c>
      <c r="D89" s="13" t="inlineStr">
        <is>
          <t>102-TRMT-001B</t>
        </is>
      </c>
      <c r="E89" s="13" t="inlineStr">
        <is>
          <t>3x95</t>
        </is>
      </c>
      <c r="F89" s="13" t="inlineStr">
        <is>
          <t>15</t>
        </is>
      </c>
      <c r="G89" s="13" t="inlineStr">
        <is>
          <t>SALA ELÉCTRICA 4</t>
        </is>
      </c>
      <c r="H89" s="13" t="inlineStr">
        <is>
          <t>SSAA</t>
        </is>
      </c>
    </row>
    <row r="90">
      <c r="A90" s="12" t="inlineStr">
        <is>
          <t>102-TM-001-1</t>
        </is>
      </c>
      <c r="B90" s="12" t="inlineStr"/>
      <c r="C90" s="12" t="inlineStr">
        <is>
          <t>380</t>
        </is>
      </c>
      <c r="D90" s="12" t="inlineStr">
        <is>
          <t>102-LP-001</t>
        </is>
      </c>
      <c r="E90" s="12" t="inlineStr">
        <is>
          <t>4x25/16</t>
        </is>
      </c>
      <c r="F90" s="12" t="inlineStr">
        <is>
          <t>150</t>
        </is>
      </c>
      <c r="G90" s="12" t="inlineStr">
        <is>
          <t>Iluminación ext. normal- Área KOD</t>
        </is>
      </c>
      <c r="H90" s="12" t="inlineStr">
        <is>
          <t>SSAA</t>
        </is>
      </c>
    </row>
    <row r="91">
      <c r="A91" s="13" t="inlineStr">
        <is>
          <t>102-TM-001-2</t>
        </is>
      </c>
      <c r="B91" s="13" t="inlineStr"/>
      <c r="C91" s="13" t="inlineStr">
        <is>
          <t>380</t>
        </is>
      </c>
      <c r="D91" s="13" t="inlineStr">
        <is>
          <t>102-TM-001-1</t>
        </is>
      </c>
      <c r="E91" s="13" t="inlineStr">
        <is>
          <t>4x25/16</t>
        </is>
      </c>
      <c r="F91" s="13" t="inlineStr">
        <is>
          <t>50</t>
        </is>
      </c>
      <c r="G91" s="13" t="inlineStr">
        <is>
          <t>Tomacorrientes - Área PTA</t>
        </is>
      </c>
      <c r="H91" s="13" t="inlineStr">
        <is>
          <t>SSAA</t>
        </is>
      </c>
    </row>
    <row r="92">
      <c r="A92" s="12" t="inlineStr">
        <is>
          <t>102-TM-002-1</t>
        </is>
      </c>
      <c r="B92" s="12" t="inlineStr">
        <is>
          <t>Tomacorrientes - Áreas Unidad Trat de Condensado 260  y Efluentes A</t>
        </is>
      </c>
      <c r="C92" s="12" t="inlineStr">
        <is>
          <t>380</t>
        </is>
      </c>
      <c r="D92" s="12" t="inlineStr">
        <is>
          <t>102-LP-001</t>
        </is>
      </c>
      <c r="E92" s="12" t="inlineStr">
        <is>
          <t>4x25/16</t>
        </is>
      </c>
      <c r="F92" s="12" t="inlineStr">
        <is>
          <t>150</t>
        </is>
      </c>
      <c r="G92" s="12" t="inlineStr">
        <is>
          <t>Tomacorrientes - Área PTA</t>
        </is>
      </c>
      <c r="H92" s="12" t="inlineStr">
        <is>
          <t>SSAA</t>
        </is>
      </c>
    </row>
    <row r="93">
      <c r="A93" s="13" t="inlineStr">
        <is>
          <t>102-TM-002-2</t>
        </is>
      </c>
      <c r="B93" s="13" t="inlineStr">
        <is>
          <t>Tomacorrientes - Áreas Unidad Trat de Condensado 260  y Efluentes A</t>
        </is>
      </c>
      <c r="C93" s="13" t="inlineStr">
        <is>
          <t>380</t>
        </is>
      </c>
      <c r="D93" s="13" t="inlineStr">
        <is>
          <t>102-TM-002-1</t>
        </is>
      </c>
      <c r="E93" s="13" t="inlineStr">
        <is>
          <t>4x25/16</t>
        </is>
      </c>
      <c r="F93" s="13" t="inlineStr">
        <is>
          <t>50</t>
        </is>
      </c>
      <c r="G93" s="13" t="inlineStr">
        <is>
          <t>Tomacorrientes - Área PTA</t>
        </is>
      </c>
      <c r="H93" s="13" t="inlineStr">
        <is>
          <t>SSAA</t>
        </is>
      </c>
    </row>
    <row r="94">
      <c r="A94" s="12" t="inlineStr">
        <is>
          <t>102-TM-003-1</t>
        </is>
      </c>
      <c r="B94" s="12" t="inlineStr"/>
      <c r="C94" s="12" t="inlineStr">
        <is>
          <t>380</t>
        </is>
      </c>
      <c r="D94" s="12" t="inlineStr">
        <is>
          <t>102-LP-001</t>
        </is>
      </c>
      <c r="E94" s="12" t="inlineStr">
        <is>
          <t>4x25/16</t>
        </is>
      </c>
      <c r="F94" s="12" t="inlineStr">
        <is>
          <t>150</t>
        </is>
      </c>
      <c r="G94" s="12" t="inlineStr">
        <is>
          <t>Tomacorrientes - Área PTA</t>
        </is>
      </c>
      <c r="H94" s="12" t="inlineStr">
        <is>
          <t>SSAA</t>
        </is>
      </c>
    </row>
    <row r="95">
      <c r="A95" s="13" t="inlineStr">
        <is>
          <t>102-TM-003-2</t>
        </is>
      </c>
      <c r="B95" s="13" t="inlineStr"/>
      <c r="C95" s="13" t="inlineStr">
        <is>
          <t>380</t>
        </is>
      </c>
      <c r="D95" s="13" t="inlineStr">
        <is>
          <t>102-TM-003-1</t>
        </is>
      </c>
      <c r="E95" s="13" t="inlineStr">
        <is>
          <t>4x25/16</t>
        </is>
      </c>
      <c r="F95" s="13" t="inlineStr">
        <is>
          <t>50</t>
        </is>
      </c>
      <c r="G95" s="13" t="inlineStr">
        <is>
          <t>Tomacorrientes - Área 942 HOT OIL</t>
        </is>
      </c>
      <c r="H95" s="13" t="inlineStr">
        <is>
          <t>SSAA</t>
        </is>
      </c>
    </row>
    <row r="96">
      <c r="A96" s="12" t="inlineStr">
        <is>
          <t>102-TM-004-1</t>
        </is>
      </c>
      <c r="B96" s="12" t="inlineStr">
        <is>
          <t>Tomacorrientes - Áreas Unidad Proc de Gas 140 y Skid Gas Comb A</t>
        </is>
      </c>
      <c r="C96" s="12" t="inlineStr">
        <is>
          <t>380</t>
        </is>
      </c>
      <c r="D96" s="12" t="inlineStr">
        <is>
          <t>102-LP-001</t>
        </is>
      </c>
      <c r="E96" s="12" t="inlineStr">
        <is>
          <t>4x25/16</t>
        </is>
      </c>
      <c r="F96" s="12" t="inlineStr">
        <is>
          <t>150</t>
        </is>
      </c>
      <c r="G96" s="12" t="inlineStr">
        <is>
          <t>Tomacorrientes - Área 942 HOT OIL</t>
        </is>
      </c>
      <c r="H96" s="12" t="inlineStr">
        <is>
          <t>SSAA</t>
        </is>
      </c>
    </row>
    <row r="97">
      <c r="A97" s="13" t="inlineStr">
        <is>
          <t>102-TM-004-2</t>
        </is>
      </c>
      <c r="B97" s="13" t="inlineStr">
        <is>
          <t>Tomacorrientes - Áreas Unidad Proc de Gas 140 y Skid Gas Comb A</t>
        </is>
      </c>
      <c r="C97" s="13" t="inlineStr">
        <is>
          <t>380</t>
        </is>
      </c>
      <c r="D97" s="13" t="inlineStr">
        <is>
          <t>102-TM-004-1</t>
        </is>
      </c>
      <c r="E97" s="13" t="inlineStr">
        <is>
          <t>4x25/16</t>
        </is>
      </c>
      <c r="F97" s="13" t="inlineStr">
        <is>
          <t>50</t>
        </is>
      </c>
      <c r="G97" s="13" t="inlineStr">
        <is>
          <t>Tomacorrientes - Área 942 HOT OIL</t>
        </is>
      </c>
      <c r="H97" s="13" t="inlineStr">
        <is>
          <t>SSAA</t>
        </is>
      </c>
    </row>
    <row r="98">
      <c r="A98" s="12" t="inlineStr">
        <is>
          <t>102-TM-005-1</t>
        </is>
      </c>
      <c r="B98" s="12" t="inlineStr">
        <is>
          <t>Tomacorrientes - Áreas Compresores 291/292/293 y Serv. Comp A</t>
        </is>
      </c>
      <c r="C98" s="12" t="inlineStr">
        <is>
          <t>380</t>
        </is>
      </c>
      <c r="D98" s="12" t="inlineStr">
        <is>
          <t>102-LP-001</t>
        </is>
      </c>
      <c r="E98" s="12" t="inlineStr">
        <is>
          <t>4x25/16</t>
        </is>
      </c>
      <c r="F98" s="12" t="inlineStr">
        <is>
          <t>150</t>
        </is>
      </c>
      <c r="G98" s="12" t="inlineStr">
        <is>
          <t>Tomacorrientes - Área 942 HOT OIL</t>
        </is>
      </c>
      <c r="H98" s="12" t="inlineStr">
        <is>
          <t>MOTOR_BT</t>
        </is>
      </c>
    </row>
    <row r="99">
      <c r="A99" s="13" t="inlineStr">
        <is>
          <t>102-TM-005-2</t>
        </is>
      </c>
      <c r="B99" s="13" t="inlineStr">
        <is>
          <t>Tomacorrientes - Áreas Compresores 291/292/293 y Serv. Comp A</t>
        </is>
      </c>
      <c r="C99" s="13" t="inlineStr">
        <is>
          <t>380</t>
        </is>
      </c>
      <c r="D99" s="13" t="inlineStr">
        <is>
          <t>102-TM-005-1</t>
        </is>
      </c>
      <c r="E99" s="13" t="inlineStr">
        <is>
          <t>4x25/16</t>
        </is>
      </c>
      <c r="F99" s="13" t="inlineStr">
        <is>
          <t>50</t>
        </is>
      </c>
      <c r="G99" s="13" t="inlineStr">
        <is>
          <t>Tomacorrientes - Área 942 HOT OIL</t>
        </is>
      </c>
      <c r="H99" s="13" t="inlineStr">
        <is>
          <t>MOTOR_BT</t>
        </is>
      </c>
    </row>
    <row r="100">
      <c r="A100" s="12" t="inlineStr">
        <is>
          <t>102-TM-006-1</t>
        </is>
      </c>
      <c r="B100" s="12" t="inlineStr">
        <is>
          <t>Tomacorrientes - Salas Elect 3 /4 y Shelter INS007 A</t>
        </is>
      </c>
      <c r="C100" s="12" t="inlineStr">
        <is>
          <t>380</t>
        </is>
      </c>
      <c r="D100" s="12" t="inlineStr">
        <is>
          <t>102-LP-001</t>
        </is>
      </c>
      <c r="E100" s="12" t="inlineStr">
        <is>
          <t>4x25/16</t>
        </is>
      </c>
      <c r="F100" s="12" t="inlineStr">
        <is>
          <t>150</t>
        </is>
      </c>
      <c r="G100" s="12" t="inlineStr">
        <is>
          <t>Tomacorrientes - Área 942 HOT OIL</t>
        </is>
      </c>
      <c r="H100" s="12" t="inlineStr">
        <is>
          <t>SSAA</t>
        </is>
      </c>
    </row>
    <row r="101">
      <c r="A101" s="13" t="inlineStr">
        <is>
          <t>102-TM-006-2</t>
        </is>
      </c>
      <c r="B101" s="13" t="inlineStr">
        <is>
          <t>Tomacorrientes - Salas Elect 3 /4 y Shelter INS007 102-LP-002 (EMERGENCIA\</t>
        </is>
      </c>
      <c r="C101" s="13" t="inlineStr">
        <is>
          <t>380</t>
        </is>
      </c>
      <c r="D101" s="13" t="inlineStr">
        <is>
          <t>102-TM-006-1</t>
        </is>
      </c>
      <c r="E101" s="13" t="inlineStr">
        <is>
          <t>4x25/16</t>
        </is>
      </c>
      <c r="F101" s="13" t="inlineStr">
        <is>
          <t>50</t>
        </is>
      </c>
      <c r="G101" s="13" t="inlineStr">
        <is>
          <t>Tomacorrientes - Área 942 HOT OIL</t>
        </is>
      </c>
      <c r="H101" s="13" t="inlineStr">
        <is>
          <t>SSAA</t>
        </is>
      </c>
    </row>
    <row r="102">
      <c r="A102" s="12" t="inlineStr">
        <is>
          <t>102-TR-005A</t>
        </is>
      </c>
      <c r="B102" s="12" t="inlineStr">
        <is>
          <t>0</t>
        </is>
      </c>
      <c r="C102" s="12" t="inlineStr">
        <is>
          <t>13200</t>
        </is>
      </c>
      <c r="D102" s="12" t="inlineStr">
        <is>
          <t>102-TGMT-001-K05</t>
        </is>
      </c>
      <c r="E102" s="12" t="inlineStr">
        <is>
          <t>3x95</t>
        </is>
      </c>
      <c r="F102" s="12" t="inlineStr">
        <is>
          <t>40</t>
        </is>
      </c>
      <c r="G102" s="12" t="inlineStr">
        <is>
          <t>SALA ELÉCTRICA 4</t>
        </is>
      </c>
      <c r="H102" s="12" t="inlineStr">
        <is>
          <t>CONTROL</t>
        </is>
      </c>
    </row>
    <row r="103">
      <c r="A103" s="13" t="inlineStr">
        <is>
          <t>102-TR-005B</t>
        </is>
      </c>
      <c r="B103" s="13" t="inlineStr">
        <is>
          <t>102-TGMT-002 0</t>
        </is>
      </c>
      <c r="C103" s="13" t="inlineStr">
        <is>
          <t>13200</t>
        </is>
      </c>
      <c r="D103" s="13" t="inlineStr">
        <is>
          <t>102-TGMT-001-K14</t>
        </is>
      </c>
      <c r="E103" s="13" t="inlineStr">
        <is>
          <t>3x95</t>
        </is>
      </c>
      <c r="F103" s="13" t="inlineStr">
        <is>
          <t>40</t>
        </is>
      </c>
      <c r="G103" s="13" t="inlineStr">
        <is>
          <t>SALA ELÉCTRICA 4</t>
        </is>
      </c>
      <c r="H103" s="13" t="inlineStr">
        <is>
          <t>CONTROL</t>
        </is>
      </c>
    </row>
    <row r="104">
      <c r="A104" s="12" t="inlineStr">
        <is>
          <t>102-TR-006A</t>
        </is>
      </c>
      <c r="B104" s="12" t="inlineStr">
        <is>
          <t>0</t>
        </is>
      </c>
      <c r="C104" s="12" t="inlineStr">
        <is>
          <t>13200</t>
        </is>
      </c>
      <c r="D104" s="12" t="inlineStr">
        <is>
          <t>102-TGMT-001-K04</t>
        </is>
      </c>
      <c r="E104" s="12" t="inlineStr">
        <is>
          <t>3x95</t>
        </is>
      </c>
      <c r="F104" s="12" t="inlineStr">
        <is>
          <t>40</t>
        </is>
      </c>
      <c r="G104" s="12" t="inlineStr">
        <is>
          <t>SALA ELÉCTRICA 4</t>
        </is>
      </c>
      <c r="H104" s="12" t="inlineStr">
        <is>
          <t>CONTROL</t>
        </is>
      </c>
    </row>
    <row r="105">
      <c r="A105" s="13" t="inlineStr">
        <is>
          <t>102-TR-006B</t>
        </is>
      </c>
      <c r="B105" s="13" t="inlineStr">
        <is>
          <t>0</t>
        </is>
      </c>
      <c r="C105" s="13" t="inlineStr">
        <is>
          <t>13200</t>
        </is>
      </c>
      <c r="D105" s="13" t="inlineStr">
        <is>
          <t>102-TGMT-001-K13</t>
        </is>
      </c>
      <c r="E105" s="13" t="inlineStr">
        <is>
          <t>3x95</t>
        </is>
      </c>
      <c r="F105" s="13" t="inlineStr">
        <is>
          <t>40</t>
        </is>
      </c>
      <c r="G105" s="13" t="inlineStr">
        <is>
          <t>SALA ELÉCTRICA 4</t>
        </is>
      </c>
      <c r="H105" s="13" t="inlineStr">
        <is>
          <t>CONTROL</t>
        </is>
      </c>
    </row>
    <row r="106">
      <c r="A106" s="12" t="inlineStr">
        <is>
          <t>102-TR-007A</t>
        </is>
      </c>
      <c r="B106" s="12" t="inlineStr">
        <is>
          <t>0</t>
        </is>
      </c>
      <c r="C106" s="12" t="inlineStr">
        <is>
          <t>13200</t>
        </is>
      </c>
      <c r="D106" s="12" t="inlineStr">
        <is>
          <t>102-TGMT-001-K03</t>
        </is>
      </c>
      <c r="E106" s="12" t="inlineStr">
        <is>
          <t>3x95</t>
        </is>
      </c>
      <c r="F106" s="12" t="inlineStr">
        <is>
          <t>40</t>
        </is>
      </c>
      <c r="G106" s="12" t="inlineStr">
        <is>
          <t>SALA ELÉCTRICA 4</t>
        </is>
      </c>
      <c r="H106" s="12" t="inlineStr">
        <is>
          <t>CONTROL</t>
        </is>
      </c>
    </row>
    <row r="107">
      <c r="A107" s="13" t="inlineStr">
        <is>
          <t>102-TR-007B</t>
        </is>
      </c>
      <c r="B107" s="13" t="inlineStr">
        <is>
          <t>0</t>
        </is>
      </c>
      <c r="C107" s="13" t="inlineStr">
        <is>
          <t>13200</t>
        </is>
      </c>
      <c r="D107" s="13" t="inlineStr">
        <is>
          <t>102-TGMT-001-K12</t>
        </is>
      </c>
      <c r="E107" s="13" t="inlineStr">
        <is>
          <t>3x95</t>
        </is>
      </c>
      <c r="F107" s="13" t="inlineStr">
        <is>
          <t>40</t>
        </is>
      </c>
      <c r="G107" s="13" t="inlineStr">
        <is>
          <t>SALA ELÉCTRICA 4</t>
        </is>
      </c>
      <c r="H107" s="13" t="inlineStr">
        <is>
          <t>CONTROL</t>
        </is>
      </c>
    </row>
    <row r="108">
      <c r="A108" s="12" t="inlineStr">
        <is>
          <t>102-TR-24210 A</t>
        </is>
      </c>
      <c r="B108" s="12" t="inlineStr">
        <is>
          <t>BOMBA DE INYECCION DE AGUA 0</t>
        </is>
      </c>
      <c r="C108" s="12" t="inlineStr">
        <is>
          <t>380</t>
        </is>
      </c>
      <c r="D108" s="12" t="inlineStr">
        <is>
          <t>102-CCM-007</t>
        </is>
      </c>
      <c r="E108" s="12" t="inlineStr">
        <is>
          <t>3x240</t>
        </is>
      </c>
      <c r="F108" s="12" t="inlineStr">
        <is>
          <t>20</t>
        </is>
      </c>
      <c r="G108" s="12" t="inlineStr">
        <is>
          <t>SALA ELÉCTRICA 3</t>
        </is>
      </c>
      <c r="H108" s="12" t="inlineStr">
        <is>
          <t>MOTOR_BT</t>
        </is>
      </c>
    </row>
    <row r="109">
      <c r="A109" s="13" t="inlineStr">
        <is>
          <t>102-TR-24210 B</t>
        </is>
      </c>
      <c r="B109" s="13" t="inlineStr">
        <is>
          <t>BOMBA DE INYECCION DE AGUA 0</t>
        </is>
      </c>
      <c r="C109" s="13" t="inlineStr">
        <is>
          <t>380</t>
        </is>
      </c>
      <c r="D109" s="13" t="inlineStr">
        <is>
          <t>102-CCM-007</t>
        </is>
      </c>
      <c r="E109" s="13" t="inlineStr">
        <is>
          <t>3x240</t>
        </is>
      </c>
      <c r="F109" s="13" t="inlineStr">
        <is>
          <t>20</t>
        </is>
      </c>
      <c r="G109" s="13" t="inlineStr">
        <is>
          <t>SALA ELÉCTRICA 3</t>
        </is>
      </c>
      <c r="H109" s="13" t="inlineStr">
        <is>
          <t>MOTOR_BT</t>
        </is>
      </c>
    </row>
    <row r="110">
      <c r="A110" s="12" t="inlineStr">
        <is>
          <t>102-TR-24210 C</t>
        </is>
      </c>
      <c r="B110" s="12" t="inlineStr">
        <is>
          <t>BOMBA DE INYECCION DE AGUA 0</t>
        </is>
      </c>
      <c r="C110" s="12" t="inlineStr">
        <is>
          <t>380</t>
        </is>
      </c>
      <c r="D110" s="12" t="inlineStr">
        <is>
          <t>102-CCM-007</t>
        </is>
      </c>
      <c r="E110" s="12" t="inlineStr">
        <is>
          <t>3x240</t>
        </is>
      </c>
      <c r="F110" s="12" t="inlineStr">
        <is>
          <t>20</t>
        </is>
      </c>
      <c r="G110" s="12" t="inlineStr">
        <is>
          <t>SALA ELÉCTRICA 3</t>
        </is>
      </c>
      <c r="H110" s="12" t="inlineStr">
        <is>
          <t>MOTOR_BT</t>
        </is>
      </c>
    </row>
    <row r="111">
      <c r="A111" s="13" t="inlineStr">
        <is>
          <t>102-TRMT-001A</t>
        </is>
      </c>
      <c r="B111" s="13" t="inlineStr">
        <is>
          <t>0</t>
        </is>
      </c>
      <c r="C111" s="13" t="inlineStr">
        <is>
          <t>13200</t>
        </is>
      </c>
      <c r="D111" s="13" t="inlineStr">
        <is>
          <t>102-TGMT-001-K02</t>
        </is>
      </c>
      <c r="E111" s="13" t="inlineStr">
        <is>
          <t>3x95</t>
        </is>
      </c>
      <c r="F111" s="13" t="inlineStr">
        <is>
          <t>15</t>
        </is>
      </c>
      <c r="G111" s="13" t="inlineStr">
        <is>
          <t>SALA ELÉCTRICA 4</t>
        </is>
      </c>
      <c r="H111" s="13" t="inlineStr">
        <is>
          <t>CONTROL</t>
        </is>
      </c>
    </row>
    <row r="112">
      <c r="A112" s="12" t="inlineStr">
        <is>
          <t>102-TRMT-001B</t>
        </is>
      </c>
      <c r="B112" s="12" t="inlineStr">
        <is>
          <t>0</t>
        </is>
      </c>
      <c r="C112" s="12" t="inlineStr">
        <is>
          <t>13200</t>
        </is>
      </c>
      <c r="D112" s="12" t="inlineStr">
        <is>
          <t>102-TGMT-001-K11</t>
        </is>
      </c>
      <c r="E112" s="12" t="inlineStr">
        <is>
          <t>3x95</t>
        </is>
      </c>
      <c r="F112" s="12" t="inlineStr">
        <is>
          <t>15</t>
        </is>
      </c>
      <c r="G112" s="12" t="inlineStr">
        <is>
          <t>SALA ELÉCTRICA 4</t>
        </is>
      </c>
      <c r="H112" s="12" t="inlineStr">
        <is>
          <t>CONTROL</t>
        </is>
      </c>
    </row>
    <row r="113">
      <c r="A113" s="13" t="inlineStr">
        <is>
          <t>102-UPS-001-A</t>
        </is>
      </c>
      <c r="B113" s="13" t="inlineStr"/>
      <c r="C113" s="13" t="inlineStr">
        <is>
          <t>380</t>
        </is>
      </c>
      <c r="D113" s="13" t="inlineStr">
        <is>
          <t>102-CCM-006</t>
        </is>
      </c>
      <c r="E113" s="13" t="inlineStr">
        <is>
          <t>3x150</t>
        </is>
      </c>
      <c r="F113" s="13" t="inlineStr">
        <is>
          <t>20</t>
        </is>
      </c>
      <c r="G113" s="13" t="inlineStr">
        <is>
          <t>SALA ELÉCTRICA 4</t>
        </is>
      </c>
      <c r="H113" s="13" t="inlineStr">
        <is>
          <t>SSAA</t>
        </is>
      </c>
    </row>
    <row r="114">
      <c r="A114" s="12" t="inlineStr">
        <is>
          <t>102-UPS-001-B</t>
        </is>
      </c>
      <c r="B114" s="12" t="inlineStr"/>
      <c r="C114" s="12" t="inlineStr">
        <is>
          <t>380</t>
        </is>
      </c>
      <c r="D114" s="12" t="inlineStr">
        <is>
          <t>102-CCM-006</t>
        </is>
      </c>
      <c r="E114" s="12" t="inlineStr">
        <is>
          <t>3x150</t>
        </is>
      </c>
      <c r="F114" s="12" t="inlineStr">
        <is>
          <t>20</t>
        </is>
      </c>
      <c r="G114" s="12" t="inlineStr">
        <is>
          <t>SALA ELÉCTRICA 3</t>
        </is>
      </c>
      <c r="H114" s="12" t="inlineStr">
        <is>
          <t>SSAA</t>
        </is>
      </c>
    </row>
    <row r="115">
      <c r="A115" s="13" t="inlineStr">
        <is>
          <t>102-VCC-001-A</t>
        </is>
      </c>
      <c r="B115" s="13" t="inlineStr"/>
      <c r="C115" s="13" t="inlineStr">
        <is>
          <t>380</t>
        </is>
      </c>
      <c r="D115" s="13" t="inlineStr">
        <is>
          <t>102-CCM-006</t>
        </is>
      </c>
      <c r="E115" s="13" t="inlineStr">
        <is>
          <t>3x150</t>
        </is>
      </c>
      <c r="F115" s="13" t="inlineStr">
        <is>
          <t>20</t>
        </is>
      </c>
      <c r="G115" s="13" t="inlineStr">
        <is>
          <t>SALA ELÉCTRICA 3</t>
        </is>
      </c>
      <c r="H115" s="13" t="inlineStr">
        <is>
          <t>SSAA</t>
        </is>
      </c>
    </row>
    <row r="116">
      <c r="A116" s="12" t="inlineStr">
        <is>
          <t>102-VCC-001-B</t>
        </is>
      </c>
      <c r="B116" s="12" t="inlineStr"/>
      <c r="C116" s="12" t="inlineStr">
        <is>
          <t>380</t>
        </is>
      </c>
      <c r="D116" s="12" t="inlineStr">
        <is>
          <t>102-CCM-006</t>
        </is>
      </c>
      <c r="E116" s="12" t="inlineStr">
        <is>
          <t>3x150</t>
        </is>
      </c>
      <c r="F116" s="12" t="inlineStr">
        <is>
          <t>20</t>
        </is>
      </c>
      <c r="G116" s="12" t="inlineStr">
        <is>
          <t>SALA ELÉCTRICA 3</t>
        </is>
      </c>
      <c r="H116" s="12" t="inlineStr">
        <is>
          <t>SSAA</t>
        </is>
      </c>
    </row>
    <row r="117">
      <c r="A117" s="13" t="inlineStr">
        <is>
          <t>AIT-10279</t>
        </is>
      </c>
      <c r="B117" s="13" t="inlineStr">
        <is>
          <t>Analizador de presión de vapor 0</t>
        </is>
      </c>
      <c r="C117" s="13" t="inlineStr">
        <is>
          <t>220</t>
        </is>
      </c>
      <c r="D117" s="13" t="inlineStr">
        <is>
          <t>102-DP-471</t>
        </is>
      </c>
      <c r="E117" s="13" t="inlineStr">
        <is>
          <t>2x4</t>
        </is>
      </c>
      <c r="F117" s="13" t="inlineStr">
        <is>
          <t>200</t>
        </is>
      </c>
      <c r="G117" s="13" t="inlineStr">
        <is>
          <t>Iluminación ext. emergencia - Área KOD</t>
        </is>
      </c>
      <c r="H117" s="13" t="inlineStr">
        <is>
          <t>INSTRUMENTO</t>
        </is>
      </c>
    </row>
    <row r="118">
      <c r="A118" s="12" t="inlineStr">
        <is>
          <t>AIT-23310</t>
        </is>
      </c>
      <c r="B118" s="12" t="inlineStr">
        <is>
          <t>Analizador de presión de vapor 0</t>
        </is>
      </c>
      <c r="C118" s="12" t="inlineStr">
        <is>
          <t>220</t>
        </is>
      </c>
      <c r="D118" s="12" t="inlineStr">
        <is>
          <t>102-DP-471</t>
        </is>
      </c>
      <c r="E118" s="12" t="inlineStr">
        <is>
          <t>2x4</t>
        </is>
      </c>
      <c r="F118" s="12" t="inlineStr">
        <is>
          <t>300</t>
        </is>
      </c>
      <c r="G118" s="12" t="inlineStr">
        <is>
          <t>Iluminación ext. emergencia - Área KOD</t>
        </is>
      </c>
      <c r="H118" s="12" t="inlineStr">
        <is>
          <t>INSTRUMENTO</t>
        </is>
      </c>
    </row>
    <row r="119">
      <c r="A119" s="13" t="inlineStr">
        <is>
          <t>AIT-26001</t>
        </is>
      </c>
      <c r="B119" s="13" t="inlineStr">
        <is>
          <t>Analizador de presión de vapor 0</t>
        </is>
      </c>
      <c r="C119" s="13" t="inlineStr">
        <is>
          <t>220</t>
        </is>
      </c>
      <c r="D119" s="13" t="inlineStr">
        <is>
          <t>102-DP-471</t>
        </is>
      </c>
      <c r="E119" s="13" t="inlineStr">
        <is>
          <t>2x4</t>
        </is>
      </c>
      <c r="F119" s="13" t="inlineStr">
        <is>
          <t>200</t>
        </is>
      </c>
      <c r="G119" s="13" t="inlineStr">
        <is>
          <t>Iluminación ext. emergencia - Área KOD</t>
        </is>
      </c>
      <c r="H119" s="13" t="inlineStr">
        <is>
          <t>INSTRUMENTO</t>
        </is>
      </c>
    </row>
    <row r="120">
      <c r="A120" s="12" t="inlineStr">
        <is>
          <t>CA-001</t>
        </is>
      </c>
      <c r="B120" s="12" t="inlineStr">
        <is>
          <t>AIRE ACONDICIONADO 1 (A confirmar con Proveedor del Shelter\ 0</t>
        </is>
      </c>
      <c r="C120" s="12" t="inlineStr">
        <is>
          <t>380</t>
        </is>
      </c>
      <c r="D120" s="12" t="inlineStr">
        <is>
          <t>102-DP-472</t>
        </is>
      </c>
      <c r="E120" s="12" t="inlineStr">
        <is>
          <t>4x4</t>
        </is>
      </c>
      <c r="F120" s="12" t="inlineStr">
        <is>
          <t>15</t>
        </is>
      </c>
      <c r="G120" s="12" t="inlineStr">
        <is>
          <t>Sigma Heater Local Control Panel - Área 942</t>
        </is>
      </c>
      <c r="H120" s="12" t="inlineStr">
        <is>
          <t>INSTRUMENTO</t>
        </is>
      </c>
    </row>
    <row r="121">
      <c r="A121" s="13" t="inlineStr">
        <is>
          <t>CA-002</t>
        </is>
      </c>
      <c r="B121" s="13" t="inlineStr">
        <is>
          <t>AIRE ACONDICIONADO 2 (A confirmar con Proveedor del Shelter\ 0</t>
        </is>
      </c>
      <c r="C121" s="13" t="inlineStr">
        <is>
          <t>380</t>
        </is>
      </c>
      <c r="D121" s="13" t="inlineStr">
        <is>
          <t>102-DP-472</t>
        </is>
      </c>
      <c r="E121" s="13" t="inlineStr">
        <is>
          <t>4x4</t>
        </is>
      </c>
      <c r="F121" s="13" t="inlineStr">
        <is>
          <t>15</t>
        </is>
      </c>
      <c r="G121" s="13" t="inlineStr">
        <is>
          <t>Sigma Heater Local Control Panel - Área 942</t>
        </is>
      </c>
      <c r="H121" s="13" t="inlineStr">
        <is>
          <t>INSTRUMENTO</t>
        </is>
      </c>
    </row>
    <row r="122">
      <c r="A122" s="12" t="inlineStr">
        <is>
          <t>CA-003</t>
        </is>
      </c>
      <c r="B122" s="12" t="inlineStr">
        <is>
          <t>SECUENCIADOR (A confirmar con Proveedor del Shelter\ 0</t>
        </is>
      </c>
      <c r="C122" s="12" t="inlineStr">
        <is>
          <t>220</t>
        </is>
      </c>
      <c r="D122" s="12" t="inlineStr">
        <is>
          <t>102-DP-472</t>
        </is>
      </c>
      <c r="E122" s="12" t="inlineStr">
        <is>
          <t>2x4</t>
        </is>
      </c>
      <c r="F122" s="12" t="inlineStr">
        <is>
          <t>15</t>
        </is>
      </c>
      <c r="G122" s="12" t="inlineStr">
        <is>
          <t>Sigma Heater Local Control Panel - Área 942</t>
        </is>
      </c>
      <c r="H122" s="12" t="inlineStr">
        <is>
          <t>INSTRUMENTO</t>
        </is>
      </c>
    </row>
    <row r="123">
      <c r="A123" s="13" t="inlineStr">
        <is>
          <t>CI-001</t>
        </is>
      </c>
      <c r="B123" s="13" t="inlineStr">
        <is>
          <t>ILUMINACIÓN INTERIOR (A confirmar con Proveedor del Shelter\ 0</t>
        </is>
      </c>
      <c r="C123" s="13" t="inlineStr">
        <is>
          <t>220</t>
        </is>
      </c>
      <c r="D123" s="13" t="inlineStr">
        <is>
          <t>102-DP-472</t>
        </is>
      </c>
      <c r="E123" s="13" t="inlineStr">
        <is>
          <t>2x4</t>
        </is>
      </c>
      <c r="F123" s="13" t="inlineStr">
        <is>
          <t>15</t>
        </is>
      </c>
      <c r="G123" s="13" t="inlineStr">
        <is>
          <t>Sigma Heater Local Control Panel - Área 942</t>
        </is>
      </c>
      <c r="H123" s="13" t="inlineStr">
        <is>
          <t>ILUMINACION</t>
        </is>
      </c>
    </row>
    <row r="124">
      <c r="A124" s="12" t="inlineStr">
        <is>
          <t>CIE-001</t>
        </is>
      </c>
      <c r="B124" s="12" t="inlineStr">
        <is>
          <t>ILUMINACIÓN EXTERIOR (A confirmar con Proveedor del Shelter\ 102-DP-473 (24Vcc\</t>
        </is>
      </c>
      <c r="C124" s="12" t="inlineStr">
        <is>
          <t>220</t>
        </is>
      </c>
      <c r="D124" s="12" t="inlineStr">
        <is>
          <t>102-DP-472</t>
        </is>
      </c>
      <c r="E124" s="12" t="inlineStr">
        <is>
          <t>2x4</t>
        </is>
      </c>
      <c r="F124" s="12" t="inlineStr">
        <is>
          <t>15</t>
        </is>
      </c>
      <c r="G124" s="12" t="inlineStr">
        <is>
          <t>Sigma Heater Local Control Panel - Área 942</t>
        </is>
      </c>
      <c r="H124" s="12" t="inlineStr">
        <is>
          <t>ILUMINACION</t>
        </is>
      </c>
    </row>
    <row r="125">
      <c r="A125" s="13" t="inlineStr">
        <is>
          <t>CIN-001</t>
        </is>
      </c>
      <c r="B125" s="13" t="inlineStr">
        <is>
          <t>DETECCIÓN DE INCENDIO (A confirmar con Proveedor del Shelter\ 0</t>
        </is>
      </c>
      <c r="C125" s="13" t="inlineStr">
        <is>
          <t>220</t>
        </is>
      </c>
      <c r="D125" s="13" t="inlineStr">
        <is>
          <t>102-DP-472</t>
        </is>
      </c>
      <c r="E125" s="13" t="inlineStr">
        <is>
          <t>2x4</t>
        </is>
      </c>
      <c r="F125" s="13" t="inlineStr">
        <is>
          <t>15</t>
        </is>
      </c>
      <c r="G125" s="13" t="inlineStr">
        <is>
          <t>Sigma Heater Local Control Panel - Área 942</t>
        </is>
      </c>
      <c r="H125" s="13" t="inlineStr">
        <is>
          <t>INSTRUMENTO</t>
        </is>
      </c>
    </row>
    <row r="126">
      <c r="A126" s="12" t="inlineStr">
        <is>
          <t>CP-29153</t>
        </is>
      </c>
      <c r="B126" s="12" t="inlineStr"/>
      <c r="C126" s="12" t="inlineStr">
        <is>
          <t>220</t>
        </is>
      </c>
      <c r="D126" s="12" t="inlineStr">
        <is>
          <t>102-DP-471</t>
        </is>
      </c>
      <c r="E126" s="12" t="inlineStr">
        <is>
          <t>2x6</t>
        </is>
      </c>
      <c r="F126" s="12" t="inlineStr">
        <is>
          <t>180</t>
        </is>
      </c>
      <c r="G126" s="12" t="inlineStr">
        <is>
          <t>Iluminación ext. emergencia - Área KOD</t>
        </is>
      </c>
      <c r="H126" s="12" t="inlineStr">
        <is>
          <t>INSTRUMENTO</t>
        </is>
      </c>
    </row>
    <row r="127">
      <c r="A127" s="13" t="inlineStr">
        <is>
          <t>CP-29253</t>
        </is>
      </c>
      <c r="B127" s="13" t="inlineStr"/>
      <c r="C127" s="13" t="inlineStr">
        <is>
          <t>220</t>
        </is>
      </c>
      <c r="D127" s="13" t="inlineStr">
        <is>
          <t>102-DP-471</t>
        </is>
      </c>
      <c r="E127" s="13" t="inlineStr">
        <is>
          <t>2x6</t>
        </is>
      </c>
      <c r="F127" s="13" t="inlineStr">
        <is>
          <t>160</t>
        </is>
      </c>
      <c r="G127" s="13" t="inlineStr">
        <is>
          <t>Iluminación ext. emergencia - Área KOD</t>
        </is>
      </c>
      <c r="H127" s="13" t="inlineStr">
        <is>
          <t>INSTRUMENTO</t>
        </is>
      </c>
    </row>
    <row r="128">
      <c r="A128" s="12" t="inlineStr">
        <is>
          <t>CP-29353</t>
        </is>
      </c>
      <c r="B128" s="12" t="inlineStr"/>
      <c r="C128" s="12" t="inlineStr">
        <is>
          <t>220</t>
        </is>
      </c>
      <c r="D128" s="12" t="inlineStr">
        <is>
          <t>102-DP-471</t>
        </is>
      </c>
      <c r="E128" s="12" t="inlineStr">
        <is>
          <t>2x6</t>
        </is>
      </c>
      <c r="F128" s="12" t="inlineStr">
        <is>
          <t>140</t>
        </is>
      </c>
      <c r="G128" s="12" t="inlineStr">
        <is>
          <t>Iluminación ext. emergencia - Área KOD</t>
        </is>
      </c>
      <c r="H128" s="12" t="inlineStr">
        <is>
          <t>INSTRUMENTO</t>
        </is>
      </c>
    </row>
    <row r="129">
      <c r="A129" s="13" t="inlineStr">
        <is>
          <t>CPF-COM-27A</t>
        </is>
      </c>
      <c r="B129" s="13" t="inlineStr">
        <is>
          <t>Gabinete de comunicaciones IT/OT (42U\ (Alimentador A\ 0</t>
        </is>
      </c>
      <c r="C129" s="13" t="inlineStr">
        <is>
          <t>220</t>
        </is>
      </c>
      <c r="D129" s="13" t="inlineStr">
        <is>
          <t>102-DP-471</t>
        </is>
      </c>
      <c r="E129" s="13" t="inlineStr">
        <is>
          <t>2x4</t>
        </is>
      </c>
      <c r="F129" s="13" t="inlineStr">
        <is>
          <t>20</t>
        </is>
      </c>
      <c r="G129" s="13" t="inlineStr">
        <is>
          <t>Iluminación ext. emergencia - Área KOD</t>
        </is>
      </c>
      <c r="H129" s="13" t="inlineStr">
        <is>
          <t>INSTRUMENTO</t>
        </is>
      </c>
    </row>
    <row r="130">
      <c r="A130" s="12" t="inlineStr">
        <is>
          <t>CPF-COM-27B</t>
        </is>
      </c>
      <c r="B130" s="12" t="inlineStr">
        <is>
          <t>Gabinete de comunicaciones IT/OT (42U\ (Alimentador B\ 0</t>
        </is>
      </c>
      <c r="C130" s="12" t="inlineStr">
        <is>
          <t>220</t>
        </is>
      </c>
      <c r="D130" s="12" t="inlineStr">
        <is>
          <t>102-DP-471</t>
        </is>
      </c>
      <c r="E130" s="12" t="inlineStr">
        <is>
          <t>2x4</t>
        </is>
      </c>
      <c r="F130" s="12" t="inlineStr">
        <is>
          <t>20</t>
        </is>
      </c>
      <c r="G130" s="12" t="inlineStr">
        <is>
          <t>Iluminación ext. emergencia - Área KOD</t>
        </is>
      </c>
      <c r="H130" s="12" t="inlineStr">
        <is>
          <t>INSTRUMENTO</t>
        </is>
      </c>
    </row>
    <row r="131">
      <c r="A131" s="13" t="inlineStr">
        <is>
          <t>CPF-CRE-XXX</t>
        </is>
      </c>
      <c r="B131" s="13" t="inlineStr">
        <is>
          <t>CÁMARA IP PARA EXTERIOR 0</t>
        </is>
      </c>
      <c r="C131" s="13" t="inlineStr">
        <is>
          <t>220</t>
        </is>
      </c>
      <c r="D131" s="13" t="inlineStr">
        <is>
          <t>102-DP-001UPS-A</t>
        </is>
      </c>
      <c r="E131" s="13" t="inlineStr">
        <is>
          <t>2x4</t>
        </is>
      </c>
      <c r="F131" s="13" t="inlineStr">
        <is>
          <t>20</t>
        </is>
      </c>
      <c r="G131" s="13" t="inlineStr">
        <is>
          <t>SALA ELÉCTRICA 4</t>
        </is>
      </c>
      <c r="H131" s="13" t="inlineStr">
        <is>
          <t>INSTRUMENTO</t>
        </is>
      </c>
    </row>
    <row r="132">
      <c r="A132" s="12" t="inlineStr">
        <is>
          <t>CPF-EAP-93110A</t>
        </is>
      </c>
      <c r="B132" s="12" t="inlineStr"/>
      <c r="C132" s="12" t="inlineStr">
        <is>
          <t>220</t>
        </is>
      </c>
      <c r="D132" s="12" t="inlineStr">
        <is>
          <t>102-DP-471</t>
        </is>
      </c>
      <c r="E132" s="12" t="inlineStr">
        <is>
          <t>2x4</t>
        </is>
      </c>
      <c r="F132" s="12" t="inlineStr">
        <is>
          <t>120</t>
        </is>
      </c>
      <c r="G132" s="12" t="inlineStr">
        <is>
          <t>Iluminación ext. emergencia - Área KOD</t>
        </is>
      </c>
      <c r="H132" s="12" t="inlineStr">
        <is>
          <t>INSTRUMENTO</t>
        </is>
      </c>
    </row>
    <row r="133">
      <c r="A133" s="13" t="inlineStr">
        <is>
          <t>CPF-EAP-93110B</t>
        </is>
      </c>
      <c r="B133" s="13" t="inlineStr"/>
      <c r="C133" s="13" t="inlineStr">
        <is>
          <t>220</t>
        </is>
      </c>
      <c r="D133" s="13" t="inlineStr">
        <is>
          <t>102-DP-471</t>
        </is>
      </c>
      <c r="E133" s="13" t="inlineStr">
        <is>
          <t>2x4</t>
        </is>
      </c>
      <c r="F133" s="13" t="inlineStr">
        <is>
          <t>120</t>
        </is>
      </c>
      <c r="G133" s="13" t="inlineStr">
        <is>
          <t>Iluminación ext. emergencia - Área KOD</t>
        </is>
      </c>
      <c r="H133" s="13" t="inlineStr">
        <is>
          <t>INSTRUMENTO</t>
        </is>
      </c>
    </row>
    <row r="134">
      <c r="A134" s="12" t="inlineStr">
        <is>
          <t>CPF-EAP-95130</t>
        </is>
      </c>
      <c r="B134" s="12" t="inlineStr"/>
      <c r="C134" s="12" t="inlineStr">
        <is>
          <t>220</t>
        </is>
      </c>
      <c r="D134" s="12" t="inlineStr">
        <is>
          <t>102-DP-471</t>
        </is>
      </c>
      <c r="E134" s="12" t="inlineStr">
        <is>
          <t>2x4</t>
        </is>
      </c>
      <c r="F134" s="12" t="inlineStr">
        <is>
          <t>370</t>
        </is>
      </c>
      <c r="G134" s="12" t="inlineStr">
        <is>
          <t>Sigma Heater Local Control Panel - Área 942</t>
        </is>
      </c>
      <c r="H134" s="12" t="inlineStr">
        <is>
          <t>INSTRUMENTO</t>
        </is>
      </c>
    </row>
    <row r="135">
      <c r="A135" s="13" t="inlineStr">
        <is>
          <t>CPF-PAY-23310A</t>
        </is>
      </c>
      <c r="B135" s="13" t="inlineStr"/>
      <c r="C135" s="13" t="inlineStr">
        <is>
          <t>220</t>
        </is>
      </c>
      <c r="D135" s="13" t="inlineStr">
        <is>
          <t>102-DP-471</t>
        </is>
      </c>
      <c r="E135" s="13" t="inlineStr">
        <is>
          <t>2x4</t>
        </is>
      </c>
      <c r="F135" s="13" t="inlineStr">
        <is>
          <t>20</t>
        </is>
      </c>
      <c r="G135" s="13" t="inlineStr">
        <is>
          <t>Sigma Heater Local Control Panel - Área 942</t>
        </is>
      </c>
      <c r="H135" s="13" t="inlineStr">
        <is>
          <t>INSTRUMENTO</t>
        </is>
      </c>
    </row>
    <row r="136">
      <c r="A136" s="12" t="inlineStr">
        <is>
          <t>CPF-PAY-23310B</t>
        </is>
      </c>
      <c r="B136" s="12" t="inlineStr"/>
      <c r="C136" s="12" t="inlineStr">
        <is>
          <t>220</t>
        </is>
      </c>
      <c r="D136" s="12" t="inlineStr">
        <is>
          <t>102-DP-471</t>
        </is>
      </c>
      <c r="E136" s="12" t="inlineStr">
        <is>
          <t>2x4</t>
        </is>
      </c>
      <c r="F136" s="12" t="inlineStr">
        <is>
          <t>20</t>
        </is>
      </c>
      <c r="G136" s="12" t="inlineStr">
        <is>
          <t>Sigma Heater Local Control Panel - Área 942</t>
        </is>
      </c>
      <c r="H136" s="12" t="inlineStr">
        <is>
          <t>INSTRUMENTO</t>
        </is>
      </c>
    </row>
    <row r="137">
      <c r="A137" s="13" t="inlineStr">
        <is>
          <t>CT-001</t>
        </is>
      </c>
      <c r="B137" s="13" t="inlineStr">
        <is>
          <t>TOMACORRIENTES (A confirmar con Proveedor del Shelter\ 0</t>
        </is>
      </c>
      <c r="C137" s="13" t="inlineStr">
        <is>
          <t>220</t>
        </is>
      </c>
      <c r="D137" s="13" t="inlineStr">
        <is>
          <t>102-DP-472</t>
        </is>
      </c>
      <c r="E137" s="13" t="inlineStr">
        <is>
          <t>2x4</t>
        </is>
      </c>
      <c r="F137" s="13" t="inlineStr">
        <is>
          <t>15</t>
        </is>
      </c>
      <c r="G137" s="13" t="inlineStr">
        <is>
          <t>Sigma Heater Local Control Panel - Área 942</t>
        </is>
      </c>
      <c r="H137" s="13" t="inlineStr">
        <is>
          <t>SSAA</t>
        </is>
      </c>
    </row>
    <row r="138">
      <c r="A138" s="12" t="inlineStr">
        <is>
          <t>EAP-93110 A</t>
        </is>
      </c>
      <c r="B138" s="12" t="inlineStr">
        <is>
          <t>CALENTADOR GAS COMBUSTIBLE AP 0</t>
        </is>
      </c>
      <c r="C138" s="12" t="inlineStr">
        <is>
          <t>380</t>
        </is>
      </c>
      <c r="D138" s="12" t="inlineStr">
        <is>
          <t>102-CCM-006</t>
        </is>
      </c>
      <c r="E138" s="12" t="inlineStr">
        <is>
          <t>3x70</t>
        </is>
      </c>
      <c r="F138" s="12" t="inlineStr">
        <is>
          <t>200</t>
        </is>
      </c>
      <c r="G138" s="12" t="inlineStr">
        <is>
          <t>Aeroenfriador de Hot Oil- Área 942</t>
        </is>
      </c>
      <c r="H138" s="12" t="inlineStr">
        <is>
          <t>INSTRUMENTO</t>
        </is>
      </c>
    </row>
    <row r="139">
      <c r="A139" s="13" t="inlineStr">
        <is>
          <t>EAP-93110 B</t>
        </is>
      </c>
      <c r="B139" s="13" t="inlineStr">
        <is>
          <t>CALENTADOR GAS COMBUSTIBLE AP 0</t>
        </is>
      </c>
      <c r="C139" s="13" t="inlineStr">
        <is>
          <t>380</t>
        </is>
      </c>
      <c r="D139" s="13" t="inlineStr">
        <is>
          <t>102-CCM-006</t>
        </is>
      </c>
      <c r="E139" s="13" t="inlineStr">
        <is>
          <t>3x70</t>
        </is>
      </c>
      <c r="F139" s="13" t="inlineStr">
        <is>
          <t>200</t>
        </is>
      </c>
      <c r="G139" s="13" t="inlineStr">
        <is>
          <t>Aeroenfriador de Hot Oil- Área 942</t>
        </is>
      </c>
      <c r="H139" s="13" t="inlineStr">
        <is>
          <t>INSTRUMENTO</t>
        </is>
      </c>
    </row>
    <row r="140">
      <c r="A140" s="12" t="inlineStr">
        <is>
          <t>EAP-95130 A</t>
        </is>
      </c>
      <c r="B140" s="12" t="inlineStr">
        <is>
          <t>CALENTADOR ELÉCTRICO KOD 0</t>
        </is>
      </c>
      <c r="C140" s="12" t="inlineStr">
        <is>
          <t>380</t>
        </is>
      </c>
      <c r="D140" s="12" t="inlineStr">
        <is>
          <t>102-CCM-006</t>
        </is>
      </c>
      <c r="E140" s="12" t="inlineStr">
        <is>
          <t>3x95</t>
        </is>
      </c>
      <c r="F140" s="12" t="inlineStr">
        <is>
          <t>370</t>
        </is>
      </c>
      <c r="G140" s="12" t="inlineStr">
        <is>
          <t>Aeroenfriador de Hot Oil- Área 942</t>
        </is>
      </c>
      <c r="H140" s="12" t="inlineStr">
        <is>
          <t>INSTRUMENTO</t>
        </is>
      </c>
    </row>
    <row r="141">
      <c r="A141" s="13" t="inlineStr">
        <is>
          <t>EAP-95130 B</t>
        </is>
      </c>
      <c r="B141" s="13" t="inlineStr">
        <is>
          <t>CALENTADOR ELÉCTRICO KOD 0</t>
        </is>
      </c>
      <c r="C141" s="13" t="inlineStr">
        <is>
          <t>380</t>
        </is>
      </c>
      <c r="D141" s="13" t="inlineStr">
        <is>
          <t>102-CCM-006</t>
        </is>
      </c>
      <c r="E141" s="13" t="inlineStr">
        <is>
          <t>3x95</t>
        </is>
      </c>
      <c r="F141" s="13" t="inlineStr">
        <is>
          <t>370</t>
        </is>
      </c>
      <c r="G141" s="13" t="inlineStr">
        <is>
          <t>Aeroenfriador de Hot Oil- Área 942</t>
        </is>
      </c>
      <c r="H141" s="13" t="inlineStr">
        <is>
          <t>INSTRUMENTO</t>
        </is>
      </c>
    </row>
    <row r="142">
      <c r="A142" s="12" t="inlineStr">
        <is>
          <t>HTR-29167</t>
        </is>
      </c>
      <c r="B142" s="12" t="inlineStr"/>
      <c r="C142" s="12" t="inlineStr">
        <is>
          <t>380</t>
        </is>
      </c>
      <c r="D142" s="12" t="inlineStr">
        <is>
          <t>102-CCM-006</t>
        </is>
      </c>
      <c r="E142" s="12" t="inlineStr">
        <is>
          <t>3x25+T</t>
        </is>
      </c>
      <c r="F142" s="12" t="inlineStr">
        <is>
          <t>200</t>
        </is>
      </c>
      <c r="G142" s="12" t="inlineStr">
        <is>
          <t>Engine KIM HS Glycol Heater - Área 291</t>
        </is>
      </c>
      <c r="H142" s="12" t="inlineStr">
        <is>
          <t>CONTROL</t>
        </is>
      </c>
    </row>
    <row r="143">
      <c r="A143" s="13" t="inlineStr">
        <is>
          <t>HTR-29183</t>
        </is>
      </c>
      <c r="B143" s="13" t="inlineStr"/>
      <c r="C143" s="13" t="inlineStr">
        <is>
          <t>380</t>
        </is>
      </c>
      <c r="D143" s="13" t="inlineStr">
        <is>
          <t>102-CCM-006</t>
        </is>
      </c>
      <c r="E143" s="13" t="inlineStr">
        <is>
          <t>3x50+T</t>
        </is>
      </c>
      <c r="F143" s="13" t="inlineStr">
        <is>
          <t>200</t>
        </is>
      </c>
      <c r="G143" s="13" t="inlineStr">
        <is>
          <t>Aeroenfriador de Hot Oil- Área 942</t>
        </is>
      </c>
      <c r="H143" s="13" t="inlineStr">
        <is>
          <t>CONTROL</t>
        </is>
      </c>
    </row>
    <row r="144">
      <c r="A144" s="12" t="inlineStr">
        <is>
          <t>HTR-29267</t>
        </is>
      </c>
      <c r="B144" s="12" t="inlineStr"/>
      <c r="C144" s="12" t="inlineStr">
        <is>
          <t>380</t>
        </is>
      </c>
      <c r="D144" s="12" t="inlineStr">
        <is>
          <t>102-CCM-006</t>
        </is>
      </c>
      <c r="E144" s="12" t="inlineStr">
        <is>
          <t>3x25+T</t>
        </is>
      </c>
      <c r="F144" s="12" t="inlineStr">
        <is>
          <t>190</t>
        </is>
      </c>
      <c r="G144" s="12" t="inlineStr">
        <is>
          <t>Engine KIM HS Glycol Heater - Área 292</t>
        </is>
      </c>
      <c r="H144" s="12" t="inlineStr">
        <is>
          <t>CONTROL</t>
        </is>
      </c>
    </row>
    <row r="145">
      <c r="A145" s="13" t="inlineStr">
        <is>
          <t>HTR-29283</t>
        </is>
      </c>
      <c r="B145" s="13" t="inlineStr"/>
      <c r="C145" s="13" t="inlineStr">
        <is>
          <t>380</t>
        </is>
      </c>
      <c r="D145" s="13" t="inlineStr">
        <is>
          <t>102-CCM-006</t>
        </is>
      </c>
      <c r="E145" s="13" t="inlineStr">
        <is>
          <t>3x50+T</t>
        </is>
      </c>
      <c r="F145" s="13" t="inlineStr">
        <is>
          <t>190</t>
        </is>
      </c>
      <c r="G145" s="13" t="inlineStr">
        <is>
          <t>Compressor KIM HS Prelube Heater - Área 291</t>
        </is>
      </c>
      <c r="H145" s="13" t="inlineStr">
        <is>
          <t>CONTROL</t>
        </is>
      </c>
    </row>
    <row r="146">
      <c r="A146" s="12" t="inlineStr">
        <is>
          <t>HTR-29367</t>
        </is>
      </c>
      <c r="B146" s="12" t="inlineStr"/>
      <c r="C146" s="12" t="inlineStr">
        <is>
          <t>380</t>
        </is>
      </c>
      <c r="D146" s="12" t="inlineStr">
        <is>
          <t>102-CCM-006</t>
        </is>
      </c>
      <c r="E146" s="12" t="inlineStr">
        <is>
          <t>3x25+T</t>
        </is>
      </c>
      <c r="F146" s="12" t="inlineStr">
        <is>
          <t>180</t>
        </is>
      </c>
      <c r="G146" s="12" t="inlineStr">
        <is>
          <t>Engine KIM HS Glycol Heater - Área 293</t>
        </is>
      </c>
      <c r="H146" s="12" t="inlineStr">
        <is>
          <t>CONTROL</t>
        </is>
      </c>
    </row>
    <row r="147">
      <c r="A147" s="13" t="inlineStr">
        <is>
          <t>HTR-29383</t>
        </is>
      </c>
      <c r="B147" s="13" t="inlineStr"/>
      <c r="C147" s="13" t="inlineStr">
        <is>
          <t>380</t>
        </is>
      </c>
      <c r="D147" s="13" t="inlineStr">
        <is>
          <t>102-CCM-006</t>
        </is>
      </c>
      <c r="E147" s="13" t="inlineStr">
        <is>
          <t>3x50+T</t>
        </is>
      </c>
      <c r="F147" s="13" t="inlineStr">
        <is>
          <t>180</t>
        </is>
      </c>
      <c r="G147" s="13" t="inlineStr">
        <is>
          <t>Compressor KIM HS Prelube Heater - Área 292</t>
        </is>
      </c>
      <c r="H147" s="13" t="inlineStr">
        <is>
          <t>CONTROL</t>
        </is>
      </c>
    </row>
    <row r="148">
      <c r="A148" s="12" t="inlineStr">
        <is>
          <t>LCP-100</t>
        </is>
      </c>
      <c r="B148" s="12" t="inlineStr">
        <is>
          <t>Tablero Ignición Flare 0</t>
        </is>
      </c>
      <c r="C148" s="12" t="inlineStr">
        <is>
          <t>220</t>
        </is>
      </c>
      <c r="D148" s="12" t="inlineStr">
        <is>
          <t>102-DP-471</t>
        </is>
      </c>
      <c r="E148" s="12" t="inlineStr">
        <is>
          <t>2x35</t>
        </is>
      </c>
      <c r="F148" s="12" t="inlineStr">
        <is>
          <t>380</t>
        </is>
      </c>
      <c r="G148" s="12" t="inlineStr">
        <is>
          <t>Sigma Heater Local Control Panel - Área 942</t>
        </is>
      </c>
      <c r="H148" s="12" t="inlineStr">
        <is>
          <t>INSTRUMENTO</t>
        </is>
      </c>
    </row>
    <row r="149">
      <c r="A149" s="13" t="inlineStr">
        <is>
          <t>LCP-94213A</t>
        </is>
      </c>
      <c r="B149" s="13" t="inlineStr"/>
      <c r="C149" s="13" t="inlineStr">
        <is>
          <t>220</t>
        </is>
      </c>
      <c r="D149" s="13" t="inlineStr">
        <is>
          <t>102-DP-471</t>
        </is>
      </c>
      <c r="E149" s="13" t="inlineStr">
        <is>
          <t>2x10</t>
        </is>
      </c>
      <c r="F149" s="13" t="inlineStr">
        <is>
          <t>430</t>
        </is>
      </c>
      <c r="G149" s="13" t="inlineStr">
        <is>
          <t>Iluminación ext. emergencia - Área KOD</t>
        </is>
      </c>
      <c r="H149" s="13" t="inlineStr">
        <is>
          <t>INSTRUMENTO</t>
        </is>
      </c>
    </row>
    <row r="150">
      <c r="A150" s="12" t="inlineStr">
        <is>
          <t>LCP-94213B</t>
        </is>
      </c>
      <c r="B150" s="12" t="inlineStr"/>
      <c r="C150" s="12" t="inlineStr">
        <is>
          <t>220</t>
        </is>
      </c>
      <c r="D150" s="12" t="inlineStr">
        <is>
          <t>102-DP-471</t>
        </is>
      </c>
      <c r="E150" s="12" t="inlineStr">
        <is>
          <t>2x10</t>
        </is>
      </c>
      <c r="F150" s="12" t="inlineStr">
        <is>
          <t>430</t>
        </is>
      </c>
      <c r="G150" s="12" t="inlineStr">
        <is>
          <t>Sigma Heater Local Control Panel- Área 942</t>
        </is>
      </c>
      <c r="H150" s="12" t="inlineStr">
        <is>
          <t>INSTRUMENTO</t>
        </is>
      </c>
    </row>
    <row r="151">
      <c r="A151" s="13" t="inlineStr">
        <is>
          <t>LCP-MBE-92020</t>
        </is>
      </c>
      <c r="B151" s="13" t="inlineStr">
        <is>
          <t>SKID GENERACIÓN DE NITRÓGENO (tablero de control\ 0</t>
        </is>
      </c>
      <c r="C151" s="13" t="inlineStr">
        <is>
          <t>220</t>
        </is>
      </c>
      <c r="D151" s="13" t="inlineStr">
        <is>
          <t>102-DP-471</t>
        </is>
      </c>
      <c r="E151" s="13" t="inlineStr">
        <is>
          <t>2x6</t>
        </is>
      </c>
      <c r="F151" s="13" t="inlineStr">
        <is>
          <t>500</t>
        </is>
      </c>
      <c r="G151" s="13" t="inlineStr">
        <is>
          <t>Sigma Heater Local Control Panel - Área 942</t>
        </is>
      </c>
      <c r="H151" s="13" t="inlineStr">
        <is>
          <t>INSTRUMENTO</t>
        </is>
      </c>
    </row>
    <row r="152">
      <c r="A152" s="12" t="inlineStr">
        <is>
          <t>LCP-MBE-92030</t>
        </is>
      </c>
      <c r="B152" s="12" t="inlineStr">
        <is>
          <t>SKID GENERACIÓN DE NITRÓGENO (tablero de control\ 0</t>
        </is>
      </c>
      <c r="C152" s="12" t="inlineStr">
        <is>
          <t>220</t>
        </is>
      </c>
      <c r="D152" s="12" t="inlineStr">
        <is>
          <t>102-DP-471</t>
        </is>
      </c>
      <c r="E152" s="12" t="inlineStr">
        <is>
          <t>2x6</t>
        </is>
      </c>
      <c r="F152" s="12" t="inlineStr">
        <is>
          <t>500</t>
        </is>
      </c>
      <c r="G152" s="12" t="inlineStr">
        <is>
          <t>Sigma Heater Local Control Panel - Área 942</t>
        </is>
      </c>
      <c r="H152" s="12" t="inlineStr">
        <is>
          <t>INSTRUMENTO</t>
        </is>
      </c>
    </row>
    <row r="153">
      <c r="A153" s="13" t="inlineStr">
        <is>
          <t>M-14017A</t>
        </is>
      </c>
      <c r="B153" s="13" t="inlineStr"/>
      <c r="C153" s="13" t="inlineStr">
        <is>
          <t>380</t>
        </is>
      </c>
      <c r="D153" s="13" t="inlineStr">
        <is>
          <t>102-CCM-005</t>
        </is>
      </c>
      <c r="E153" s="13" t="inlineStr">
        <is>
          <t>3x35</t>
        </is>
      </c>
      <c r="F153" s="13" t="inlineStr">
        <is>
          <t>150</t>
        </is>
      </c>
      <c r="G153" s="13" t="inlineStr">
        <is>
          <t>SALA ELÉCTRICA 3</t>
        </is>
      </c>
      <c r="H153" s="13" t="inlineStr">
        <is>
          <t>MOTOR_BT</t>
        </is>
      </c>
    </row>
    <row r="154">
      <c r="A154" s="12" t="inlineStr">
        <is>
          <t>M-14017B</t>
        </is>
      </c>
      <c r="B154" s="12" t="inlineStr"/>
      <c r="C154" s="12" t="inlineStr">
        <is>
          <t>380</t>
        </is>
      </c>
      <c r="D154" s="12" t="inlineStr">
        <is>
          <t>102-CCM-005</t>
        </is>
      </c>
      <c r="E154" s="12" t="inlineStr">
        <is>
          <t>3x35</t>
        </is>
      </c>
      <c r="F154" s="12" t="inlineStr">
        <is>
          <t>150</t>
        </is>
      </c>
      <c r="G154" s="12" t="inlineStr">
        <is>
          <t>GLYCOL PUMPS - PUMP "A" - Area 140</t>
        </is>
      </c>
      <c r="H154" s="12" t="inlineStr">
        <is>
          <t>MOTOR_BT</t>
        </is>
      </c>
    </row>
    <row r="155">
      <c r="A155" s="13" t="inlineStr">
        <is>
          <t>M-14018B</t>
        </is>
      </c>
      <c r="B155" s="13" t="inlineStr"/>
      <c r="C155" s="13" t="inlineStr">
        <is>
          <t>380</t>
        </is>
      </c>
      <c r="D155" s="13" t="inlineStr">
        <is>
          <t>102-CCM-005</t>
        </is>
      </c>
      <c r="E155" s="13" t="inlineStr">
        <is>
          <t>3x6</t>
        </is>
      </c>
      <c r="F155" s="13" t="inlineStr">
        <is>
          <t>150</t>
        </is>
      </c>
      <c r="G155" s="13" t="inlineStr">
        <is>
          <t>GLYCOL PUMPS - PUMP "B" - Area 140</t>
        </is>
      </c>
      <c r="H155" s="13" t="inlineStr">
        <is>
          <t>MOTOR_BT</t>
        </is>
      </c>
    </row>
    <row r="156">
      <c r="A156" s="12" t="inlineStr">
        <is>
          <t>M-14020A</t>
        </is>
      </c>
      <c r="B156" s="12" t="inlineStr"/>
      <c r="C156" s="12" t="inlineStr">
        <is>
          <t>380</t>
        </is>
      </c>
      <c r="D156" s="12" t="inlineStr">
        <is>
          <t>102-CCM-005</t>
        </is>
      </c>
      <c r="E156" s="12" t="inlineStr">
        <is>
          <t>3x4</t>
        </is>
      </c>
      <c r="F156" s="12" t="inlineStr">
        <is>
          <t>150</t>
        </is>
      </c>
      <c r="G156" s="12" t="inlineStr">
        <is>
          <t>REGEN GAS AIR COOLER - Area 140</t>
        </is>
      </c>
      <c r="H156" s="12" t="inlineStr">
        <is>
          <t>MOTOR_BT</t>
        </is>
      </c>
    </row>
    <row r="157">
      <c r="A157" s="13" t="inlineStr">
        <is>
          <t>M-14020B</t>
        </is>
      </c>
      <c r="B157" s="13" t="inlineStr"/>
      <c r="C157" s="13" t="inlineStr">
        <is>
          <t>380</t>
        </is>
      </c>
      <c r="D157" s="13" t="inlineStr">
        <is>
          <t>102-CCM-005</t>
        </is>
      </c>
      <c r="E157" s="13" t="inlineStr">
        <is>
          <t>3x4</t>
        </is>
      </c>
      <c r="F157" s="13" t="inlineStr">
        <is>
          <t>150</t>
        </is>
      </c>
      <c r="G157" s="13" t="inlineStr">
        <is>
          <t>REGEN WATER PUMPS - PUMP "A" - Area 140</t>
        </is>
      </c>
      <c r="H157" s="13" t="inlineStr">
        <is>
          <t>MOTOR_BT</t>
        </is>
      </c>
    </row>
    <row r="158">
      <c r="A158" s="12" t="inlineStr">
        <is>
          <t>M-26005A</t>
        </is>
      </c>
      <c r="B158" s="12" t="inlineStr"/>
      <c r="C158" s="12" t="inlineStr">
        <is>
          <t>380</t>
        </is>
      </c>
      <c r="D158" s="12" t="inlineStr">
        <is>
          <t>102-CCM-005</t>
        </is>
      </c>
      <c r="E158" s="12" t="inlineStr">
        <is>
          <t>3x16</t>
        </is>
      </c>
      <c r="F158" s="12" t="inlineStr">
        <is>
          <t>150</t>
        </is>
      </c>
      <c r="G158" s="12" t="inlineStr">
        <is>
          <t>REGEN WATER PUMPS - PUMP "B" - Area 140</t>
        </is>
      </c>
      <c r="H158" s="12" t="inlineStr">
        <is>
          <t>MOTOR_BT</t>
        </is>
      </c>
    </row>
    <row r="159">
      <c r="A159" s="13" t="inlineStr">
        <is>
          <t>M-26005B</t>
        </is>
      </c>
      <c r="B159" s="13" t="inlineStr"/>
      <c r="C159" s="13" t="inlineStr">
        <is>
          <t>380</t>
        </is>
      </c>
      <c r="D159" s="13" t="inlineStr">
        <is>
          <t>102-CCM-005</t>
        </is>
      </c>
      <c r="E159" s="13" t="inlineStr">
        <is>
          <t>3x16</t>
        </is>
      </c>
      <c r="F159" s="13" t="inlineStr">
        <is>
          <t>150</t>
        </is>
      </c>
      <c r="G159" s="13" t="inlineStr">
        <is>
          <t>WATER WASH RECYCLE PUMP "A" - Area 260</t>
        </is>
      </c>
      <c r="H159" s="13" t="inlineStr">
        <is>
          <t>MOTOR_BT</t>
        </is>
      </c>
    </row>
    <row r="160">
      <c r="A160" s="12" t="inlineStr">
        <is>
          <t>M-26011A</t>
        </is>
      </c>
      <c r="B160" s="12" t="inlineStr"/>
      <c r="C160" s="12" t="inlineStr">
        <is>
          <t>380</t>
        </is>
      </c>
      <c r="D160" s="12" t="inlineStr">
        <is>
          <t>102-CCM-005</t>
        </is>
      </c>
      <c r="E160" s="12" t="inlineStr">
        <is>
          <t>3x50</t>
        </is>
      </c>
      <c r="F160" s="12" t="inlineStr">
        <is>
          <t>150</t>
        </is>
      </c>
      <c r="G160" s="12" t="inlineStr">
        <is>
          <t>WATER WASH RECYCLE PUMP "B" - Area 260</t>
        </is>
      </c>
      <c r="H160" s="12" t="inlineStr">
        <is>
          <t>MOTOR_BT</t>
        </is>
      </c>
    </row>
    <row r="161">
      <c r="A161" s="13" t="inlineStr">
        <is>
          <t>M-26011B</t>
        </is>
      </c>
      <c r="B161" s="13" t="inlineStr"/>
      <c r="C161" s="13" t="inlineStr">
        <is>
          <t>380</t>
        </is>
      </c>
      <c r="D161" s="13" t="inlineStr">
        <is>
          <t>102-CCM-005</t>
        </is>
      </c>
      <c r="E161" s="13" t="inlineStr">
        <is>
          <t>3x50</t>
        </is>
      </c>
      <c r="F161" s="13" t="inlineStr">
        <is>
          <t>150</t>
        </is>
      </c>
      <c r="G161" s="13" t="inlineStr">
        <is>
          <t>CONDENSATE COOLER - Area 260</t>
        </is>
      </c>
      <c r="H161" s="13" t="inlineStr">
        <is>
          <t>MOTOR_BT</t>
        </is>
      </c>
    </row>
    <row r="162">
      <c r="A162" s="12" t="inlineStr">
        <is>
          <t>M-26012</t>
        </is>
      </c>
      <c r="B162" s="12" t="inlineStr"/>
      <c r="C162" s="12" t="inlineStr">
        <is>
          <t>380</t>
        </is>
      </c>
      <c r="D162" s="12" t="inlineStr">
        <is>
          <t>102-CCM-005</t>
        </is>
      </c>
      <c r="E162" s="12" t="inlineStr">
        <is>
          <t>3x16</t>
        </is>
      </c>
      <c r="F162" s="12" t="inlineStr">
        <is>
          <t>150</t>
        </is>
      </c>
      <c r="G162" s="12" t="inlineStr">
        <is>
          <t>CONDENSATE COOLER - Area 260</t>
        </is>
      </c>
      <c r="H162" s="12" t="inlineStr">
        <is>
          <t>MOTOR_BT</t>
        </is>
      </c>
    </row>
    <row r="163">
      <c r="A163" s="13" t="inlineStr">
        <is>
          <t>M-29002A</t>
        </is>
      </c>
      <c r="B163" s="13" t="inlineStr">
        <is>
          <t>Off Gas Common Suction Drum Pump A-Area 290</t>
        </is>
      </c>
      <c r="C163" s="13" t="inlineStr">
        <is>
          <t>380</t>
        </is>
      </c>
      <c r="D163" s="13" t="inlineStr">
        <is>
          <t>102-CCM-005</t>
        </is>
      </c>
      <c r="E163" s="13" t="inlineStr">
        <is>
          <t>3x6</t>
        </is>
      </c>
      <c r="F163" s="13" t="inlineStr">
        <is>
          <t>200</t>
        </is>
      </c>
      <c r="G163" s="13" t="inlineStr">
        <is>
          <t>CONDENSATE RECYCLE PUMP - Area 260</t>
        </is>
      </c>
      <c r="H163" s="13" t="inlineStr">
        <is>
          <t>MOTOR_BT</t>
        </is>
      </c>
    </row>
    <row r="164">
      <c r="A164" s="12" t="inlineStr">
        <is>
          <t>M-29002B</t>
        </is>
      </c>
      <c r="B164" s="12" t="inlineStr">
        <is>
          <t>Off Gas Common Suction Drum Pump B-Area 290</t>
        </is>
      </c>
      <c r="C164" s="12" t="inlineStr">
        <is>
          <t>380</t>
        </is>
      </c>
      <c r="D164" s="12" t="inlineStr">
        <is>
          <t>102-CCM-005</t>
        </is>
      </c>
      <c r="E164" s="12" t="inlineStr">
        <is>
          <t>3x6</t>
        </is>
      </c>
      <c r="F164" s="12" t="inlineStr">
        <is>
          <t>200</t>
        </is>
      </c>
      <c r="G164" s="12" t="inlineStr">
        <is>
          <t>CONDENSATE RECYCLE PUMP - Area 260</t>
        </is>
      </c>
      <c r="H164" s="12" t="inlineStr">
        <is>
          <t>MOTOR_BT</t>
        </is>
      </c>
    </row>
    <row r="165">
      <c r="A165" s="13" t="inlineStr">
        <is>
          <t>M-29112A</t>
        </is>
      </c>
      <c r="B165" s="13" t="inlineStr"/>
      <c r="C165" s="13" t="inlineStr">
        <is>
          <t>380</t>
        </is>
      </c>
      <c r="D165" s="13" t="inlineStr">
        <is>
          <t>102-CCM-005</t>
        </is>
      </c>
      <c r="E165" s="13" t="inlineStr">
        <is>
          <t>3x10</t>
        </is>
      </c>
      <c r="F165" s="13" t="inlineStr">
        <is>
          <t>180</t>
        </is>
      </c>
      <c r="G165" s="13" t="inlineStr">
        <is>
          <t>CONDENSATE RECYCLE PUMP - Area 260</t>
        </is>
      </c>
      <c r="H165" s="13" t="inlineStr">
        <is>
          <t>MOTOR_BT</t>
        </is>
      </c>
    </row>
    <row r="166">
      <c r="A166" s="12" t="inlineStr">
        <is>
          <t>M-29112B</t>
        </is>
      </c>
      <c r="B166" s="12" t="inlineStr"/>
      <c r="C166" s="12" t="inlineStr">
        <is>
          <t>380</t>
        </is>
      </c>
      <c r="D166" s="12" t="inlineStr">
        <is>
          <t>102-CCM-005</t>
        </is>
      </c>
      <c r="E166" s="12" t="inlineStr">
        <is>
          <t>3x10</t>
        </is>
      </c>
      <c r="F166" s="12" t="inlineStr">
        <is>
          <t>180</t>
        </is>
      </c>
      <c r="G166" s="12" t="inlineStr">
        <is>
          <t>Off Gas 1St Stage intercooler - Área 291</t>
        </is>
      </c>
      <c r="H166" s="12" t="inlineStr">
        <is>
          <t>MOTOR_BT</t>
        </is>
      </c>
    </row>
    <row r="167">
      <c r="A167" s="13" t="inlineStr">
        <is>
          <t>M-29132A</t>
        </is>
      </c>
      <c r="B167" s="13" t="inlineStr"/>
      <c r="C167" s="13" t="inlineStr">
        <is>
          <t>380</t>
        </is>
      </c>
      <c r="D167" s="13" t="inlineStr">
        <is>
          <t>102-CCM-005</t>
        </is>
      </c>
      <c r="E167" s="13" t="inlineStr">
        <is>
          <t>3x35</t>
        </is>
      </c>
      <c r="F167" s="13" t="inlineStr">
        <is>
          <t>180</t>
        </is>
      </c>
      <c r="G167" s="13" t="inlineStr">
        <is>
          <t>Off Gas 2St Stage intercooler - Área 291</t>
        </is>
      </c>
      <c r="H167" s="13" t="inlineStr">
        <is>
          <t>MOTOR_BT</t>
        </is>
      </c>
    </row>
    <row r="168">
      <c r="A168" s="12" t="inlineStr">
        <is>
          <t>M-29132B</t>
        </is>
      </c>
      <c r="B168" s="12" t="inlineStr"/>
      <c r="C168" s="12" t="inlineStr">
        <is>
          <t>380</t>
        </is>
      </c>
      <c r="D168" s="12" t="inlineStr">
        <is>
          <t>102-CCM-005</t>
        </is>
      </c>
      <c r="E168" s="12" t="inlineStr">
        <is>
          <t>3x35</t>
        </is>
      </c>
      <c r="F168" s="12" t="inlineStr">
        <is>
          <t>180</t>
        </is>
      </c>
      <c r="G168" s="12" t="inlineStr">
        <is>
          <t>Sales Gas Compressor Cooler Fan A - Área 291</t>
        </is>
      </c>
      <c r="H168" s="12" t="inlineStr">
        <is>
          <t>MOTOR_BT</t>
        </is>
      </c>
    </row>
    <row r="169">
      <c r="A169" s="13" t="inlineStr">
        <is>
          <t>M-29185</t>
        </is>
      </c>
      <c r="B169" s="13" t="inlineStr"/>
      <c r="C169" s="13" t="inlineStr">
        <is>
          <t>380</t>
        </is>
      </c>
      <c r="D169" s="13" t="inlineStr">
        <is>
          <t>102-CCM-005</t>
        </is>
      </c>
      <c r="E169" s="13" t="inlineStr">
        <is>
          <t>3x35</t>
        </is>
      </c>
      <c r="F169" s="13" t="inlineStr">
        <is>
          <t>180</t>
        </is>
      </c>
      <c r="G169" s="13" t="inlineStr">
        <is>
          <t>Sales Gas Compressor Cooler Fan B  - Área 291</t>
        </is>
      </c>
      <c r="H169" s="13" t="inlineStr">
        <is>
          <t>MOTOR_BT</t>
        </is>
      </c>
    </row>
    <row r="170">
      <c r="A170" s="12" t="inlineStr">
        <is>
          <t>M-29186</t>
        </is>
      </c>
      <c r="B170" s="12" t="inlineStr"/>
      <c r="C170" s="12" t="inlineStr">
        <is>
          <t>380</t>
        </is>
      </c>
      <c r="D170" s="12" t="inlineStr">
        <is>
          <t>102-CCM-005</t>
        </is>
      </c>
      <c r="E170" s="12" t="inlineStr">
        <is>
          <t>3x35</t>
        </is>
      </c>
      <c r="F170" s="12" t="inlineStr">
        <is>
          <t>180</t>
        </is>
      </c>
      <c r="G170" s="12" t="inlineStr">
        <is>
          <t>Engine Aux Water Cooler Fan  - Área 291</t>
        </is>
      </c>
      <c r="H170" s="12" t="inlineStr">
        <is>
          <t>MOTOR_BT</t>
        </is>
      </c>
    </row>
    <row r="171">
      <c r="A171" s="13" t="inlineStr">
        <is>
          <t>M-29212A</t>
        </is>
      </c>
      <c r="B171" s="13" t="inlineStr"/>
      <c r="C171" s="13" t="inlineStr">
        <is>
          <t>380</t>
        </is>
      </c>
      <c r="D171" s="13" t="inlineStr">
        <is>
          <t>102-CCM-005</t>
        </is>
      </c>
      <c r="E171" s="13" t="inlineStr">
        <is>
          <t>3x10</t>
        </is>
      </c>
      <c r="F171" s="13" t="inlineStr">
        <is>
          <t>160</t>
        </is>
      </c>
      <c r="G171" s="13" t="inlineStr">
        <is>
          <t>Engine Jacket Water Cooler Fan - Área 291</t>
        </is>
      </c>
      <c r="H171" s="13" t="inlineStr">
        <is>
          <t>MOTOR_BT</t>
        </is>
      </c>
    </row>
    <row r="172">
      <c r="A172" s="12" t="inlineStr">
        <is>
          <t>M-29212B</t>
        </is>
      </c>
      <c r="B172" s="12" t="inlineStr"/>
      <c r="C172" s="12" t="inlineStr">
        <is>
          <t>380</t>
        </is>
      </c>
      <c r="D172" s="12" t="inlineStr">
        <is>
          <t>102-CCM-005</t>
        </is>
      </c>
      <c r="E172" s="12" t="inlineStr">
        <is>
          <t>3x10</t>
        </is>
      </c>
      <c r="F172" s="12" t="inlineStr">
        <is>
          <t>160</t>
        </is>
      </c>
      <c r="G172" s="12" t="inlineStr">
        <is>
          <t>Off Gas 1St Stage intercooler - Área 292</t>
        </is>
      </c>
      <c r="H172" s="12" t="inlineStr">
        <is>
          <t>MOTOR_BT</t>
        </is>
      </c>
    </row>
    <row r="173">
      <c r="A173" s="13" t="inlineStr">
        <is>
          <t>M-29232A</t>
        </is>
      </c>
      <c r="B173" s="13" t="inlineStr"/>
      <c r="C173" s="13" t="inlineStr">
        <is>
          <t>380</t>
        </is>
      </c>
      <c r="D173" s="13" t="inlineStr">
        <is>
          <t>102-CCM-005</t>
        </is>
      </c>
      <c r="E173" s="13" t="inlineStr">
        <is>
          <t>3x35</t>
        </is>
      </c>
      <c r="F173" s="13" t="inlineStr">
        <is>
          <t>160</t>
        </is>
      </c>
      <c r="G173" s="13" t="inlineStr">
        <is>
          <t>Off Gas 2St Stage intercooler - Área 292</t>
        </is>
      </c>
      <c r="H173" s="13" t="inlineStr">
        <is>
          <t>MOTOR_BT</t>
        </is>
      </c>
    </row>
    <row r="174">
      <c r="A174" s="12" t="inlineStr">
        <is>
          <t>M-29232B</t>
        </is>
      </c>
      <c r="B174" s="12" t="inlineStr"/>
      <c r="C174" s="12" t="inlineStr">
        <is>
          <t>380</t>
        </is>
      </c>
      <c r="D174" s="12" t="inlineStr">
        <is>
          <t>102-CCM-005</t>
        </is>
      </c>
      <c r="E174" s="12" t="inlineStr">
        <is>
          <t>3x35</t>
        </is>
      </c>
      <c r="F174" s="12" t="inlineStr">
        <is>
          <t>160</t>
        </is>
      </c>
      <c r="G174" s="12" t="inlineStr">
        <is>
          <t>Sales Gas Compressor Cooler Fan A - Área 292</t>
        </is>
      </c>
      <c r="H174" s="12" t="inlineStr">
        <is>
          <t>MOTOR_BT</t>
        </is>
      </c>
    </row>
    <row r="175">
      <c r="A175" s="13" t="inlineStr">
        <is>
          <t>M-29285</t>
        </is>
      </c>
      <c r="B175" s="13" t="inlineStr"/>
      <c r="C175" s="13" t="inlineStr">
        <is>
          <t>380</t>
        </is>
      </c>
      <c r="D175" s="13" t="inlineStr">
        <is>
          <t>102-CCM-005</t>
        </is>
      </c>
      <c r="E175" s="13" t="inlineStr">
        <is>
          <t>3x35</t>
        </is>
      </c>
      <c r="F175" s="13" t="inlineStr">
        <is>
          <t>160</t>
        </is>
      </c>
      <c r="G175" s="13" t="inlineStr">
        <is>
          <t>Sales Gas Compressor Cooler Fan B  - Área 292</t>
        </is>
      </c>
      <c r="H175" s="13" t="inlineStr">
        <is>
          <t>MOTOR_BT</t>
        </is>
      </c>
    </row>
    <row r="176">
      <c r="A176" s="12" t="inlineStr">
        <is>
          <t>M-29286</t>
        </is>
      </c>
      <c r="B176" s="12" t="inlineStr"/>
      <c r="C176" s="12" t="inlineStr">
        <is>
          <t>380</t>
        </is>
      </c>
      <c r="D176" s="12" t="inlineStr">
        <is>
          <t>102-CCM-005</t>
        </is>
      </c>
      <c r="E176" s="12" t="inlineStr">
        <is>
          <t>3x35</t>
        </is>
      </c>
      <c r="F176" s="12" t="inlineStr">
        <is>
          <t>160</t>
        </is>
      </c>
      <c r="G176" s="12" t="inlineStr">
        <is>
          <t>Engine Aux Water Cooler Fan  - Área 292</t>
        </is>
      </c>
      <c r="H176" s="12" t="inlineStr">
        <is>
          <t>MOTOR_BT</t>
        </is>
      </c>
    </row>
    <row r="177">
      <c r="A177" s="13" t="inlineStr">
        <is>
          <t>M-29312A</t>
        </is>
      </c>
      <c r="B177" s="13" t="inlineStr"/>
      <c r="C177" s="13" t="inlineStr">
        <is>
          <t>380</t>
        </is>
      </c>
      <c r="D177" s="13" t="inlineStr">
        <is>
          <t>102-CCM-005</t>
        </is>
      </c>
      <c r="E177" s="13" t="inlineStr">
        <is>
          <t>3x10</t>
        </is>
      </c>
      <c r="F177" s="13" t="inlineStr">
        <is>
          <t>140</t>
        </is>
      </c>
      <c r="G177" s="13" t="inlineStr">
        <is>
          <t>Engine Jacket Water Cooler Fan - Área 292</t>
        </is>
      </c>
      <c r="H177" s="13" t="inlineStr">
        <is>
          <t>MOTOR_BT</t>
        </is>
      </c>
    </row>
    <row r="178">
      <c r="A178" s="12" t="inlineStr">
        <is>
          <t>M-29312B</t>
        </is>
      </c>
      <c r="B178" s="12" t="inlineStr"/>
      <c r="C178" s="12" t="inlineStr">
        <is>
          <t>380</t>
        </is>
      </c>
      <c r="D178" s="12" t="inlineStr">
        <is>
          <t>102-CCM-005</t>
        </is>
      </c>
      <c r="E178" s="12" t="inlineStr">
        <is>
          <t>3x10</t>
        </is>
      </c>
      <c r="F178" s="12" t="inlineStr">
        <is>
          <t>140</t>
        </is>
      </c>
      <c r="G178" s="12" t="inlineStr">
        <is>
          <t>Off Gas 1St Stage intercooler - Área 293</t>
        </is>
      </c>
      <c r="H178" s="12" t="inlineStr">
        <is>
          <t>MOTOR_BT</t>
        </is>
      </c>
    </row>
    <row r="179">
      <c r="A179" s="13" t="inlineStr">
        <is>
          <t>M-29332A</t>
        </is>
      </c>
      <c r="B179" s="13" t="inlineStr"/>
      <c r="C179" s="13" t="inlineStr">
        <is>
          <t>380</t>
        </is>
      </c>
      <c r="D179" s="13" t="inlineStr">
        <is>
          <t>102-CCM-005</t>
        </is>
      </c>
      <c r="E179" s="13" t="inlineStr">
        <is>
          <t>3x35</t>
        </is>
      </c>
      <c r="F179" s="13" t="inlineStr">
        <is>
          <t>140</t>
        </is>
      </c>
      <c r="G179" s="13" t="inlineStr">
        <is>
          <t>Off Gas 2St Stage intercooler - Área 293</t>
        </is>
      </c>
      <c r="H179" s="13" t="inlineStr">
        <is>
          <t>MOTOR_BT</t>
        </is>
      </c>
    </row>
    <row r="180">
      <c r="A180" s="12" t="inlineStr">
        <is>
          <t>M-29332B</t>
        </is>
      </c>
      <c r="B180" s="12" t="inlineStr"/>
      <c r="C180" s="12" t="inlineStr">
        <is>
          <t>380</t>
        </is>
      </c>
      <c r="D180" s="12" t="inlineStr">
        <is>
          <t>102-CCM-005</t>
        </is>
      </c>
      <c r="E180" s="12" t="inlineStr">
        <is>
          <t>3x35</t>
        </is>
      </c>
      <c r="F180" s="12" t="inlineStr">
        <is>
          <t>140</t>
        </is>
      </c>
      <c r="G180" s="12" t="inlineStr">
        <is>
          <t>Sales Gas Compressor Cooler Fan A - Área 293</t>
        </is>
      </c>
      <c r="H180" s="12" t="inlineStr">
        <is>
          <t>MOTOR_BT</t>
        </is>
      </c>
    </row>
    <row r="181">
      <c r="A181" s="13" t="inlineStr">
        <is>
          <t>M-29385</t>
        </is>
      </c>
      <c r="B181" s="13" t="inlineStr"/>
      <c r="C181" s="13" t="inlineStr">
        <is>
          <t>380</t>
        </is>
      </c>
      <c r="D181" s="13" t="inlineStr">
        <is>
          <t>102-CCM-005</t>
        </is>
      </c>
      <c r="E181" s="13" t="inlineStr">
        <is>
          <t>3x35</t>
        </is>
      </c>
      <c r="F181" s="13" t="inlineStr">
        <is>
          <t>140</t>
        </is>
      </c>
      <c r="G181" s="13" t="inlineStr">
        <is>
          <t>Sales Gas Compressor Cooler Fan B  - Área 293</t>
        </is>
      </c>
      <c r="H181" s="13" t="inlineStr">
        <is>
          <t>MOTOR_BT</t>
        </is>
      </c>
    </row>
    <row r="182">
      <c r="A182" s="12" t="inlineStr">
        <is>
          <t>M-29386</t>
        </is>
      </c>
      <c r="B182" s="12" t="inlineStr"/>
      <c r="C182" s="12" t="inlineStr">
        <is>
          <t>380</t>
        </is>
      </c>
      <c r="D182" s="12" t="inlineStr">
        <is>
          <t>102-CCM-005</t>
        </is>
      </c>
      <c r="E182" s="12" t="inlineStr">
        <is>
          <t>3x35</t>
        </is>
      </c>
      <c r="F182" s="12" t="inlineStr">
        <is>
          <t>140</t>
        </is>
      </c>
      <c r="G182" s="12" t="inlineStr">
        <is>
          <t>Engine Aux Water Cooler Fan  - Área 293</t>
        </is>
      </c>
      <c r="H182" s="12" t="inlineStr">
        <is>
          <t>MOTOR_BT</t>
        </is>
      </c>
    </row>
    <row r="183">
      <c r="A183" s="13" t="inlineStr">
        <is>
          <t>M-94204-A</t>
        </is>
      </c>
      <c r="B183" s="13" t="inlineStr"/>
      <c r="C183" s="13" t="inlineStr">
        <is>
          <t>380</t>
        </is>
      </c>
      <c r="D183" s="13" t="inlineStr">
        <is>
          <t>102-CCM-005</t>
        </is>
      </c>
      <c r="E183" s="13" t="inlineStr">
        <is>
          <t>3x240</t>
        </is>
      </c>
      <c r="F183" s="13" t="inlineStr">
        <is>
          <t>450</t>
        </is>
      </c>
      <c r="G183" s="13" t="inlineStr">
        <is>
          <t>Engine Jacket Water Cooler Fan - Área 293</t>
        </is>
      </c>
      <c r="H183" s="13" t="inlineStr">
        <is>
          <t>MOTOR_BT</t>
        </is>
      </c>
    </row>
    <row r="184">
      <c r="A184" s="12" t="inlineStr">
        <is>
          <t>M-94204-B</t>
        </is>
      </c>
      <c r="B184" s="12" t="inlineStr"/>
      <c r="C184" s="12" t="inlineStr">
        <is>
          <t>380</t>
        </is>
      </c>
      <c r="D184" s="12" t="inlineStr">
        <is>
          <t>102-CCM-005</t>
        </is>
      </c>
      <c r="E184" s="12" t="inlineStr">
        <is>
          <t>3x240</t>
        </is>
      </c>
      <c r="F184" s="12" t="inlineStr">
        <is>
          <t>450</t>
        </is>
      </c>
      <c r="G184" s="12" t="inlineStr">
        <is>
          <t>PROCESS HEAT MEDIUM PUMP A - Área 942</t>
        </is>
      </c>
      <c r="H184" s="12" t="inlineStr">
        <is>
          <t>MOTOR_BT</t>
        </is>
      </c>
    </row>
    <row r="185">
      <c r="A185" s="13" t="inlineStr">
        <is>
          <t>M-94213A</t>
        </is>
      </c>
      <c r="B185" s="13" t="inlineStr"/>
      <c r="C185" s="13" t="inlineStr">
        <is>
          <t>380</t>
        </is>
      </c>
      <c r="D185" s="13" t="inlineStr">
        <is>
          <t>102-CCM-005</t>
        </is>
      </c>
      <c r="E185" s="13" t="inlineStr">
        <is>
          <t>3x240</t>
        </is>
      </c>
      <c r="F185" s="13" t="inlineStr">
        <is>
          <t>450</t>
        </is>
      </c>
      <c r="G185" s="13" t="inlineStr">
        <is>
          <t>PROCESS HEAT MEDIUM PUMP B - Área 942</t>
        </is>
      </c>
      <c r="H185" s="13" t="inlineStr">
        <is>
          <t>MOTOR_BT</t>
        </is>
      </c>
    </row>
    <row r="186">
      <c r="A186" s="12" t="inlineStr">
        <is>
          <t>M-94213B</t>
        </is>
      </c>
      <c r="B186" s="12" t="inlineStr"/>
      <c r="C186" s="12" t="inlineStr">
        <is>
          <t>220</t>
        </is>
      </c>
      <c r="D186" s="12" t="inlineStr">
        <is>
          <t>102-CCM-005</t>
        </is>
      </c>
      <c r="E186" s="12" t="inlineStr">
        <is>
          <t>2x4</t>
        </is>
      </c>
      <c r="F186" s="12" t="inlineStr">
        <is>
          <t>430</t>
        </is>
      </c>
      <c r="G186" s="12" t="inlineStr">
        <is>
          <t>Aeroenfriador de Hot Oil- Área 942</t>
        </is>
      </c>
      <c r="H186" s="12" t="inlineStr">
        <is>
          <t>MOTOR_BT</t>
        </is>
      </c>
    </row>
    <row r="187">
      <c r="A187" s="13" t="inlineStr">
        <is>
          <t>M-EAL-23310 A1</t>
        </is>
      </c>
      <c r="B187" s="13" t="inlineStr">
        <is>
          <t>PLAN DE SELLO BOMBA DE CONDENSADO 0</t>
        </is>
      </c>
      <c r="C187" s="13" t="inlineStr">
        <is>
          <t>380</t>
        </is>
      </c>
      <c r="D187" s="13" t="inlineStr">
        <is>
          <t>102-CCM-007</t>
        </is>
      </c>
      <c r="E187" s="13" t="inlineStr">
        <is>
          <t>3x6</t>
        </is>
      </c>
      <c r="F187" s="13" t="inlineStr">
        <is>
          <t>250</t>
        </is>
      </c>
      <c r="G187" s="13" t="inlineStr">
        <is>
          <t>SALA ELÉCTRICA 3</t>
        </is>
      </c>
      <c r="H187" s="13" t="inlineStr">
        <is>
          <t>MOTOR_BT</t>
        </is>
      </c>
    </row>
    <row r="188">
      <c r="A188" s="12" t="inlineStr">
        <is>
          <t>M-EAL-23310 A2</t>
        </is>
      </c>
      <c r="B188" s="12" t="inlineStr">
        <is>
          <t>PLAN DE SELLO BOMBA DE CONDENSADO 0</t>
        </is>
      </c>
      <c r="C188" s="12" t="inlineStr">
        <is>
          <t>380</t>
        </is>
      </c>
      <c r="D188" s="12" t="inlineStr">
        <is>
          <t>102-CCM-007</t>
        </is>
      </c>
      <c r="E188" s="12" t="inlineStr">
        <is>
          <t>3x6</t>
        </is>
      </c>
      <c r="F188" s="12" t="inlineStr">
        <is>
          <t>250</t>
        </is>
      </c>
      <c r="G188" s="12" t="inlineStr">
        <is>
          <t>SALA ELÉCTRICA 3</t>
        </is>
      </c>
      <c r="H188" s="12" t="inlineStr">
        <is>
          <t>MOTOR_BT</t>
        </is>
      </c>
    </row>
    <row r="189">
      <c r="A189" s="13" t="inlineStr">
        <is>
          <t>M-EAL-23310 B1</t>
        </is>
      </c>
      <c r="B189" s="13" t="inlineStr">
        <is>
          <t>PLAN DE SELLO BOMBA DE CONDENSADO 0</t>
        </is>
      </c>
      <c r="C189" s="13" t="inlineStr">
        <is>
          <t>380</t>
        </is>
      </c>
      <c r="D189" s="13" t="inlineStr">
        <is>
          <t>102-CCM-007</t>
        </is>
      </c>
      <c r="E189" s="13" t="inlineStr">
        <is>
          <t>3x6</t>
        </is>
      </c>
      <c r="F189" s="13" t="inlineStr">
        <is>
          <t>250</t>
        </is>
      </c>
      <c r="G189" s="13" t="inlineStr">
        <is>
          <t>SALA ELÉCTRICA 3</t>
        </is>
      </c>
      <c r="H189" s="13" t="inlineStr">
        <is>
          <t>MOTOR_BT</t>
        </is>
      </c>
    </row>
    <row r="190">
      <c r="A190" s="12" t="inlineStr">
        <is>
          <t>M-EAL-23310 B2</t>
        </is>
      </c>
      <c r="B190" s="12" t="inlineStr">
        <is>
          <t>PLAN DE SELLO BOMBA DE CONDENSADO 0</t>
        </is>
      </c>
      <c r="C190" s="12" t="inlineStr">
        <is>
          <t>380</t>
        </is>
      </c>
      <c r="D190" s="12" t="inlineStr">
        <is>
          <t>102-CCM-007</t>
        </is>
      </c>
      <c r="E190" s="12" t="inlineStr">
        <is>
          <t>3x6</t>
        </is>
      </c>
      <c r="F190" s="12" t="inlineStr">
        <is>
          <t>250</t>
        </is>
      </c>
      <c r="G190" s="12" t="inlineStr">
        <is>
          <t>SALA ELÉCTRICA 3</t>
        </is>
      </c>
      <c r="H190" s="12" t="inlineStr">
        <is>
          <t>MOTOR_BT</t>
        </is>
      </c>
    </row>
    <row r="191">
      <c r="A191" s="13" t="inlineStr">
        <is>
          <t>M-EAL-23310 C1</t>
        </is>
      </c>
      <c r="B191" s="13" t="inlineStr">
        <is>
          <t>PLAN DE SELLO BOMBA DE CONDENSADO 0</t>
        </is>
      </c>
      <c r="C191" s="13" t="inlineStr">
        <is>
          <t>380</t>
        </is>
      </c>
      <c r="D191" s="13" t="inlineStr">
        <is>
          <t>102-CCM-007</t>
        </is>
      </c>
      <c r="E191" s="13" t="inlineStr">
        <is>
          <t>3x6</t>
        </is>
      </c>
      <c r="F191" s="13" t="inlineStr">
        <is>
          <t>250</t>
        </is>
      </c>
      <c r="G191" s="13" t="inlineStr">
        <is>
          <t>SALA ELÉCTRICA 3</t>
        </is>
      </c>
      <c r="H191" s="13" t="inlineStr">
        <is>
          <t>MOTOR_BT</t>
        </is>
      </c>
    </row>
    <row r="192">
      <c r="A192" s="12" t="inlineStr">
        <is>
          <t>M-EAL-23310 C2</t>
        </is>
      </c>
      <c r="B192" s="12" t="inlineStr">
        <is>
          <t>PLAN DE SELLO BOMBA DE CONDENSADO</t>
        </is>
      </c>
      <c r="C192" s="12" t="inlineStr">
        <is>
          <t>380</t>
        </is>
      </c>
      <c r="D192" s="12" t="inlineStr">
        <is>
          <t>102-CCM-007</t>
        </is>
      </c>
      <c r="E192" s="12" t="inlineStr">
        <is>
          <t>3x6</t>
        </is>
      </c>
      <c r="F192" s="12" t="inlineStr">
        <is>
          <t>250</t>
        </is>
      </c>
      <c r="G192" s="12" t="inlineStr">
        <is>
          <t>SALA ELÉCTRICA 3</t>
        </is>
      </c>
      <c r="H192" s="12" t="inlineStr">
        <is>
          <t>MOTOR_BT</t>
        </is>
      </c>
    </row>
    <row r="193">
      <c r="A193" s="13" t="inlineStr">
        <is>
          <t>M-EAL-94270A</t>
        </is>
      </c>
      <c r="B193" s="13" t="inlineStr"/>
      <c r="C193" s="13" t="inlineStr">
        <is>
          <t>380</t>
        </is>
      </c>
      <c r="D193" s="13" t="inlineStr">
        <is>
          <t>102-CCM-005</t>
        </is>
      </c>
      <c r="E193" s="13" t="inlineStr">
        <is>
          <t>3x16</t>
        </is>
      </c>
      <c r="F193" s="13" t="inlineStr">
        <is>
          <t>450</t>
        </is>
      </c>
      <c r="G193" s="13" t="inlineStr">
        <is>
          <t>Heat Medium Combustion Air Blower - Área 942</t>
        </is>
      </c>
      <c r="H193" s="13" t="inlineStr">
        <is>
          <t>MOTOR_BT</t>
        </is>
      </c>
    </row>
    <row r="194">
      <c r="A194" s="12" t="inlineStr">
        <is>
          <t>M-EAL-94270B</t>
        </is>
      </c>
      <c r="B194" s="12" t="inlineStr"/>
      <c r="C194" s="12" t="inlineStr">
        <is>
          <t>380</t>
        </is>
      </c>
      <c r="D194" s="12" t="inlineStr">
        <is>
          <t>102-CCM-005</t>
        </is>
      </c>
      <c r="E194" s="12" t="inlineStr">
        <is>
          <t>3x16</t>
        </is>
      </c>
      <c r="F194" s="12" t="inlineStr">
        <is>
          <t>450</t>
        </is>
      </c>
      <c r="G194" s="12" t="inlineStr">
        <is>
          <t>Aeroenfriador de Hot Oil- Área 942</t>
        </is>
      </c>
      <c r="H194" s="12" t="inlineStr">
        <is>
          <t>MOTOR_BT</t>
        </is>
      </c>
    </row>
    <row r="195">
      <c r="A195" s="13" t="inlineStr">
        <is>
          <t>M-PAY-23040 A</t>
        </is>
      </c>
      <c r="B195" s="13" t="inlineStr">
        <is>
          <t>BOMBA BOOSTER CONDENSADO 0</t>
        </is>
      </c>
      <c r="C195" s="13" t="inlineStr">
        <is>
          <t>380</t>
        </is>
      </c>
      <c r="D195" s="13" t="inlineStr">
        <is>
          <t>102-CCM-007</t>
        </is>
      </c>
      <c r="E195" s="13" t="inlineStr">
        <is>
          <t>3x50</t>
        </is>
      </c>
      <c r="F195" s="13" t="inlineStr">
        <is>
          <t>440</t>
        </is>
      </c>
      <c r="G195" s="13" t="inlineStr">
        <is>
          <t>SALA ELÉCTRICA 3</t>
        </is>
      </c>
      <c r="H195" s="13" t="inlineStr">
        <is>
          <t>MOTOR_BT</t>
        </is>
      </c>
    </row>
    <row r="196">
      <c r="A196" s="12" t="inlineStr">
        <is>
          <t>M-PAY-23040 B</t>
        </is>
      </c>
      <c r="B196" s="12" t="inlineStr">
        <is>
          <t>BOMBA BOOSTER CONDENSADO 0</t>
        </is>
      </c>
      <c r="C196" s="12" t="inlineStr">
        <is>
          <t>380</t>
        </is>
      </c>
      <c r="D196" s="12" t="inlineStr">
        <is>
          <t>102-CCM-007</t>
        </is>
      </c>
      <c r="E196" s="12" t="inlineStr">
        <is>
          <t>3x50</t>
        </is>
      </c>
      <c r="F196" s="12" t="inlineStr">
        <is>
          <t>440</t>
        </is>
      </c>
      <c r="G196" s="12" t="inlineStr">
        <is>
          <t>SALA ELÉCTRICA 3</t>
        </is>
      </c>
      <c r="H196" s="12" t="inlineStr">
        <is>
          <t>MOTOR_BT</t>
        </is>
      </c>
    </row>
    <row r="197">
      <c r="A197" s="13" t="inlineStr">
        <is>
          <t>M-PAY-23040 C</t>
        </is>
      </c>
      <c r="B197" s="13" t="inlineStr">
        <is>
          <t>BOMBA BOOSTER CONDENSADO 0</t>
        </is>
      </c>
      <c r="C197" s="13" t="inlineStr">
        <is>
          <t>380</t>
        </is>
      </c>
      <c r="D197" s="13" t="inlineStr">
        <is>
          <t>102-CCM-007</t>
        </is>
      </c>
      <c r="E197" s="13" t="inlineStr">
        <is>
          <t>3x50</t>
        </is>
      </c>
      <c r="F197" s="13" t="inlineStr">
        <is>
          <t>440</t>
        </is>
      </c>
      <c r="G197" s="13" t="inlineStr">
        <is>
          <t>SALA ELÉCTRICA 3</t>
        </is>
      </c>
      <c r="H197" s="13" t="inlineStr">
        <is>
          <t>MOTOR_BT</t>
        </is>
      </c>
    </row>
    <row r="198">
      <c r="A198" s="12" t="inlineStr">
        <is>
          <t>M-PAY-23040 D</t>
        </is>
      </c>
      <c r="B198" s="12" t="inlineStr">
        <is>
          <t>BOMBA BOOSTER CONDENSADO 0</t>
        </is>
      </c>
      <c r="C198" s="12" t="inlineStr">
        <is>
          <t>380</t>
        </is>
      </c>
      <c r="D198" s="12" t="inlineStr">
        <is>
          <t>102-CCM-007</t>
        </is>
      </c>
      <c r="E198" s="12" t="inlineStr">
        <is>
          <t>3x50</t>
        </is>
      </c>
      <c r="F198" s="12" t="inlineStr">
        <is>
          <t>440</t>
        </is>
      </c>
      <c r="G198" s="12" t="inlineStr">
        <is>
          <t>SALA ELÉCTRICA 3</t>
        </is>
      </c>
      <c r="H198" s="12" t="inlineStr">
        <is>
          <t>MOTOR_BT</t>
        </is>
      </c>
    </row>
    <row r="199">
      <c r="A199" s="13" t="inlineStr">
        <is>
          <t>M-PAY-23140 A</t>
        </is>
      </c>
      <c r="B199" s="13" t="inlineStr">
        <is>
          <t>BOMBA BOOSTER CONDENSADO A</t>
        </is>
      </c>
      <c r="C199" s="13" t="inlineStr">
        <is>
          <t>220</t>
        </is>
      </c>
      <c r="D199" s="13" t="inlineStr">
        <is>
          <t>102-CCM-007</t>
        </is>
      </c>
      <c r="E199" s="13" t="inlineStr">
        <is>
          <t>2x6</t>
        </is>
      </c>
      <c r="F199" s="13" t="inlineStr">
        <is>
          <t>390</t>
        </is>
      </c>
      <c r="G199" s="13" t="inlineStr">
        <is>
          <t>Aeroenfriador de Hot Oil- Área 942</t>
        </is>
      </c>
      <c r="H199" s="13" t="inlineStr">
        <is>
          <t>MOTOR_BT</t>
        </is>
      </c>
    </row>
    <row r="200">
      <c r="A200" s="12" t="inlineStr">
        <is>
          <t>M-PAY-23310 A</t>
        </is>
      </c>
      <c r="B200" s="12" t="inlineStr">
        <is>
          <t>BOMBA DE CONDENSADO 0</t>
        </is>
      </c>
      <c r="C200" s="12" t="inlineStr">
        <is>
          <t>6600</t>
        </is>
      </c>
      <c r="D200" s="12" t="inlineStr">
        <is>
          <t>102-DP-VFD-23310 A</t>
        </is>
      </c>
      <c r="E200" s="12" t="inlineStr">
        <is>
          <t>3x25</t>
        </is>
      </c>
      <c r="F200" s="12" t="inlineStr">
        <is>
          <t>350</t>
        </is>
      </c>
      <c r="G200" s="12" t="inlineStr">
        <is>
          <t>SALA ELÉCTRICA 4</t>
        </is>
      </c>
      <c r="H200" s="12" t="inlineStr">
        <is>
          <t>MOTOR_MT</t>
        </is>
      </c>
    </row>
    <row r="201">
      <c r="A201" s="13" t="inlineStr">
        <is>
          <t>M-PAY-23310 B</t>
        </is>
      </c>
      <c r="B201" s="13" t="inlineStr">
        <is>
          <t>BOMBA DE CONDENSADO 0</t>
        </is>
      </c>
      <c r="C201" s="13" t="inlineStr">
        <is>
          <t>6600</t>
        </is>
      </c>
      <c r="D201" s="13" t="inlineStr">
        <is>
          <t>102-DP-VFD-23310 B</t>
        </is>
      </c>
      <c r="E201" s="13" t="inlineStr">
        <is>
          <t>3x25</t>
        </is>
      </c>
      <c r="F201" s="13" t="inlineStr">
        <is>
          <t>350</t>
        </is>
      </c>
      <c r="G201" s="13" t="inlineStr">
        <is>
          <t>SALA ELÉCTRICA 4</t>
        </is>
      </c>
      <c r="H201" s="13" t="inlineStr">
        <is>
          <t>MOTOR_MT</t>
        </is>
      </c>
    </row>
    <row r="202">
      <c r="A202" s="12" t="inlineStr">
        <is>
          <t>M-PAY-23310 C</t>
        </is>
      </c>
      <c r="B202" s="12" t="inlineStr">
        <is>
          <t>BOMBA DE CONDENSADO</t>
        </is>
      </c>
      <c r="C202" s="12" t="inlineStr">
        <is>
          <t>6600</t>
        </is>
      </c>
      <c r="D202" s="12" t="inlineStr">
        <is>
          <t>102-DP-VFD-23310 C</t>
        </is>
      </c>
      <c r="E202" s="12" t="inlineStr">
        <is>
          <t>3x25</t>
        </is>
      </c>
      <c r="F202" s="12" t="inlineStr">
        <is>
          <t>350</t>
        </is>
      </c>
      <c r="G202" s="12" t="inlineStr">
        <is>
          <t>SALA ELÉCTRICA 4</t>
        </is>
      </c>
      <c r="H202" s="12" t="inlineStr">
        <is>
          <t>MOTOR_MT</t>
        </is>
      </c>
    </row>
    <row r="203">
      <c r="A203" s="13" t="inlineStr">
        <is>
          <t>M-PAY-95140 A</t>
        </is>
      </c>
      <c r="B203" s="13" t="inlineStr">
        <is>
          <t>BOMBA KOD 0</t>
        </is>
      </c>
      <c r="C203" s="13" t="inlineStr">
        <is>
          <t>380</t>
        </is>
      </c>
      <c r="D203" s="13" t="inlineStr">
        <is>
          <t>102-CCM-006</t>
        </is>
      </c>
      <c r="E203" s="13" t="inlineStr">
        <is>
          <t>3x35</t>
        </is>
      </c>
      <c r="F203" s="13" t="inlineStr">
        <is>
          <t>370</t>
        </is>
      </c>
      <c r="G203" s="13" t="inlineStr">
        <is>
          <t>Aeroenfriador de Hot Oil- Área 942</t>
        </is>
      </c>
      <c r="H203" s="13" t="inlineStr">
        <is>
          <t>MOTOR_BT</t>
        </is>
      </c>
    </row>
    <row r="204">
      <c r="A204" s="12" t="inlineStr">
        <is>
          <t>M-PAY-95140 B</t>
        </is>
      </c>
      <c r="B204" s="12" t="inlineStr">
        <is>
          <t>BOMBA KOD 0</t>
        </is>
      </c>
      <c r="C204" s="12" t="inlineStr">
        <is>
          <t>380</t>
        </is>
      </c>
      <c r="D204" s="12" t="inlineStr">
        <is>
          <t>102-CCM-006</t>
        </is>
      </c>
      <c r="E204" s="12" t="inlineStr">
        <is>
          <t>3x35</t>
        </is>
      </c>
      <c r="F204" s="12" t="inlineStr">
        <is>
          <t>370</t>
        </is>
      </c>
      <c r="G204" s="12" t="inlineStr">
        <is>
          <t>Aeroenfriador de Hot Oil- Área 942</t>
        </is>
      </c>
      <c r="H204" s="12" t="inlineStr">
        <is>
          <t>MOTOR_BT</t>
        </is>
      </c>
    </row>
    <row r="205">
      <c r="A205" s="13" t="inlineStr">
        <is>
          <t>M-PAY-97110 A</t>
        </is>
      </c>
      <c r="B205" s="13" t="inlineStr">
        <is>
          <t>BOMBAS SUMIDEROS DE DRENAJES ABIERTOS</t>
        </is>
      </c>
      <c r="C205" s="13" t="inlineStr">
        <is>
          <t>380</t>
        </is>
      </c>
      <c r="D205" s="13" t="inlineStr">
        <is>
          <t>102-CCM-006</t>
        </is>
      </c>
      <c r="E205" s="13" t="inlineStr">
        <is>
          <t>3x10</t>
        </is>
      </c>
      <c r="F205" s="13" t="inlineStr">
        <is>
          <t>270</t>
        </is>
      </c>
      <c r="G205" s="13" t="inlineStr">
        <is>
          <t>Aeroenfriador de Hot Oil- Área 942</t>
        </is>
      </c>
      <c r="H205" s="13" t="inlineStr">
        <is>
          <t>MOTOR_BT</t>
        </is>
      </c>
    </row>
    <row r="206">
      <c r="A206" s="12" t="inlineStr">
        <is>
          <t>M-PAY-97110 B</t>
        </is>
      </c>
      <c r="B206" s="12" t="inlineStr">
        <is>
          <t>BOMBAS SUMIDEROS DE DRENAJES ABIERTOS</t>
        </is>
      </c>
      <c r="C206" s="12" t="inlineStr">
        <is>
          <t>380</t>
        </is>
      </c>
      <c r="D206" s="12" t="inlineStr">
        <is>
          <t>102-CCM-006</t>
        </is>
      </c>
      <c r="E206" s="12" t="inlineStr">
        <is>
          <t>3x10</t>
        </is>
      </c>
      <c r="F206" s="12" t="inlineStr">
        <is>
          <t>270</t>
        </is>
      </c>
      <c r="G206" s="12" t="inlineStr">
        <is>
          <t>Aeroenfriador de Hot Oil- Área 942</t>
        </is>
      </c>
      <c r="H206" s="12" t="inlineStr">
        <is>
          <t>MOTOR_BT</t>
        </is>
      </c>
    </row>
    <row r="207">
      <c r="A207" s="13" t="inlineStr">
        <is>
          <t>M-PAY-97320 A</t>
        </is>
      </c>
      <c r="B207" s="13" t="inlineStr">
        <is>
          <t>BOMBA DE SUMIDERO DE DRENAJES CERRADOS 0</t>
        </is>
      </c>
      <c r="C207" s="13" t="inlineStr">
        <is>
          <t>380</t>
        </is>
      </c>
      <c r="D207" s="13" t="inlineStr">
        <is>
          <t>102-CCM-006</t>
        </is>
      </c>
      <c r="E207" s="13" t="inlineStr">
        <is>
          <t>3x10</t>
        </is>
      </c>
      <c r="F207" s="13" t="inlineStr">
        <is>
          <t>120</t>
        </is>
      </c>
      <c r="G207" s="13" t="inlineStr">
        <is>
          <t>Aeroenfriador de Hot Oil- Área 942</t>
        </is>
      </c>
      <c r="H207" s="13" t="inlineStr">
        <is>
          <t>MOTOR_BT</t>
        </is>
      </c>
    </row>
    <row r="208">
      <c r="A208" s="12" t="inlineStr">
        <is>
          <t>M-PAY-97320 B</t>
        </is>
      </c>
      <c r="B208" s="12" t="inlineStr">
        <is>
          <t>BOMBA DE SUMIDERO DE DRENAJES CERRADOS 0</t>
        </is>
      </c>
      <c r="C208" s="12" t="inlineStr">
        <is>
          <t>380</t>
        </is>
      </c>
      <c r="D208" s="12" t="inlineStr">
        <is>
          <t>102-CCM-006</t>
        </is>
      </c>
      <c r="E208" s="12" t="inlineStr">
        <is>
          <t>3x10</t>
        </is>
      </c>
      <c r="F208" s="12" t="inlineStr">
        <is>
          <t>120</t>
        </is>
      </c>
      <c r="G208" s="12" t="inlineStr">
        <is>
          <t>Aeroenfriador de Hot Oil- Área 942</t>
        </is>
      </c>
      <c r="H208" s="12" t="inlineStr">
        <is>
          <t>MOTOR_BT</t>
        </is>
      </c>
    </row>
    <row r="209">
      <c r="A209" s="13" t="inlineStr">
        <is>
          <t>M-PAZ-24210 A</t>
        </is>
      </c>
      <c r="B209" s="13" t="inlineStr">
        <is>
          <t>BOMBA DE INYECCION DE AGUA 0</t>
        </is>
      </c>
      <c r="C209" s="13" t="inlineStr">
        <is>
          <t>460</t>
        </is>
      </c>
      <c r="D209" s="13" t="inlineStr">
        <is>
          <t>102-DP-VFD-24210 A</t>
        </is>
      </c>
      <c r="E209" s="13" t="inlineStr">
        <is>
          <t>3x240</t>
        </is>
      </c>
      <c r="F209" s="13" t="inlineStr">
        <is>
          <t>250</t>
        </is>
      </c>
      <c r="G209" s="13" t="inlineStr">
        <is>
          <t>SALA ELÉCTRICA 3</t>
        </is>
      </c>
      <c r="H209" s="13" t="inlineStr">
        <is>
          <t>MOTOR_BT</t>
        </is>
      </c>
    </row>
    <row r="210">
      <c r="A210" s="12" t="inlineStr">
        <is>
          <t>M-PAZ-24210 B</t>
        </is>
      </c>
      <c r="B210" s="12" t="inlineStr">
        <is>
          <t>BOMBA DE INYECCION DE AGUA 0</t>
        </is>
      </c>
      <c r="C210" s="12" t="inlineStr">
        <is>
          <t>460</t>
        </is>
      </c>
      <c r="D210" s="12" t="inlineStr">
        <is>
          <t>102-DP-VFD-24210 B</t>
        </is>
      </c>
      <c r="E210" s="12" t="inlineStr">
        <is>
          <t>3x240</t>
        </is>
      </c>
      <c r="F210" s="12" t="inlineStr">
        <is>
          <t>250</t>
        </is>
      </c>
      <c r="G210" s="12" t="inlineStr">
        <is>
          <t>SALA ELÉCTRICA 3</t>
        </is>
      </c>
      <c r="H210" s="12" t="inlineStr">
        <is>
          <t>MOTOR_BT</t>
        </is>
      </c>
    </row>
    <row r="211">
      <c r="A211" s="13" t="inlineStr">
        <is>
          <t>M-PAZ-24210 C</t>
        </is>
      </c>
      <c r="B211" s="13" t="inlineStr">
        <is>
          <t>BOMBA DE INYECCION DE AGUA 0</t>
        </is>
      </c>
      <c r="C211" s="13" t="inlineStr">
        <is>
          <t>460</t>
        </is>
      </c>
      <c r="D211" s="13" t="inlineStr">
        <is>
          <t>102-DP-VFD-24210 C</t>
        </is>
      </c>
      <c r="E211" s="13" t="inlineStr">
        <is>
          <t>3x240</t>
        </is>
      </c>
      <c r="F211" s="13" t="inlineStr">
        <is>
          <t>250</t>
        </is>
      </c>
      <c r="G211" s="13" t="inlineStr">
        <is>
          <t>SALA ELÉCTRICA 3</t>
        </is>
      </c>
      <c r="H211" s="13" t="inlineStr">
        <is>
          <t>MOTOR_BT</t>
        </is>
      </c>
    </row>
    <row r="212">
      <c r="A212" s="12" t="inlineStr">
        <is>
          <t>M-PAZ-24430 A</t>
        </is>
      </c>
      <c r="B212" s="12" t="inlineStr">
        <is>
          <t>BOMBA DE TANQUE DE EFLUENTES</t>
        </is>
      </c>
      <c r="C212" s="12" t="inlineStr">
        <is>
          <t>380</t>
        </is>
      </c>
      <c r="D212" s="12" t="inlineStr">
        <is>
          <t>102-CCM-006</t>
        </is>
      </c>
      <c r="E212" s="12" t="inlineStr">
        <is>
          <t>3x16</t>
        </is>
      </c>
      <c r="F212" s="12" t="inlineStr">
        <is>
          <t>280</t>
        </is>
      </c>
      <c r="G212" s="12" t="inlineStr">
        <is>
          <t>Aeroenfriador de Hot Oil- Área 942</t>
        </is>
      </c>
      <c r="H212" s="12" t="inlineStr">
        <is>
          <t>MOTOR_BT</t>
        </is>
      </c>
    </row>
    <row r="213">
      <c r="A213" s="13" t="inlineStr">
        <is>
          <t>M-PAZ-24430 B</t>
        </is>
      </c>
      <c r="B213" s="13" t="inlineStr">
        <is>
          <t>BOMBA DE TANQUE DE EFLUENTES</t>
        </is>
      </c>
      <c r="C213" s="13" t="inlineStr">
        <is>
          <t>380</t>
        </is>
      </c>
      <c r="D213" s="13" t="inlineStr">
        <is>
          <t>102-CCM-006</t>
        </is>
      </c>
      <c r="E213" s="13" t="inlineStr">
        <is>
          <t>3x16</t>
        </is>
      </c>
      <c r="F213" s="13" t="inlineStr">
        <is>
          <t>280</t>
        </is>
      </c>
      <c r="G213" s="13" t="inlineStr">
        <is>
          <t>Aeroenfriador de Hot Oil- Área 942</t>
        </is>
      </c>
      <c r="H213" s="13" t="inlineStr">
        <is>
          <t>MOTOR_BT</t>
        </is>
      </c>
    </row>
    <row r="214">
      <c r="A214" s="12" t="inlineStr">
        <is>
          <t>M-PBA-24420 A</t>
        </is>
      </c>
      <c r="B214" s="12" t="inlineStr">
        <is>
          <t>BOMBA DE SKIMMEADO 0</t>
        </is>
      </c>
      <c r="C214" s="12" t="inlineStr">
        <is>
          <t>380</t>
        </is>
      </c>
      <c r="D214" s="12" t="inlineStr">
        <is>
          <t>102-CCM-007</t>
        </is>
      </c>
      <c r="E214" s="12" t="inlineStr">
        <is>
          <t>3x6</t>
        </is>
      </c>
      <c r="F214" s="12" t="inlineStr">
        <is>
          <t>150</t>
        </is>
      </c>
      <c r="G214" s="12" t="inlineStr">
        <is>
          <t>SALA ELÉCTRICA 3</t>
        </is>
      </c>
      <c r="H214" s="12" t="inlineStr">
        <is>
          <t>MOTOR_BT</t>
        </is>
      </c>
    </row>
    <row r="215">
      <c r="A215" s="13" t="inlineStr">
        <is>
          <t>M-PBA-24420 B</t>
        </is>
      </c>
      <c r="B215" s="13" t="inlineStr">
        <is>
          <t>BOMBA DE SKIMMEADO 0</t>
        </is>
      </c>
      <c r="C215" s="13" t="inlineStr">
        <is>
          <t>380</t>
        </is>
      </c>
      <c r="D215" s="13" t="inlineStr">
        <is>
          <t>102-CCM-007</t>
        </is>
      </c>
      <c r="E215" s="13" t="inlineStr">
        <is>
          <t>3x6</t>
        </is>
      </c>
      <c r="F215" s="13" t="inlineStr">
        <is>
          <t>150</t>
        </is>
      </c>
      <c r="G215" s="13" t="inlineStr">
        <is>
          <t>SALA ELÉCTRICA 3</t>
        </is>
      </c>
      <c r="H215" s="13" t="inlineStr">
        <is>
          <t>MOTOR_BT</t>
        </is>
      </c>
    </row>
    <row r="216">
      <c r="A216" s="12" t="inlineStr">
        <is>
          <t>M-PBA-97150 A</t>
        </is>
      </c>
      <c r="B216" s="12" t="inlineStr">
        <is>
          <t>BOMBAS DE AGUA DE TANQUE SLOP 0</t>
        </is>
      </c>
      <c r="C216" s="12" t="inlineStr">
        <is>
          <t>380</t>
        </is>
      </c>
      <c r="D216" s="12" t="inlineStr">
        <is>
          <t>102-CCM-007</t>
        </is>
      </c>
      <c r="E216" s="12" t="inlineStr">
        <is>
          <t>3x16</t>
        </is>
      </c>
      <c r="F216" s="12" t="inlineStr">
        <is>
          <t>190</t>
        </is>
      </c>
      <c r="G216" s="12" t="inlineStr">
        <is>
          <t>SALA ELÉCTRICA 3</t>
        </is>
      </c>
      <c r="H216" s="12" t="inlineStr">
        <is>
          <t>MOTOR_BT</t>
        </is>
      </c>
    </row>
    <row r="217">
      <c r="A217" s="13" t="inlineStr">
        <is>
          <t>M-PBA-97150 B</t>
        </is>
      </c>
      <c r="B217" s="13" t="inlineStr">
        <is>
          <t>BOMBAS DE AGUA DE TANQUE SLOP 0</t>
        </is>
      </c>
      <c r="C217" s="13" t="inlineStr">
        <is>
          <t>380</t>
        </is>
      </c>
      <c r="D217" s="13" t="inlineStr">
        <is>
          <t>102-CCM-007</t>
        </is>
      </c>
      <c r="E217" s="13" t="inlineStr">
        <is>
          <t>3x16</t>
        </is>
      </c>
      <c r="F217" s="13" t="inlineStr">
        <is>
          <t>190</t>
        </is>
      </c>
      <c r="G217" s="13" t="inlineStr">
        <is>
          <t>SALA ELÉCTRICA 3</t>
        </is>
      </c>
      <c r="H217" s="13" t="inlineStr">
        <is>
          <t>MOTOR_BT</t>
        </is>
      </c>
    </row>
    <row r="218">
      <c r="A218" s="12" t="inlineStr">
        <is>
          <t>M-PBA-97160 A</t>
        </is>
      </c>
      <c r="B218" s="12" t="inlineStr">
        <is>
          <t>BOMBA DE CONDENSADO DE TANQUE SLOP 0</t>
        </is>
      </c>
      <c r="C218" s="12" t="inlineStr">
        <is>
          <t>380</t>
        </is>
      </c>
      <c r="D218" s="12" t="inlineStr">
        <is>
          <t>102-CCM-007</t>
        </is>
      </c>
      <c r="E218" s="12" t="inlineStr">
        <is>
          <t>3x50</t>
        </is>
      </c>
      <c r="F218" s="12" t="inlineStr">
        <is>
          <t>190</t>
        </is>
      </c>
      <c r="G218" s="12" t="inlineStr">
        <is>
          <t>SALA ELÉCTRICA 3</t>
        </is>
      </c>
      <c r="H218" s="12" t="inlineStr">
        <is>
          <t>MOTOR_BT</t>
        </is>
      </c>
    </row>
    <row r="219">
      <c r="A219" s="13" t="inlineStr">
        <is>
          <t>M-PBA-97160 B</t>
        </is>
      </c>
      <c r="B219" s="13" t="inlineStr">
        <is>
          <t>BOMBA DE CONDENSADO DE TANQUE SLOP 0</t>
        </is>
      </c>
      <c r="C219" s="13" t="inlineStr">
        <is>
          <t>380</t>
        </is>
      </c>
      <c r="D219" s="13" t="inlineStr">
        <is>
          <t>102-CCM-007</t>
        </is>
      </c>
      <c r="E219" s="13" t="inlineStr">
        <is>
          <t>3x50</t>
        </is>
      </c>
      <c r="F219" s="13" t="inlineStr">
        <is>
          <t>190</t>
        </is>
      </c>
      <c r="G219" s="13" t="inlineStr">
        <is>
          <t>SALA ELÉCTRICA 3</t>
        </is>
      </c>
      <c r="H219" s="13" t="inlineStr">
        <is>
          <t>MOTOR_BT</t>
        </is>
      </c>
    </row>
    <row r="220">
      <c r="A220" s="12" t="inlineStr">
        <is>
          <t>M-PBM-24340 A</t>
        </is>
      </c>
      <c r="B220" s="12" t="inlineStr">
        <is>
          <t>BOMBA DE TRANSFERENCIA A</t>
        </is>
      </c>
      <c r="C220" s="12" t="inlineStr">
        <is>
          <t>380</t>
        </is>
      </c>
      <c r="D220" s="12" t="inlineStr">
        <is>
          <t>102-CCM-007</t>
        </is>
      </c>
      <c r="E220" s="12" t="inlineStr">
        <is>
          <t>3x50</t>
        </is>
      </c>
      <c r="F220" s="12" t="inlineStr">
        <is>
          <t>130</t>
        </is>
      </c>
      <c r="G220" s="12" t="inlineStr">
        <is>
          <t>SALA ELÉCTRICA 3</t>
        </is>
      </c>
      <c r="H220" s="12" t="inlineStr">
        <is>
          <t>MOTOR_BT</t>
        </is>
      </c>
    </row>
    <row r="221">
      <c r="A221" s="13" t="inlineStr">
        <is>
          <t>M-PBM-24340 B</t>
        </is>
      </c>
      <c r="B221" s="13" t="inlineStr">
        <is>
          <t>BOMBA DE TRANSFERENCIA 0</t>
        </is>
      </c>
      <c r="C221" s="13" t="inlineStr">
        <is>
          <t>380</t>
        </is>
      </c>
      <c r="D221" s="13" t="inlineStr">
        <is>
          <t>102-CCM-007</t>
        </is>
      </c>
      <c r="E221" s="13" t="inlineStr">
        <is>
          <t>3x50</t>
        </is>
      </c>
      <c r="F221" s="13" t="inlineStr">
        <is>
          <t>130</t>
        </is>
      </c>
      <c r="G221" s="13" t="inlineStr">
        <is>
          <t>SALA ELÉCTRICA 3</t>
        </is>
      </c>
      <c r="H221" s="13" t="inlineStr">
        <is>
          <t>MOTOR_BT</t>
        </is>
      </c>
    </row>
    <row r="222">
      <c r="A222" s="12" t="inlineStr">
        <is>
          <t>M-PBM-24390 A</t>
        </is>
      </c>
      <c r="B222" s="12" t="inlineStr">
        <is>
          <t>BOMBA DE AGUA TRATADA A TANQUES 0</t>
        </is>
      </c>
      <c r="C222" s="12" t="inlineStr">
        <is>
          <t>380</t>
        </is>
      </c>
      <c r="D222" s="12" t="inlineStr">
        <is>
          <t>102-CCM-007</t>
        </is>
      </c>
      <c r="E222" s="12" t="inlineStr">
        <is>
          <t>3x25</t>
        </is>
      </c>
      <c r="F222" s="12" t="inlineStr">
        <is>
          <t>150</t>
        </is>
      </c>
      <c r="G222" s="12" t="inlineStr">
        <is>
          <t>SALA ELÉCTRICA 3</t>
        </is>
      </c>
      <c r="H222" s="12" t="inlineStr">
        <is>
          <t>MOTOR_BT</t>
        </is>
      </c>
    </row>
    <row r="223">
      <c r="A223" s="13" t="inlineStr">
        <is>
          <t>M-PBM-24390 B</t>
        </is>
      </c>
      <c r="B223" s="13" t="inlineStr">
        <is>
          <t>BOMBA DE AGUA TRATADA A TANQUES 0</t>
        </is>
      </c>
      <c r="C223" s="13" t="inlineStr">
        <is>
          <t>380</t>
        </is>
      </c>
      <c r="D223" s="13" t="inlineStr">
        <is>
          <t>102-CCM-007</t>
        </is>
      </c>
      <c r="E223" s="13" t="inlineStr">
        <is>
          <t>3x25</t>
        </is>
      </c>
      <c r="F223" s="13" t="inlineStr">
        <is>
          <t>150</t>
        </is>
      </c>
      <c r="G223" s="13" t="inlineStr">
        <is>
          <t>SALA ELÉCTRICA 3</t>
        </is>
      </c>
      <c r="H223" s="13" t="inlineStr">
        <is>
          <t>MOTOR_BT</t>
        </is>
      </c>
    </row>
    <row r="224">
      <c r="A224" s="12" t="inlineStr">
        <is>
          <t>M-PBM-24390 C</t>
        </is>
      </c>
      <c r="B224" s="12" t="inlineStr">
        <is>
          <t>BOMBA DE AGUA TRATADA A TANQUES A</t>
        </is>
      </c>
      <c r="C224" s="12" t="inlineStr">
        <is>
          <t>380</t>
        </is>
      </c>
      <c r="D224" s="12" t="inlineStr">
        <is>
          <t>102-CCM-007</t>
        </is>
      </c>
      <c r="E224" s="12" t="inlineStr">
        <is>
          <t>3x25</t>
        </is>
      </c>
      <c r="F224" s="12" t="inlineStr">
        <is>
          <t>150</t>
        </is>
      </c>
      <c r="G224" s="12" t="inlineStr">
        <is>
          <t>SALA ELÉCTRICA 3</t>
        </is>
      </c>
      <c r="H224" s="12" t="inlineStr">
        <is>
          <t>MOTOR_BT</t>
        </is>
      </c>
    </row>
    <row r="225">
      <c r="A225" s="13" t="inlineStr">
        <is>
          <t>MAN-90006</t>
        </is>
      </c>
      <c r="B225" s="13" t="inlineStr">
        <is>
          <t>Generador de Emergencia - CCM-006 Barra C</t>
        </is>
      </c>
      <c r="C225" s="13" t="inlineStr">
        <is>
          <t>380</t>
        </is>
      </c>
      <c r="D225" s="13" t="inlineStr">
        <is>
          <t>102-CCM-006</t>
        </is>
      </c>
      <c r="E225" s="13" t="inlineStr">
        <is>
          <t>1x240</t>
        </is>
      </c>
      <c r="F225" s="13" t="inlineStr">
        <is>
          <t>50</t>
        </is>
      </c>
      <c r="G225" s="13" t="inlineStr">
        <is>
          <t>SALA ELÉCTRICA 3</t>
        </is>
      </c>
      <c r="H225" s="13" t="inlineStr">
        <is>
          <t>INSTRUMENTO</t>
        </is>
      </c>
    </row>
    <row r="226">
      <c r="A226" s="12" t="inlineStr">
        <is>
          <t>SKZZ-90200 A</t>
        </is>
      </c>
      <c r="B226" s="12" t="inlineStr">
        <is>
          <t>SKID QUÍMICO DE INHIBIDOR DE CORROSIÓN 0</t>
        </is>
      </c>
      <c r="C226" s="12" t="inlineStr">
        <is>
          <t>380</t>
        </is>
      </c>
      <c r="D226" s="12" t="inlineStr">
        <is>
          <t>102-CCM-007</t>
        </is>
      </c>
      <c r="E226" s="12" t="inlineStr">
        <is>
          <t>4x4</t>
        </is>
      </c>
      <c r="F226" s="12" t="inlineStr">
        <is>
          <t>180</t>
        </is>
      </c>
      <c r="G226" s="12" t="inlineStr">
        <is>
          <t>SALA ELÉCTRICA 3</t>
        </is>
      </c>
      <c r="H226" s="12" t="inlineStr">
        <is>
          <t>INSTRUMENTO</t>
        </is>
      </c>
    </row>
    <row r="227">
      <c r="A227" s="13" t="inlineStr">
        <is>
          <t>SKZZ-90200 B</t>
        </is>
      </c>
      <c r="B227" s="13" t="inlineStr">
        <is>
          <t>SKID QUÍMICO DE INHIBIDOR DE CORROSIÓN 0</t>
        </is>
      </c>
      <c r="C227" s="13" t="inlineStr">
        <is>
          <t>380</t>
        </is>
      </c>
      <c r="D227" s="13" t="inlineStr">
        <is>
          <t>102-CCM-007</t>
        </is>
      </c>
      <c r="E227" s="13" t="inlineStr">
        <is>
          <t>4x4</t>
        </is>
      </c>
      <c r="F227" s="13" t="inlineStr">
        <is>
          <t>180</t>
        </is>
      </c>
      <c r="G227" s="13" t="inlineStr">
        <is>
          <t>SALA ELÉCTRICA 3</t>
        </is>
      </c>
      <c r="H227" s="13" t="inlineStr">
        <is>
          <t>INSTRUMENTO</t>
        </is>
      </c>
    </row>
    <row r="228">
      <c r="A228" s="12" t="inlineStr">
        <is>
          <t>SKZZ-90201</t>
        </is>
      </c>
      <c r="B228" s="12" t="inlineStr">
        <is>
          <t>SKID QUÍMICO DE SECUESTRANTE DE OXÍGENO 0</t>
        </is>
      </c>
      <c r="C228" s="12" t="inlineStr">
        <is>
          <t>380</t>
        </is>
      </c>
      <c r="D228" s="12" t="inlineStr">
        <is>
          <t>102-CCM-007</t>
        </is>
      </c>
      <c r="E228" s="12" t="inlineStr">
        <is>
          <t>4x4</t>
        </is>
      </c>
      <c r="F228" s="12" t="inlineStr">
        <is>
          <t>180</t>
        </is>
      </c>
      <c r="G228" s="12" t="inlineStr">
        <is>
          <t>SALA ELÉCTRICA 3</t>
        </is>
      </c>
      <c r="H228" s="12" t="inlineStr">
        <is>
          <t>INSTRUMENTO</t>
        </is>
      </c>
    </row>
    <row r="229">
      <c r="A229" s="13" t="inlineStr">
        <is>
          <t>SKZZ-90202 B</t>
        </is>
      </c>
      <c r="B229" s="13" t="inlineStr">
        <is>
          <t>SKID QUÍMICO DE BIOCIDA 0</t>
        </is>
      </c>
      <c r="C229" s="13" t="inlineStr">
        <is>
          <t>380</t>
        </is>
      </c>
      <c r="D229" s="13" t="inlineStr">
        <is>
          <t>102-CCM-007</t>
        </is>
      </c>
      <c r="E229" s="13" t="inlineStr">
        <is>
          <t>4x4</t>
        </is>
      </c>
      <c r="F229" s="13" t="inlineStr">
        <is>
          <t>180</t>
        </is>
      </c>
      <c r="G229" s="13" t="inlineStr">
        <is>
          <t>SALA ELÉCTRICA 3</t>
        </is>
      </c>
      <c r="H229" s="13" t="inlineStr">
        <is>
          <t>INSTRUMENTO</t>
        </is>
      </c>
    </row>
    <row r="230">
      <c r="A230" s="12" t="inlineStr">
        <is>
          <t>SKZZ-90202 C</t>
        </is>
      </c>
      <c r="B230" s="12" t="inlineStr">
        <is>
          <t>SKID QUÍMICO DE BIOCIDA 0</t>
        </is>
      </c>
      <c r="C230" s="12" t="inlineStr">
        <is>
          <t>380</t>
        </is>
      </c>
      <c r="D230" s="12" t="inlineStr">
        <is>
          <t>102-CCM-007</t>
        </is>
      </c>
      <c r="E230" s="12" t="inlineStr">
        <is>
          <t>4x4</t>
        </is>
      </c>
      <c r="F230" s="12" t="inlineStr">
        <is>
          <t>180</t>
        </is>
      </c>
      <c r="G230" s="12" t="inlineStr">
        <is>
          <t>SALA ELÉCTRICA 3</t>
        </is>
      </c>
      <c r="H230" s="12" t="inlineStr">
        <is>
          <t>INSTRUMENTO</t>
        </is>
      </c>
    </row>
    <row r="231">
      <c r="A231" s="13" t="inlineStr">
        <is>
          <t>SKZZ-90203 B</t>
        </is>
      </c>
      <c r="B231" s="13" t="inlineStr">
        <is>
          <t>SKID QUÍMICO DE BIOCIDA 0</t>
        </is>
      </c>
      <c r="C231" s="13" t="inlineStr">
        <is>
          <t>380</t>
        </is>
      </c>
      <c r="D231" s="13" t="inlineStr">
        <is>
          <t>102-CCM-007</t>
        </is>
      </c>
      <c r="E231" s="13" t="inlineStr">
        <is>
          <t>4x4</t>
        </is>
      </c>
      <c r="F231" s="13" t="inlineStr">
        <is>
          <t>180</t>
        </is>
      </c>
      <c r="G231" s="13" t="inlineStr">
        <is>
          <t>SALA ELÉCTRICA 3</t>
        </is>
      </c>
      <c r="H231" s="13" t="inlineStr">
        <is>
          <t>INSTRUMENTO</t>
        </is>
      </c>
    </row>
    <row r="232">
      <c r="A232" s="12" t="inlineStr">
        <is>
          <t>SKZZ-90203 C</t>
        </is>
      </c>
      <c r="B232" s="12" t="inlineStr">
        <is>
          <t>SKID QUÍMICO DE BIOCIDA 0</t>
        </is>
      </c>
      <c r="C232" s="12" t="inlineStr">
        <is>
          <t>380</t>
        </is>
      </c>
      <c r="D232" s="12" t="inlineStr">
        <is>
          <t>102-CCM-007</t>
        </is>
      </c>
      <c r="E232" s="12" t="inlineStr">
        <is>
          <t>4x4</t>
        </is>
      </c>
      <c r="F232" s="12" t="inlineStr">
        <is>
          <t>180</t>
        </is>
      </c>
      <c r="G232" s="12" t="inlineStr">
        <is>
          <t>SALA ELÉCTRICA 3</t>
        </is>
      </c>
      <c r="H232" s="12" t="inlineStr">
        <is>
          <t>INSTRUMENTO</t>
        </is>
      </c>
    </row>
    <row r="233">
      <c r="A233" s="13" t="inlineStr">
        <is>
          <t>SKZZ-90206 A</t>
        </is>
      </c>
      <c r="B233" s="13" t="inlineStr">
        <is>
          <t>SKID QUÍMICO DE DESEMULSIONANTE 0</t>
        </is>
      </c>
      <c r="C233" s="13" t="inlineStr">
        <is>
          <t>380</t>
        </is>
      </c>
      <c r="D233" s="13" t="inlineStr">
        <is>
          <t>102-CCM-006</t>
        </is>
      </c>
      <c r="E233" s="13" t="inlineStr">
        <is>
          <t>4x4</t>
        </is>
      </c>
      <c r="F233" s="13" t="inlineStr">
        <is>
          <t>250</t>
        </is>
      </c>
      <c r="G233" s="13" t="inlineStr">
        <is>
          <t>Aeroenfriador de Hot Oil- Área 942</t>
        </is>
      </c>
      <c r="H233" s="13" t="inlineStr">
        <is>
          <t>INSTRUMENTO</t>
        </is>
      </c>
    </row>
    <row r="234">
      <c r="A234" s="12" t="inlineStr">
        <is>
          <t>SKZZ-90207 A</t>
        </is>
      </c>
      <c r="B234" s="12" t="inlineStr">
        <is>
          <t>SKID QUÍMICO DE INHIBIDOR DE INCRUSTACIONES 0</t>
        </is>
      </c>
      <c r="C234" s="12" t="inlineStr">
        <is>
          <t>380</t>
        </is>
      </c>
      <c r="D234" s="12" t="inlineStr">
        <is>
          <t>102-CCM-006</t>
        </is>
      </c>
      <c r="E234" s="12" t="inlineStr">
        <is>
          <t>4x4</t>
        </is>
      </c>
      <c r="F234" s="12" t="inlineStr">
        <is>
          <t>250</t>
        </is>
      </c>
      <c r="G234" s="12" t="inlineStr">
        <is>
          <t>Aeroenfriador de Hot Oil- Área 942</t>
        </is>
      </c>
      <c r="H234" s="12" t="inlineStr">
        <is>
          <t>INSTRUMENTO</t>
        </is>
      </c>
    </row>
    <row r="235">
      <c r="A235" s="13" t="inlineStr">
        <is>
          <t>SKZZ-90208 A</t>
        </is>
      </c>
      <c r="B235" s="13" t="inlineStr">
        <is>
          <t>SKID QUÍMICO DE INHIBIDOR DE CORROSIÓN 0</t>
        </is>
      </c>
      <c r="C235" s="13" t="inlineStr">
        <is>
          <t>380</t>
        </is>
      </c>
      <c r="D235" s="13" t="inlineStr">
        <is>
          <t>102-CCM-006</t>
        </is>
      </c>
      <c r="E235" s="13" t="inlineStr">
        <is>
          <t>4x4</t>
        </is>
      </c>
      <c r="F235" s="13" t="inlineStr">
        <is>
          <t>250</t>
        </is>
      </c>
      <c r="G235" s="13" t="inlineStr">
        <is>
          <t>Aeroenfriador de Hot Oil- Área 942</t>
        </is>
      </c>
      <c r="H235" s="13" t="inlineStr">
        <is>
          <t>INSTRUMENTO</t>
        </is>
      </c>
    </row>
    <row r="236">
      <c r="A236" s="12" t="inlineStr">
        <is>
          <t>SKZZ-90209 A</t>
        </is>
      </c>
      <c r="B236" s="12" t="inlineStr">
        <is>
          <t>SKID QUÍMICO DE INHIBIDOR DE HALITA 0</t>
        </is>
      </c>
      <c r="C236" s="12" t="inlineStr">
        <is>
          <t>380</t>
        </is>
      </c>
      <c r="D236" s="12" t="inlineStr">
        <is>
          <t>102-CCM-006</t>
        </is>
      </c>
      <c r="E236" s="12" t="inlineStr">
        <is>
          <t>4x4</t>
        </is>
      </c>
      <c r="F236" s="12" t="inlineStr">
        <is>
          <t>250</t>
        </is>
      </c>
      <c r="G236" s="12" t="inlineStr">
        <is>
          <t>Aeroenfriador de Hot Oil- Área 942</t>
        </is>
      </c>
      <c r="H236" s="12" t="inlineStr">
        <is>
          <t>INSTRUMENTO</t>
        </is>
      </c>
    </row>
    <row r="237">
      <c r="A237" s="13" t="inlineStr">
        <is>
          <t>SKZZ-90212 A</t>
        </is>
      </c>
      <c r="B237" s="13" t="inlineStr">
        <is>
          <t>SKID QUÍMICO DE INHIBIDOR DE HIDRATOS 0</t>
        </is>
      </c>
      <c r="C237" s="13" t="inlineStr">
        <is>
          <t>380</t>
        </is>
      </c>
      <c r="D237" s="13" t="inlineStr">
        <is>
          <t>102-CCM-006</t>
        </is>
      </c>
      <c r="E237" s="13" t="inlineStr">
        <is>
          <t>4x4</t>
        </is>
      </c>
      <c r="F237" s="13" t="inlineStr">
        <is>
          <t>220</t>
        </is>
      </c>
      <c r="G237" s="13" t="inlineStr">
        <is>
          <t>Aeroenfriador de Hot Oil- Área 942</t>
        </is>
      </c>
      <c r="H237" s="13" t="inlineStr">
        <is>
          <t>INSTRUMENTO</t>
        </is>
      </c>
    </row>
    <row r="238">
      <c r="A238" s="12" t="inlineStr">
        <is>
          <t>SKZZ-90213</t>
        </is>
      </c>
      <c r="B238" s="12" t="inlineStr">
        <is>
          <t>SKID QUÍMICO DE INHIBIDOR DE HIDRATOS 0</t>
        </is>
      </c>
      <c r="C238" s="12" t="inlineStr">
        <is>
          <t>380</t>
        </is>
      </c>
      <c r="D238" s="12" t="inlineStr">
        <is>
          <t>102-CCM-006</t>
        </is>
      </c>
      <c r="E238" s="12" t="inlineStr">
        <is>
          <t>4x4</t>
        </is>
      </c>
      <c r="F238" s="12" t="inlineStr">
        <is>
          <t>220</t>
        </is>
      </c>
      <c r="G238" s="12" t="inlineStr">
        <is>
          <t>Aeroenfriador de Hot Oil- Área 942</t>
        </is>
      </c>
      <c r="H238" s="12" t="inlineStr">
        <is>
          <t>INSTRUMENTO</t>
        </is>
      </c>
    </row>
    <row r="239">
      <c r="A239" s="13" t="inlineStr">
        <is>
          <t>SKZZ-90216</t>
        </is>
      </c>
      <c r="B239" s="13" t="inlineStr">
        <is>
          <t>SKID QUÍMICO DE SECUESTRANTE DE SULFURO DE HIDRÓGENO 0</t>
        </is>
      </c>
      <c r="C239" s="13" t="inlineStr">
        <is>
          <t>380</t>
        </is>
      </c>
      <c r="D239" s="13" t="inlineStr">
        <is>
          <t>102-CCM-006</t>
        </is>
      </c>
      <c r="E239" s="13" t="inlineStr">
        <is>
          <t>4x4</t>
        </is>
      </c>
      <c r="F239" s="13" t="inlineStr">
        <is>
          <t>250</t>
        </is>
      </c>
      <c r="G239" s="13" t="inlineStr">
        <is>
          <t>Aeroenfriador de Hot Oil- Área 942</t>
        </is>
      </c>
      <c r="H239" s="13" t="inlineStr">
        <is>
          <t>INSTRUMENTO</t>
        </is>
      </c>
    </row>
    <row r="240">
      <c r="A240" s="12" t="inlineStr">
        <is>
          <t>SKZZ-90217</t>
        </is>
      </c>
      <c r="B240" s="12" t="inlineStr">
        <is>
          <t>SKID QUÍMICO BIOCIDA 0</t>
        </is>
      </c>
      <c r="C240" s="12" t="inlineStr">
        <is>
          <t>380</t>
        </is>
      </c>
      <c r="D240" s="12" t="inlineStr">
        <is>
          <t>102-CCM-007</t>
        </is>
      </c>
      <c r="E240" s="12" t="inlineStr">
        <is>
          <t>4x4</t>
        </is>
      </c>
      <c r="F240" s="12" t="inlineStr">
        <is>
          <t>250</t>
        </is>
      </c>
      <c r="G240" s="12" t="inlineStr">
        <is>
          <t>SALA ELÉCTRICA 3</t>
        </is>
      </c>
      <c r="H240" s="12" t="inlineStr">
        <is>
          <t>INSTRUMENTO</t>
        </is>
      </c>
    </row>
    <row r="241">
      <c r="A241" s="13" t="inlineStr">
        <is>
          <t>SKZZ-90218</t>
        </is>
      </c>
      <c r="B241" s="13" t="inlineStr">
        <is>
          <t>SKID QUÍMICO INHIBIDOR DE INCRUSTACIONES 0</t>
        </is>
      </c>
      <c r="C241" s="13" t="inlineStr">
        <is>
          <t>380</t>
        </is>
      </c>
      <c r="D241" s="13" t="inlineStr">
        <is>
          <t>102-CCM-007</t>
        </is>
      </c>
      <c r="E241" s="13" t="inlineStr">
        <is>
          <t>4x4</t>
        </is>
      </c>
      <c r="F241" s="13" t="inlineStr">
        <is>
          <t>250</t>
        </is>
      </c>
      <c r="G241" s="13" t="inlineStr">
        <is>
          <t>SALA ELÉCTRICA 3</t>
        </is>
      </c>
      <c r="H241" s="13" t="inlineStr">
        <is>
          <t>INSTRUMENTO</t>
        </is>
      </c>
    </row>
    <row r="242">
      <c r="A242" s="12" t="inlineStr">
        <is>
          <t>SKZZ-90219</t>
        </is>
      </c>
      <c r="B242" s="12" t="inlineStr">
        <is>
          <t>SKID QUÍMICO INHIBIDOR DE CORROSIÓN 0</t>
        </is>
      </c>
      <c r="C242" s="12" t="inlineStr">
        <is>
          <t>380</t>
        </is>
      </c>
      <c r="D242" s="12" t="inlineStr">
        <is>
          <t>102-CCM-007</t>
        </is>
      </c>
      <c r="E242" s="12" t="inlineStr">
        <is>
          <t>4x4</t>
        </is>
      </c>
      <c r="F242" s="12" t="inlineStr">
        <is>
          <t>250</t>
        </is>
      </c>
      <c r="G242" s="12" t="inlineStr">
        <is>
          <t>SALA ELÉCTRICA 3</t>
        </is>
      </c>
      <c r="H242" s="12" t="inlineStr">
        <is>
          <t>INSTRUMENTO</t>
        </is>
      </c>
    </row>
    <row r="243">
      <c r="A243" s="13" t="inlineStr">
        <is>
          <t>SKZZ-91040</t>
        </is>
      </c>
      <c r="B243" s="13" t="inlineStr">
        <is>
          <t>SKID DE COMPRESIÓN Y SECADO DE AIRE 0</t>
        </is>
      </c>
      <c r="C243" s="13" t="inlineStr">
        <is>
          <t>380</t>
        </is>
      </c>
      <c r="D243" s="13" t="inlineStr">
        <is>
          <t>102-CCM-006</t>
        </is>
      </c>
      <c r="E243" s="13" t="inlineStr">
        <is>
          <t>3x120/70</t>
        </is>
      </c>
      <c r="F243" s="13" t="inlineStr">
        <is>
          <t>500</t>
        </is>
      </c>
      <c r="G243" s="13" t="inlineStr">
        <is>
          <t>Aeroenfriador de Hot Oil- Área 942</t>
        </is>
      </c>
      <c r="H243" s="13" t="inlineStr">
        <is>
          <t>INSTRUMENTO</t>
        </is>
      </c>
    </row>
    <row r="244">
      <c r="A244" s="12" t="inlineStr">
        <is>
          <t>SKZZ-91050</t>
        </is>
      </c>
      <c r="B244" s="12" t="inlineStr">
        <is>
          <t>SKID DE COMPRESIÓN Y SECADO DE AIRE 0</t>
        </is>
      </c>
      <c r="C244" s="12" t="inlineStr">
        <is>
          <t>380</t>
        </is>
      </c>
      <c r="D244" s="12" t="inlineStr">
        <is>
          <t>102-CCM-006</t>
        </is>
      </c>
      <c r="E244" s="12" t="inlineStr">
        <is>
          <t>3x120/70</t>
        </is>
      </c>
      <c r="F244" s="12" t="inlineStr">
        <is>
          <t>500</t>
        </is>
      </c>
      <c r="G244" s="12" t="inlineStr">
        <is>
          <t>Aeroenfriador de Hot Oil- Área 942</t>
        </is>
      </c>
      <c r="H244" s="12" t="inlineStr">
        <is>
          <t>INSTRUMENTO</t>
        </is>
      </c>
    </row>
  </sheetData>
  <autoFilter ref="A1:H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10" customWidth="1" min="4" max="4"/>
    <col width="24" customWidth="1" min="5" max="5"/>
    <col width="14" customWidth="1" min="6" max="6"/>
    <col width="10" customWidth="1" min="7" max="7"/>
    <col width="14" customWidth="1" min="8" max="8"/>
    <col width="55" customWidth="1" min="9" max="9"/>
  </cols>
  <sheetData>
    <row r="1" ht="35" customHeight="1">
      <c r="A1" s="22" t="inlineStr">
        <is>
          <t>ESTIMACIÓN DE TIEMPOS DE INSTALACIÓN ELÉCTRICA - CPF-2 LA CALERA II</t>
        </is>
      </c>
    </row>
    <row r="2" ht="30" customHeight="1">
      <c r="A2" s="23" t="inlineStr">
        <is>
          <t>Base: 3 cuadrillas eléctricas x 4 personas | 8 hs/día efectivas | Rendimientos campo Patagonia</t>
        </is>
      </c>
    </row>
    <row r="3">
      <c r="A3" s="11" t="inlineStr">
        <is>
          <t>CATEGORIA</t>
        </is>
      </c>
      <c r="B3" s="11" t="inlineStr">
        <is>
          <t>ITEM</t>
        </is>
      </c>
      <c r="C3" s="11" t="inlineStr">
        <is>
          <t>CANTIDAD</t>
        </is>
      </c>
      <c r="D3" s="11" t="inlineStr">
        <is>
          <t>UNIDAD</t>
        </is>
      </c>
      <c r="E3" s="11" t="inlineStr">
        <is>
          <t>RENDIMIENTO</t>
        </is>
      </c>
      <c r="F3" s="11" t="inlineStr">
        <is>
          <t>DIAS_CUADRILLA</t>
        </is>
      </c>
      <c r="G3" s="11" t="inlineStr">
        <is>
          <t>CUADRILLAS</t>
        </is>
      </c>
      <c r="H3" s="11" t="inlineStr">
        <is>
          <t>DIAS_PARALELO</t>
        </is>
      </c>
      <c r="I3" s="11" t="inlineStr">
        <is>
          <t>OBSERVACION</t>
        </is>
      </c>
    </row>
    <row r="4" ht="20" customHeight="1">
      <c r="A4" s="24" t="inlineStr">
        <is>
          <t>── TENDIDO DE CABLES ──</t>
        </is>
      </c>
      <c r="B4" s="42" t="n"/>
      <c r="C4" s="42" t="n"/>
      <c r="D4" s="42" t="n"/>
      <c r="E4" s="42" t="n"/>
      <c r="F4" s="42" t="n"/>
      <c r="G4" s="42" t="n"/>
      <c r="H4" s="42" t="n"/>
      <c r="I4" s="43" t="n"/>
    </row>
    <row r="5" ht="18" customHeight="1">
      <c r="A5" s="13" t="inlineStr">
        <is>
          <t>TENDIDO</t>
        </is>
      </c>
      <c r="B5" s="13" t="inlineStr">
        <is>
          <t>Cables Potencia MT (13.2/6.6kV)</t>
        </is>
      </c>
      <c r="C5" s="25" t="n">
        <v>2110</v>
      </c>
      <c r="D5" s="13" t="inlineStr">
        <is>
          <t>m</t>
        </is>
      </c>
      <c r="E5" s="13" t="inlineStr">
        <is>
          <t>30 m/día/cuadrilla</t>
        </is>
      </c>
      <c r="F5" s="25" t="n">
        <v>70.3</v>
      </c>
      <c r="G5" s="25" t="n">
        <v>2</v>
      </c>
      <c r="H5" s="25" t="n">
        <v>35.1</v>
      </c>
      <c r="I5" s="13" t="inlineStr">
        <is>
          <t>18 cables | Req. maniobras especiales MT</t>
        </is>
      </c>
    </row>
    <row r="6" ht="18" customHeight="1">
      <c r="A6" s="12" t="inlineStr">
        <is>
          <t>TENDIDO</t>
        </is>
      </c>
      <c r="B6" s="12" t="inlineStr">
        <is>
          <t>Cables Potencia BT Grande (≥35mm²)</t>
        </is>
      </c>
      <c r="C6" s="26" t="n">
        <v>17470</v>
      </c>
      <c r="D6" s="12" t="inlineStr">
        <is>
          <t>m</t>
        </is>
      </c>
      <c r="E6" s="12" t="inlineStr">
        <is>
          <t>50 m/día/cuadrilla</t>
        </is>
      </c>
      <c r="F6" s="26" t="n">
        <v>349.4</v>
      </c>
      <c r="G6" s="26" t="n">
        <v>3</v>
      </c>
      <c r="H6" s="26" t="n">
        <v>116.5</v>
      </c>
      <c r="I6" s="12" t="inlineStr">
        <is>
          <t>104 cables | 3x240, 3x150, 3x95, 3x50mm²</t>
        </is>
      </c>
    </row>
    <row r="7" ht="18" customHeight="1">
      <c r="A7" s="13" t="inlineStr">
        <is>
          <t>TENDIDO</t>
        </is>
      </c>
      <c r="B7" s="13" t="inlineStr">
        <is>
          <t>Cables Potencia BT Mediano (10-35mm²)</t>
        </is>
      </c>
      <c r="C7" s="25" t="n">
        <v>11250</v>
      </c>
      <c r="D7" s="13" t="inlineStr">
        <is>
          <t>m</t>
        </is>
      </c>
      <c r="E7" s="13" t="inlineStr">
        <is>
          <t>80 m/día/cuadrilla</t>
        </is>
      </c>
      <c r="F7" s="25" t="n">
        <v>140.6</v>
      </c>
      <c r="G7" s="25" t="n">
        <v>3</v>
      </c>
      <c r="H7" s="25" t="n">
        <v>46.9</v>
      </c>
      <c r="I7" s="13" t="inlineStr">
        <is>
          <t>71 cables | 3x16, 3x25mm²</t>
        </is>
      </c>
    </row>
    <row r="8" ht="18" customHeight="1">
      <c r="A8" s="12" t="inlineStr">
        <is>
          <t>TENDIDO</t>
        </is>
      </c>
      <c r="B8" s="12" t="inlineStr">
        <is>
          <t>Cables Potencia BT Pequeño (&lt;10mm²)</t>
        </is>
      </c>
      <c r="C8" s="26" t="n">
        <v>21875</v>
      </c>
      <c r="D8" s="12" t="inlineStr">
        <is>
          <t>m</t>
        </is>
      </c>
      <c r="E8" s="12" t="inlineStr">
        <is>
          <t>120 m/día/cuadrilla</t>
        </is>
      </c>
      <c r="F8" s="26" t="n">
        <v>182.3</v>
      </c>
      <c r="G8" s="26" t="n">
        <v>3</v>
      </c>
      <c r="H8" s="26" t="n">
        <v>60.8</v>
      </c>
      <c r="I8" s="12" t="inlineStr">
        <is>
          <t>127 cables | 3x4, 3x6, 4x4mm²</t>
        </is>
      </c>
    </row>
    <row r="9" ht="18" customHeight="1">
      <c r="A9" s="13" t="inlineStr">
        <is>
          <t>TENDIDO</t>
        </is>
      </c>
      <c r="B9" s="13" t="inlineStr">
        <is>
          <t>Cables Control + Señales</t>
        </is>
      </c>
      <c r="C9" s="25" t="n">
        <v>28126</v>
      </c>
      <c r="D9" s="13" t="inlineStr">
        <is>
          <t>m</t>
        </is>
      </c>
      <c r="E9" s="13" t="inlineStr">
        <is>
          <t>100 m/día/cuadrilla</t>
        </is>
      </c>
      <c r="F9" s="25" t="n">
        <v>281.3</v>
      </c>
      <c r="G9" s="25" t="n">
        <v>3</v>
      </c>
      <c r="H9" s="25" t="n">
        <v>93.8</v>
      </c>
      <c r="I9" s="13" t="inlineStr">
        <is>
          <t>192 cables | multiconductores</t>
        </is>
      </c>
    </row>
    <row r="10" ht="18" customHeight="1">
      <c r="A10" s="12" t="inlineStr">
        <is>
          <t>TENDIDO</t>
        </is>
      </c>
      <c r="B10" s="12" t="inlineStr">
        <is>
          <t>Cables Fibra Óptica</t>
        </is>
      </c>
      <c r="C10" s="26" t="n">
        <v>400</v>
      </c>
      <c r="D10" s="12" t="inlineStr">
        <is>
          <t>m</t>
        </is>
      </c>
      <c r="E10" s="12" t="inlineStr">
        <is>
          <t>200 m/día/cuadrilla</t>
        </is>
      </c>
      <c r="F10" s="26" t="n">
        <v>2</v>
      </c>
      <c r="G10" s="26" t="n">
        <v>1</v>
      </c>
      <c r="H10" s="26" t="n">
        <v>2</v>
      </c>
      <c r="I10" s="12" t="inlineStr">
        <is>
          <t>1 cables FO</t>
        </is>
      </c>
    </row>
    <row r="11" ht="18" customHeight="1">
      <c r="A11" s="13" t="inlineStr">
        <is>
          <t>TENDIDO</t>
        </is>
      </c>
      <c r="B11" s="13" t="inlineStr">
        <is>
          <t>Cables Ethernet UTP</t>
        </is>
      </c>
      <c r="C11" s="25" t="n">
        <v>0</v>
      </c>
      <c r="D11" s="13" t="inlineStr">
        <is>
          <t>m</t>
        </is>
      </c>
      <c r="E11" s="13" t="inlineStr">
        <is>
          <t>150 m/día/cuadrilla</t>
        </is>
      </c>
      <c r="F11" s="25" t="n">
        <v>0</v>
      </c>
      <c r="G11" s="25" t="n">
        <v>1</v>
      </c>
      <c r="H11" s="25" t="n">
        <v>0</v>
      </c>
      <c r="I11" s="13" t="inlineStr">
        <is>
          <t>0 cables ETH</t>
        </is>
      </c>
    </row>
    <row r="12" ht="20" customHeight="1">
      <c r="A12" s="24" t="inlineStr">
        <is>
          <t>── CONEXIONADO Y TERMINACIÓN ──</t>
        </is>
      </c>
      <c r="B12" s="42" t="n"/>
      <c r="C12" s="42" t="n"/>
      <c r="D12" s="42" t="n"/>
      <c r="E12" s="42" t="n"/>
      <c r="F12" s="42" t="n"/>
      <c r="G12" s="42" t="n"/>
      <c r="H12" s="42" t="n"/>
      <c r="I12" s="43" t="n"/>
    </row>
    <row r="13" ht="18" customHeight="1">
      <c r="A13" s="13" t="inlineStr">
        <is>
          <t>CONEXIONADO</t>
        </is>
      </c>
      <c r="B13" s="13" t="inlineStr">
        <is>
          <t>Terminales MT (6.6/13.2kV)</t>
        </is>
      </c>
      <c r="C13" s="25" t="n">
        <v>36</v>
      </c>
      <c r="D13" s="13" t="inlineStr">
        <is>
          <t>extremos</t>
        </is>
      </c>
      <c r="E13" s="13" t="inlineStr">
        <is>
          <t>8 hs/extremo = 1 día</t>
        </is>
      </c>
      <c r="F13" s="25" t="n">
        <v>36</v>
      </c>
      <c r="G13" s="25" t="n">
        <v>2</v>
      </c>
      <c r="H13" s="25" t="n">
        <v>18</v>
      </c>
      <c r="I13" s="13" t="inlineStr">
        <is>
          <t>Req. técnicos especializados MT | ABB/AESA</t>
        </is>
      </c>
    </row>
    <row r="14" ht="18" customHeight="1">
      <c r="A14" s="12" t="inlineStr">
        <is>
          <t>CONEXIONADO</t>
        </is>
      </c>
      <c r="B14" s="12" t="inlineStr">
        <is>
          <t>Terminales BT Grande (≥35mm²)</t>
        </is>
      </c>
      <c r="C14" s="26" t="n">
        <v>208</v>
      </c>
      <c r="D14" s="12" t="inlineStr">
        <is>
          <t>extremos</t>
        </is>
      </c>
      <c r="E14" s="12" t="inlineStr">
        <is>
          <t>3 hs/extremo</t>
        </is>
      </c>
      <c r="F14" s="26" t="n">
        <v>78</v>
      </c>
      <c r="G14" s="26" t="n">
        <v>3</v>
      </c>
      <c r="H14" s="26" t="n">
        <v>26</v>
      </c>
      <c r="I14" s="12" t="inlineStr">
        <is>
          <t>Zapatas + precintos + termorretráctil</t>
        </is>
      </c>
    </row>
    <row r="15" ht="18" customHeight="1">
      <c r="A15" s="13" t="inlineStr">
        <is>
          <t>CONEXIONADO</t>
        </is>
      </c>
      <c r="B15" s="13" t="inlineStr">
        <is>
          <t>Terminales BT Mediano/Pequeño</t>
        </is>
      </c>
      <c r="C15" s="25" t="n">
        <v>396</v>
      </c>
      <c r="D15" s="13" t="inlineStr">
        <is>
          <t>extremos</t>
        </is>
      </c>
      <c r="E15" s="13" t="inlineStr">
        <is>
          <t>1.5 hs/extremo</t>
        </is>
      </c>
      <c r="F15" s="25" t="n">
        <v>74.2</v>
      </c>
      <c r="G15" s="25" t="n">
        <v>3</v>
      </c>
      <c r="H15" s="25" t="n">
        <v>24.7</v>
      </c>
      <c r="I15" s="13" t="inlineStr">
        <is>
          <t>Terminales preaislados</t>
        </is>
      </c>
    </row>
    <row r="16" ht="18" customHeight="1">
      <c r="A16" s="12" t="inlineStr">
        <is>
          <t>CONEXIONADO</t>
        </is>
      </c>
      <c r="B16" s="12" t="inlineStr">
        <is>
          <t>Cables de Control (peinado+etiq.+prueba)</t>
        </is>
      </c>
      <c r="C16" s="26" t="n">
        <v>192</v>
      </c>
      <c r="D16" s="12" t="inlineStr">
        <is>
          <t>cables</t>
        </is>
      </c>
      <c r="E16" s="12" t="inlineStr">
        <is>
          <t>4 hs/cable</t>
        </is>
      </c>
      <c r="F16" s="26" t="n">
        <v>96</v>
      </c>
      <c r="G16" s="26" t="n">
        <v>3</v>
      </c>
      <c r="H16" s="26" t="n">
        <v>32</v>
      </c>
      <c r="I16" s="12" t="inlineStr">
        <is>
          <t>Incluye control, señales y vibroswitches</t>
        </is>
      </c>
    </row>
    <row r="17" ht="20" customHeight="1">
      <c r="A17" s="24" t="inlineStr">
        <is>
          <t>── MONTAJE DE EQUIPOS ──</t>
        </is>
      </c>
      <c r="B17" s="42" t="n"/>
      <c r="C17" s="42" t="n"/>
      <c r="D17" s="42" t="n"/>
      <c r="E17" s="42" t="n"/>
      <c r="F17" s="42" t="n"/>
      <c r="G17" s="42" t="n"/>
      <c r="H17" s="42" t="n"/>
      <c r="I17" s="43" t="n"/>
    </row>
    <row r="18" ht="18" customHeight="1">
      <c r="A18" s="12" t="inlineStr">
        <is>
          <t>MONTAJE</t>
        </is>
      </c>
      <c r="B18" s="12" t="inlineStr">
        <is>
          <t>CCMs BT (grandes &gt;20 bahías)</t>
        </is>
      </c>
      <c r="C18" s="26" t="n">
        <v>3</v>
      </c>
      <c r="D18" s="12" t="inlineStr">
        <is>
          <t>unidades</t>
        </is>
      </c>
      <c r="E18" s="12" t="inlineStr">
        <is>
          <t>5 días/CCM</t>
        </is>
      </c>
      <c r="F18" s="26" t="n">
        <v>15</v>
      </c>
      <c r="G18" s="26" t="n">
        <v>2</v>
      </c>
      <c r="H18" s="26" t="n">
        <v>7.5</v>
      </c>
      <c r="I18" s="12" t="inlineStr">
        <is>
          <t>CCM-005, CCM-006, CCM-007 | Llegan en ABB S3/S4</t>
        </is>
      </c>
    </row>
    <row r="19" ht="18" customHeight="1">
      <c r="A19" s="13" t="inlineStr">
        <is>
          <t>MONTAJE</t>
        </is>
      </c>
      <c r="B19" s="13" t="inlineStr">
        <is>
          <t>Celdas MT (TGMT + TRMT)</t>
        </is>
      </c>
      <c r="C19" s="25" t="n">
        <v>6</v>
      </c>
      <c r="D19" s="13" t="inlineStr">
        <is>
          <t>equipos</t>
        </is>
      </c>
      <c r="E19" s="13" t="inlineStr">
        <is>
          <t>3 días/equipo</t>
        </is>
      </c>
      <c r="F19" s="25" t="n">
        <v>18</v>
      </c>
      <c r="G19" s="25" t="n">
        <v>2</v>
      </c>
      <c r="H19" s="25" t="n">
        <v>9</v>
      </c>
      <c r="I19" s="13" t="inlineStr">
        <is>
          <t>TGMT-001, TGMT-002, TRMT-001A/B | Izaje + nivelación</t>
        </is>
      </c>
    </row>
    <row r="20" ht="18" customHeight="1">
      <c r="A20" s="12" t="inlineStr">
        <is>
          <t>MONTAJE</t>
        </is>
      </c>
      <c r="B20" s="12" t="inlineStr">
        <is>
          <t>Motores MT (&gt;90kW, 6.6kV)</t>
        </is>
      </c>
      <c r="C20" s="26" t="n">
        <v>6</v>
      </c>
      <c r="D20" s="12" t="inlineStr">
        <is>
          <t>motores</t>
        </is>
      </c>
      <c r="E20" s="12" t="inlineStr">
        <is>
          <t>2 días/motor</t>
        </is>
      </c>
      <c r="F20" s="26" t="n">
        <v>12</v>
      </c>
      <c r="G20" s="26" t="n">
        <v>2</v>
      </c>
      <c r="H20" s="26" t="n">
        <v>6</v>
      </c>
      <c r="I20" s="12" t="inlineStr">
        <is>
          <t>M-PAY-23310 A/B/C, M-PAZ-24210 A/B/C | Izaje + alineación</t>
        </is>
      </c>
    </row>
    <row r="21" ht="18" customHeight="1">
      <c r="A21" s="13" t="inlineStr">
        <is>
          <t>MONTAJE</t>
        </is>
      </c>
      <c r="B21" s="13" t="inlineStr">
        <is>
          <t>Motores BT Grande (&gt;90kW)</t>
        </is>
      </c>
      <c r="C21" s="25" t="n">
        <v>19</v>
      </c>
      <c r="D21" s="13" t="inlineStr">
        <is>
          <t>motores</t>
        </is>
      </c>
      <c r="E21" s="13" t="inlineStr">
        <is>
          <t>1 día/motor</t>
        </is>
      </c>
      <c r="F21" s="25" t="n">
        <v>19</v>
      </c>
      <c r="G21" s="25" t="n">
        <v>3</v>
      </c>
      <c r="H21" s="25" t="n">
        <v>6.3</v>
      </c>
      <c r="I21" s="13" t="inlineStr">
        <is>
          <t>PAY-23040, PAZ bombas transferencia</t>
        </is>
      </c>
    </row>
    <row r="22" ht="18" customHeight="1">
      <c r="A22" s="12" t="inlineStr">
        <is>
          <t>MONTAJE</t>
        </is>
      </c>
      <c r="B22" s="12" t="inlineStr">
        <is>
          <t>Motores BT Mediano (22-90kW)</t>
        </is>
      </c>
      <c r="C22" s="26" t="n">
        <v>42</v>
      </c>
      <c r="D22" s="12" t="inlineStr">
        <is>
          <t>motores</t>
        </is>
      </c>
      <c r="E22" s="12" t="inlineStr">
        <is>
          <t>0.5 días/motor</t>
        </is>
      </c>
      <c r="F22" s="26" t="n">
        <v>21</v>
      </c>
      <c r="G22" s="26" t="n">
        <v>3</v>
      </c>
      <c r="H22" s="26" t="n">
        <v>7</v>
      </c>
      <c r="I22" s="12" t="inlineStr">
        <is>
          <t>PBM-24390, PBA-24420, etc.</t>
        </is>
      </c>
    </row>
    <row r="23" ht="18" customHeight="1">
      <c r="A23" s="13" t="inlineStr">
        <is>
          <t>MONTAJE</t>
        </is>
      </c>
      <c r="B23" s="13" t="inlineStr">
        <is>
          <t>Motores BT Pequeño (&lt;22kW)</t>
        </is>
      </c>
      <c r="C23" s="25" t="n">
        <v>15</v>
      </c>
      <c r="D23" s="13" t="inlineStr">
        <is>
          <t>motores</t>
        </is>
      </c>
      <c r="E23" s="13" t="inlineStr">
        <is>
          <t>0.25 días/motor</t>
        </is>
      </c>
      <c r="F23" s="25" t="n">
        <v>3.75</v>
      </c>
      <c r="G23" s="25" t="n">
        <v>3</v>
      </c>
      <c r="H23" s="25" t="n">
        <v>1.2</v>
      </c>
      <c r="I23" s="13" t="inlineStr">
        <is>
          <t>Auxiliares, vibroswitches, EAL-23310</t>
        </is>
      </c>
    </row>
    <row r="24" ht="20" customHeight="1">
      <c r="A24" s="24" t="inlineStr">
        <is>
          <t>── PRUEBAS Y ENERGIZACIÓN ──</t>
        </is>
      </c>
      <c r="B24" s="42" t="n"/>
      <c r="C24" s="42" t="n"/>
      <c r="D24" s="42" t="n"/>
      <c r="E24" s="42" t="n"/>
      <c r="F24" s="42" t="n"/>
      <c r="G24" s="42" t="n"/>
      <c r="H24" s="42" t="n"/>
      <c r="I24" s="43" t="n"/>
    </row>
    <row r="25" ht="18" customHeight="1">
      <c r="A25" s="13" t="inlineStr">
        <is>
          <t>PRUEBAS</t>
        </is>
      </c>
      <c r="B25" s="13" t="inlineStr">
        <is>
          <t>Pruebas de Aislación (Megger) por circuito</t>
        </is>
      </c>
      <c r="C25" s="25" t="n">
        <v>513</v>
      </c>
      <c r="D25" s="13" t="inlineStr">
        <is>
          <t>cables</t>
        </is>
      </c>
      <c r="E25" s="13" t="inlineStr">
        <is>
          <t>2 hs/cable = 0.25 días</t>
        </is>
      </c>
      <c r="F25" s="25" t="n">
        <v>128.2</v>
      </c>
      <c r="G25" s="25" t="n">
        <v>3</v>
      </c>
      <c r="H25" s="25" t="n">
        <v>42.7</v>
      </c>
      <c r="I25" s="13" t="inlineStr">
        <is>
          <t>Incluye registro y documentación ITP</t>
        </is>
      </c>
    </row>
    <row r="26" ht="18" customHeight="1">
      <c r="A26" s="12" t="inlineStr">
        <is>
          <t>PRUEBAS</t>
        </is>
      </c>
      <c r="B26" s="12" t="inlineStr">
        <is>
          <t>Energización progresiva MT → BT</t>
        </is>
      </c>
      <c r="C26" s="26" t="n">
        <v>1</v>
      </c>
      <c r="D26" s="12" t="inlineStr">
        <is>
          <t>lote</t>
        </is>
      </c>
      <c r="E26" s="12" t="inlineStr">
        <is>
          <t>10 días fijos</t>
        </is>
      </c>
      <c r="F26" s="26" t="n">
        <v>10</v>
      </c>
      <c r="G26" s="26" t="n">
        <v>2</v>
      </c>
      <c r="H26" s="26" t="n">
        <v>10</v>
      </c>
      <c r="I26" s="12" t="inlineStr">
        <is>
          <t>Con presencia ABB + AESA + Cliente | HOLD POINT</t>
        </is>
      </c>
    </row>
    <row r="27" ht="18" customHeight="1">
      <c r="A27" s="13" t="inlineStr">
        <is>
          <t>PRUEBAS</t>
        </is>
      </c>
      <c r="B27" s="13" t="inlineStr">
        <is>
          <t>Precomisionado eléctrico funcional</t>
        </is>
      </c>
      <c r="C27" s="25" t="n">
        <v>1</v>
      </c>
      <c r="D27" s="13" t="inlineStr">
        <is>
          <t>lote</t>
        </is>
      </c>
      <c r="E27" s="13" t="inlineStr">
        <is>
          <t>15 días fijos</t>
        </is>
      </c>
      <c r="F27" s="25" t="n">
        <v>15</v>
      </c>
      <c r="G27" s="25" t="n">
        <v>2</v>
      </c>
      <c r="H27" s="25" t="n">
        <v>15</v>
      </c>
      <c r="I27" s="13" t="inlineStr">
        <is>
          <t>Loop check eléctrico + ajuste relés + secuencia arranque</t>
        </is>
      </c>
    </row>
    <row r="28" ht="18" customHeight="1">
      <c r="A28" s="12" t="inlineStr">
        <is>
          <t>PRUEBAS</t>
        </is>
      </c>
      <c r="B28" s="12" t="inlineStr">
        <is>
          <t>SAT PMS en sitio (HOLD POINT PIE)</t>
        </is>
      </c>
      <c r="C28" s="26" t="n">
        <v>1</v>
      </c>
      <c r="D28" s="12" t="inlineStr">
        <is>
          <t>evento</t>
        </is>
      </c>
      <c r="E28" s="12" t="inlineStr">
        <is>
          <t>30 días (oct-dic 2027)</t>
        </is>
      </c>
      <c r="F28" s="26" t="n">
        <v>30</v>
      </c>
      <c r="G28" s="26" t="n">
        <v>1</v>
      </c>
      <c r="H28" s="26" t="n">
        <v>30</v>
      </c>
      <c r="I28" s="12" t="inlineStr">
        <is>
          <t>Ventana oct-dic 2027 per contrato | ABB+Cliente</t>
        </is>
      </c>
    </row>
    <row r="30" ht="22" customHeight="1">
      <c r="A30" s="27" t="inlineStr">
        <is>
          <t>TOTAL DÍAS ESTIMADO (CON PARALELIZACIÓN)</t>
        </is>
      </c>
      <c r="B30" s="42" t="n"/>
      <c r="C30" s="42" t="n"/>
      <c r="D30" s="42" t="n"/>
      <c r="E30" s="43" t="n"/>
      <c r="F30" s="28" t="inlineStr">
        <is>
          <t>MONTAJE TABLEROS: 9 + TENDIDO: 128 + CONEXION: 50 + PRUEBAS: 76</t>
        </is>
      </c>
      <c r="G30" s="28" t="n"/>
      <c r="H30" s="28" t="n">
        <v>263</v>
      </c>
      <c r="I30" s="28" t="inlineStr">
        <is>
          <t>≈ 263 días calendario con 3 cuadrillas</t>
        </is>
      </c>
    </row>
  </sheetData>
  <mergeCells count="7">
    <mergeCell ref="A30:E30"/>
    <mergeCell ref="A2:I2"/>
    <mergeCell ref="A1:I1"/>
    <mergeCell ref="A17:I17"/>
    <mergeCell ref="A12:I12"/>
    <mergeCell ref="A4:I4"/>
    <mergeCell ref="A24:I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4" customWidth="1" min="3" max="3"/>
    <col width="14" customWidth="1" min="4" max="4"/>
    <col width="8" customWidth="1" min="5" max="5"/>
    <col width="20" customWidth="1" min="6" max="6"/>
    <col width="36" customWidth="1" min="7" max="7"/>
    <col width="55" customWidth="1" min="8" max="8"/>
  </cols>
  <sheetData>
    <row r="1" ht="35" customHeight="1">
      <c r="A1" s="22" t="inlineStr">
        <is>
          <t>CRONOGRAMA INSTALACIÓN ELÉCTRICA CPF-2 LA CALERA II - MAY 2027 → ENE 2028  |  Rev 3  |  13-JUN-2026</t>
        </is>
      </c>
    </row>
    <row r="2" ht="20" customHeight="1">
      <c r="A2" s="11" t="inlineStr">
        <is>
          <t>#</t>
        </is>
      </c>
      <c r="B2" s="11" t="inlineStr">
        <is>
          <t>ACTIVIDAD</t>
        </is>
      </c>
      <c r="C2" s="11" t="inlineStr">
        <is>
          <t>INICIO</t>
        </is>
      </c>
      <c r="D2" s="11" t="inlineStr">
        <is>
          <t>FIN</t>
        </is>
      </c>
      <c r="E2" s="11" t="inlineStr">
        <is>
          <t>DUR_DÍAS</t>
        </is>
      </c>
      <c r="F2" s="11" t="inlineStr">
        <is>
          <t>RESPONSABLE</t>
        </is>
      </c>
      <c r="G2" s="11" t="inlineStr">
        <is>
          <t>HITO/CONSTRAINT</t>
        </is>
      </c>
      <c r="H2" s="11" t="inlineStr">
        <is>
          <t>OBSERVACION</t>
        </is>
      </c>
    </row>
    <row r="3" ht="22" customHeight="1">
      <c r="A3" s="13" t="n">
        <v>1</v>
      </c>
      <c r="B3" s="13" t="inlineStr">
        <is>
          <t>Recepción y verificación materiales eléctricos (CCMs S3/S4)</t>
        </is>
      </c>
      <c r="C3" s="13" t="inlineStr">
        <is>
          <t>07-Apr-2027</t>
        </is>
      </c>
      <c r="D3" s="13" t="inlineStr">
        <is>
          <t>18-Apr-2027</t>
        </is>
      </c>
      <c r="E3" s="13" t="n">
        <v>12</v>
      </c>
      <c r="F3" s="13" t="inlineStr">
        <is>
          <t>AESA/ABB</t>
        </is>
      </c>
      <c r="G3" s="13" t="inlineStr">
        <is>
          <t>LLEGADA S4: 07-ABR-2027</t>
        </is>
      </c>
      <c r="H3" s="13" t="inlineStr">
        <is>
          <t>Inspección visual + megger de recepción CCMs, celdas MT</t>
        </is>
      </c>
    </row>
    <row r="4" ht="22" customHeight="1">
      <c r="A4" s="12" t="n">
        <v>2</v>
      </c>
      <c r="B4" s="12" t="inlineStr">
        <is>
          <t>Montaje celdas MT: TGMT-001/003 y TRMT-001A/B (Sala 4)</t>
        </is>
      </c>
      <c r="C4" s="12" t="inlineStr">
        <is>
          <t>14-Apr-2027</t>
        </is>
      </c>
      <c r="D4" s="12" t="inlineStr">
        <is>
          <t>09-May-2027</t>
        </is>
      </c>
      <c r="E4" s="12" t="n">
        <v>26</v>
      </c>
      <c r="F4" s="12" t="inlineStr">
        <is>
          <t>ABB+AESA</t>
        </is>
      </c>
      <c r="G4" s="12" t="inlineStr">
        <is>
          <t>S4 en sitio ABR-2027</t>
        </is>
      </c>
      <c r="H4" s="12" t="inlineStr">
        <is>
          <t>Nivelación, interconexión barras, cableado de control interno</t>
        </is>
      </c>
    </row>
    <row r="5" ht="22" customHeight="1">
      <c r="A5" s="13" t="n">
        <v>3</v>
      </c>
      <c r="B5" s="13" t="inlineStr">
        <is>
          <t>Montaje CCM-005/006/007 en Sala 3</t>
        </is>
      </c>
      <c r="C5" s="13" t="inlineStr">
        <is>
          <t>03-May-2027</t>
        </is>
      </c>
      <c r="D5" s="13" t="inlineStr">
        <is>
          <t>24-May-2027</t>
        </is>
      </c>
      <c r="E5" s="13" t="n">
        <v>22</v>
      </c>
      <c r="F5" s="13" t="inlineStr">
        <is>
          <t>ABB+AESA</t>
        </is>
      </c>
      <c r="G5" s="13" t="inlineStr">
        <is>
          <t>S3 en sitio MAY-2027</t>
        </is>
      </c>
      <c r="H5" s="13" t="inlineStr">
        <is>
          <t>Alineación, anclaje, busbars, cableado auxiliares</t>
        </is>
      </c>
    </row>
    <row r="6" ht="22" customHeight="1">
      <c r="A6" s="12" t="n">
        <v>4</v>
      </c>
      <c r="B6" s="12" t="inlineStr">
        <is>
          <t>Instalación bandejas portacables principales (campo)</t>
        </is>
      </c>
      <c r="C6" s="12" t="inlineStr">
        <is>
          <t>21-Apr-2027</t>
        </is>
      </c>
      <c r="D6" s="12" t="inlineStr">
        <is>
          <t>14-May-2027</t>
        </is>
      </c>
      <c r="E6" s="12" t="n">
        <v>24</v>
      </c>
      <c r="F6" s="12" t="inlineStr">
        <is>
          <t>AESA</t>
        </is>
      </c>
      <c r="G6" s="12" t="inlineStr"/>
      <c r="H6" s="12" t="inlineStr">
        <is>
          <t>Bandeja MC1, MC2, MC3 - trayectos principales SE3→SE4→campo</t>
        </is>
      </c>
    </row>
    <row r="7" ht="22" customHeight="1">
      <c r="A7" s="13" t="n">
        <v>5</v>
      </c>
      <c r="B7" s="13" t="inlineStr">
        <is>
          <t>Tendido cables potencia MT (13.2kV/6.6kV)</t>
        </is>
      </c>
      <c r="C7" s="13" t="inlineStr">
        <is>
          <t>10-May-2027</t>
        </is>
      </c>
      <c r="D7" s="13" t="inlineStr">
        <is>
          <t>07-Jun-2027</t>
        </is>
      </c>
      <c r="E7" s="13" t="n">
        <v>29</v>
      </c>
      <c r="F7" s="13" t="inlineStr">
        <is>
          <t>AESA</t>
        </is>
      </c>
      <c r="G7" s="13" t="inlineStr"/>
      <c r="H7" s="13" t="inlineStr">
        <is>
          <t>Alimentadores TGMT-001A/B desde 670-TGMT-001 | Req. herram. MT</t>
        </is>
      </c>
    </row>
    <row r="8" ht="22" customHeight="1">
      <c r="A8" s="12" t="n">
        <v>6</v>
      </c>
      <c r="B8" s="12" t="inlineStr">
        <is>
          <t>Tendido cables potencia BT - motores y cargas grandes</t>
        </is>
      </c>
      <c r="C8" s="12" t="inlineStr">
        <is>
          <t>17-May-2027</t>
        </is>
      </c>
      <c r="D8" s="12" t="inlineStr">
        <is>
          <t>04-Jul-2027</t>
        </is>
      </c>
      <c r="E8" s="12" t="n">
        <v>49</v>
      </c>
      <c r="F8" s="12" t="inlineStr">
        <is>
          <t>AESA</t>
        </is>
      </c>
      <c r="G8" s="12" t="inlineStr"/>
      <c r="H8" s="12" t="inlineStr">
        <is>
          <t>3x240, 3x150 bombas inyección | Tendido pesado en canaletas</t>
        </is>
      </c>
    </row>
    <row r="9" ht="22" customHeight="1">
      <c r="A9" s="13" t="n">
        <v>7</v>
      </c>
      <c r="B9" s="13" t="inlineStr">
        <is>
          <t>Tendido cables potencia BT - cargas medianas y pequeñas</t>
        </is>
      </c>
      <c r="C9" s="13" t="inlineStr">
        <is>
          <t>07-Jun-2027</t>
        </is>
      </c>
      <c r="D9" s="13" t="inlineStr">
        <is>
          <t>19-Jul-2027</t>
        </is>
      </c>
      <c r="E9" s="13" t="n">
        <v>43</v>
      </c>
      <c r="F9" s="13" t="inlineStr">
        <is>
          <t>AESA</t>
        </is>
      </c>
      <c r="G9" s="13" t="inlineStr"/>
      <c r="H9" s="13" t="inlineStr">
        <is>
          <t>Motores BT auxiliares, iluminación, tomacorrientes, calefacción</t>
        </is>
      </c>
    </row>
    <row r="10" ht="22" customHeight="1">
      <c r="A10" s="12" t="n">
        <v>8</v>
      </c>
      <c r="B10" s="12" t="inlineStr">
        <is>
          <t>Tendido cables control y señales</t>
        </is>
      </c>
      <c r="C10" s="12" t="inlineStr">
        <is>
          <t>14-Jun-2027</t>
        </is>
      </c>
      <c r="D10" s="12" t="inlineStr">
        <is>
          <t>19-Jul-2027</t>
        </is>
      </c>
      <c r="E10" s="12" t="n">
        <v>36</v>
      </c>
      <c r="F10" s="12" t="inlineStr">
        <is>
          <t>AESA</t>
        </is>
      </c>
      <c r="G10" s="12" t="inlineStr"/>
      <c r="H10" s="12" t="inlineStr">
        <is>
          <t>Control CCMs→motores, vibroswitches, señales VFDs</t>
        </is>
      </c>
    </row>
    <row r="11" ht="22" customHeight="1">
      <c r="A11" s="13" t="n">
        <v>9</v>
      </c>
      <c r="B11" s="13" t="inlineStr">
        <is>
          <t>Tendido FO y Ethernet</t>
        </is>
      </c>
      <c r="C11" s="13" t="inlineStr">
        <is>
          <t>21-Jun-2027</t>
        </is>
      </c>
      <c r="D11" s="13" t="inlineStr">
        <is>
          <t>05-Jul-2027</t>
        </is>
      </c>
      <c r="E11" s="13" t="n">
        <v>15</v>
      </c>
      <c r="F11" s="13" t="inlineStr">
        <is>
          <t>AESA/ABB</t>
        </is>
      </c>
      <c r="G11" s="13" t="inlineStr"/>
      <c r="H11" s="13" t="inlineStr">
        <is>
          <t>Red PMS SE3-SE4, señales digitales CPF-CPC-001</t>
        </is>
      </c>
    </row>
    <row r="12" ht="22" customHeight="1">
      <c r="A12" s="12" t="n">
        <v>10</v>
      </c>
      <c r="B12" s="12" t="inlineStr">
        <is>
          <t>Conexionado y terminación cables potencia MT</t>
        </is>
      </c>
      <c r="C12" s="12" t="inlineStr">
        <is>
          <t>07-Jun-2027</t>
        </is>
      </c>
      <c r="D12" s="12" t="inlineStr">
        <is>
          <t>05-Jul-2027</t>
        </is>
      </c>
      <c r="E12" s="12" t="n">
        <v>29</v>
      </c>
      <c r="F12" s="12" t="inlineStr">
        <is>
          <t>ABB+AESA</t>
        </is>
      </c>
      <c r="G12" s="12" t="inlineStr">
        <is>
          <t>TÉCNICOS MT CERTIFICADOS</t>
        </is>
      </c>
      <c r="H12" s="12" t="inlineStr">
        <is>
          <t>Terminales premoldeadas 13.2kV | Req. ABB field service</t>
        </is>
      </c>
    </row>
    <row r="13" ht="22" customHeight="1">
      <c r="A13" s="13" t="n">
        <v>11</v>
      </c>
      <c r="B13" s="13" t="inlineStr">
        <is>
          <t>Conexionado y terminación cables BT (potencia)</t>
        </is>
      </c>
      <c r="C13" s="13" t="inlineStr">
        <is>
          <t>21-Jun-2027</t>
        </is>
      </c>
      <c r="D13" s="13" t="inlineStr">
        <is>
          <t>26-Jul-2027</t>
        </is>
      </c>
      <c r="E13" s="13" t="n">
        <v>36</v>
      </c>
      <c r="F13" s="13" t="inlineStr">
        <is>
          <t>AESA</t>
        </is>
      </c>
      <c r="G13" s="13" t="inlineStr"/>
      <c r="H13" s="13" t="inlineStr">
        <is>
          <t>Zapatas, terminales preaislados, prueba continuidad</t>
        </is>
      </c>
    </row>
    <row r="14" ht="22" customHeight="1">
      <c r="A14" s="12" t="n">
        <v>12</v>
      </c>
      <c r="B14" s="12" t="inlineStr">
        <is>
          <t>Conexionado cables control (peinado + etiquetado)</t>
        </is>
      </c>
      <c r="C14" s="12" t="inlineStr">
        <is>
          <t>05-Jul-2027</t>
        </is>
      </c>
      <c r="D14" s="12" t="inlineStr">
        <is>
          <t>02-Aug-2027</t>
        </is>
      </c>
      <c r="E14" s="12" t="n">
        <v>29</v>
      </c>
      <c r="F14" s="12" t="inlineStr">
        <is>
          <t>AESA</t>
        </is>
      </c>
      <c r="G14" s="12" t="inlineStr"/>
      <c r="H14" s="12" t="inlineStr">
        <is>
          <t>Incluye señales VFD MT, vibroswitches, HOA locales</t>
        </is>
      </c>
    </row>
    <row r="15" ht="22" customHeight="1">
      <c r="A15" s="29" t="n">
        <v>13</v>
      </c>
      <c r="B15" s="29" t="inlineStr">
        <is>
          <t>Pruebas de aislación (megger) circuito por circuito</t>
        </is>
      </c>
      <c r="C15" s="29" t="inlineStr">
        <is>
          <t>19-Jul-2027</t>
        </is>
      </c>
      <c r="D15" s="29" t="inlineStr">
        <is>
          <t>09-Aug-2027</t>
        </is>
      </c>
      <c r="E15" s="29" t="n">
        <v>22</v>
      </c>
      <c r="F15" s="29" t="inlineStr">
        <is>
          <t>AESA</t>
        </is>
      </c>
      <c r="G15" s="29" t="inlineStr">
        <is>
          <t>HOLD POINT - ITP ELÉCTRICO</t>
        </is>
      </c>
      <c r="H15" s="29" t="inlineStr">
        <is>
          <t>Registro conforme ITP | Mínimo 1M Ω a 1kV / 10M Ω a 5kV</t>
        </is>
      </c>
    </row>
    <row r="16" ht="22" customHeight="1">
      <c r="A16" s="29" t="n">
        <v>14</v>
      </c>
      <c r="B16" s="29" t="inlineStr">
        <is>
          <t>Energización progresiva: MT → Transformadores → BT</t>
        </is>
      </c>
      <c r="C16" s="29" t="inlineStr">
        <is>
          <t>09-Aug-2027</t>
        </is>
      </c>
      <c r="D16" s="29" t="inlineStr">
        <is>
          <t>24-Aug-2027</t>
        </is>
      </c>
      <c r="E16" s="29" t="n">
        <v>16</v>
      </c>
      <c r="F16" s="29" t="inlineStr">
        <is>
          <t>ABB+AESA+Cliente</t>
        </is>
      </c>
      <c r="G16" s="29" t="inlineStr">
        <is>
          <t>RFMC: ~15-AGO-2027</t>
        </is>
      </c>
      <c r="H16" s="29" t="inlineStr">
        <is>
          <t>Pre-requis: Megger OK | Prot. relés ajustadas | Personal Cliente</t>
        </is>
      </c>
    </row>
    <row r="17" ht="22" customHeight="1">
      <c r="A17" s="13" t="n">
        <v>15</v>
      </c>
      <c r="B17" s="13" t="inlineStr">
        <is>
          <t>Pruebas funcionales precomisionado eléctrico</t>
        </is>
      </c>
      <c r="C17" s="13" t="inlineStr">
        <is>
          <t>18-Aug-2027</t>
        </is>
      </c>
      <c r="D17" s="13" t="inlineStr">
        <is>
          <t>07-Sep-2027</t>
        </is>
      </c>
      <c r="E17" s="13" t="n">
        <v>21</v>
      </c>
      <c r="F17" s="13" t="inlineStr">
        <is>
          <t>AESA+Cliente</t>
        </is>
      </c>
      <c r="G17" s="13" t="inlineStr"/>
      <c r="H17" s="13" t="inlineStr">
        <is>
          <t>Loop check eléctrico, secuencia arranque motores, VFD tuning</t>
        </is>
      </c>
    </row>
    <row r="18" ht="22" customHeight="1">
      <c r="A18" s="29" t="n">
        <v>16</v>
      </c>
      <c r="B18" s="29" t="inlineStr">
        <is>
          <t>SAT PMS en sitio - HOLD POINT per PIE/Contrato</t>
        </is>
      </c>
      <c r="C18" s="29" t="inlineStr">
        <is>
          <t>06-Oct-2027</t>
        </is>
      </c>
      <c r="D18" s="29" t="inlineStr">
        <is>
          <t>07-Dec-2027</t>
        </is>
      </c>
      <c r="E18" s="29" t="n">
        <v>63</v>
      </c>
      <c r="F18" s="29" t="inlineStr">
        <is>
          <t>ABB+Cliente</t>
        </is>
      </c>
      <c r="G18" s="29" t="inlineStr">
        <is>
          <t>HOLD POINT: OCT-DIC 2027</t>
        </is>
      </c>
      <c r="H18" s="29" t="inlineStr">
        <is>
          <t>Factory accepted, ahora SAT campo | 30 días ventana</t>
        </is>
      </c>
    </row>
    <row r="19" ht="22" customHeight="1">
      <c r="A19" s="13" t="n">
        <v>17</v>
      </c>
      <c r="B19" s="13" t="inlineStr">
        <is>
          <t>Comisionado eléctrico integrado (con proceso)</t>
        </is>
      </c>
      <c r="C19" s="13" t="inlineStr">
        <is>
          <t>07-Sep-2027</t>
        </is>
      </c>
      <c r="D19" s="13" t="inlineStr">
        <is>
          <t>15-Dec-2027</t>
        </is>
      </c>
      <c r="E19" s="13" t="n">
        <v>100</v>
      </c>
      <c r="F19" s="13" t="inlineStr">
        <is>
          <t>AESA+ABB+Cliente</t>
        </is>
      </c>
      <c r="G19" s="13" t="inlineStr">
        <is>
          <t>INICIO COMISIONADO: 16-JUL-2027</t>
        </is>
      </c>
      <c r="H19" s="13" t="inlineStr">
        <is>
          <t>Energizado progresivo de procesos | Coordinado con Ops</t>
        </is>
      </c>
    </row>
    <row r="20" ht="22" customHeight="1">
      <c r="A20" s="12" t="n">
        <v>18</v>
      </c>
      <c r="B20" s="12" t="inlineStr">
        <is>
          <t>RFSU - Ready For Start Up</t>
        </is>
      </c>
      <c r="C20" s="12" t="inlineStr">
        <is>
          <t>31-Jan-2028</t>
        </is>
      </c>
      <c r="D20" s="12" t="inlineStr">
        <is>
          <t>31-Jan-2028</t>
        </is>
      </c>
      <c r="E20" s="12" t="n">
        <v>1</v>
      </c>
      <c r="F20" s="12" t="inlineStr">
        <is>
          <t>TODOS</t>
        </is>
      </c>
      <c r="G20" s="12" t="inlineStr">
        <is>
          <t>HITO CONTRACTUAL: 31-ENE-2028</t>
        </is>
      </c>
      <c r="H20" s="12" t="inlineStr">
        <is>
          <t>Entrega al cliente | Todos los sistemas eléctricos operativos</t>
        </is>
      </c>
    </row>
    <row r="22" ht="24" customHeight="1">
      <c r="A22" s="30" t="inlineStr">
        <is>
          <t>ANÁLISIS DE COMPATIBILIDAD CON RFSU 31-ENE-2028  |  Rev 1  |  09-JUN-2026</t>
        </is>
      </c>
    </row>
    <row r="23" ht="24" customHeight="1">
      <c r="A23" s="31" t="inlineStr">
        <is>
          <t>Días disponibles MAY-2027 → ENE-2028</t>
        </is>
      </c>
      <c r="B23" s="42" t="n"/>
      <c r="C23" s="43" t="n"/>
      <c r="D23" s="32" t="inlineStr">
        <is>
          <t>273 días = 39 semanas (03-MAY-2027 → 31-ENE-2028)</t>
        </is>
      </c>
      <c r="E23" s="42" t="n"/>
      <c r="F23" s="42" t="n"/>
      <c r="G23" s="43" t="n"/>
      <c r="H23" s="33" t="inlineStr">
        <is>
          <t>INFO</t>
        </is>
      </c>
    </row>
    <row r="24" ht="24" customHeight="1">
      <c r="A24" s="31" t="inlineStr">
        <is>
          <t>Días estimados instalación (paralelizado 3 cuadrillas)</t>
        </is>
      </c>
      <c r="B24" s="42" t="n"/>
      <c r="C24" s="43" t="n"/>
      <c r="D24" s="32" t="inlineStr">
        <is>
          <t>~263 días | Ruta crítica: Tendido BT Grande (17,470m / 50m/día/cuadrilla)</t>
        </is>
      </c>
      <c r="E24" s="42" t="n"/>
      <c r="F24" s="42" t="n"/>
      <c r="G24" s="43" t="n"/>
      <c r="H24" s="33" t="inlineStr">
        <is>
          <t>INFO</t>
        </is>
      </c>
    </row>
    <row r="25" ht="24" customHeight="1">
      <c r="A25" s="34" t="inlineStr">
        <is>
          <t>Margen disponible</t>
        </is>
      </c>
      <c r="B25" s="42" t="n"/>
      <c r="C25" s="43" t="n"/>
      <c r="D25" s="35" t="inlineStr">
        <is>
          <t>10 días de margen (4%) ACEPTABLE</t>
        </is>
      </c>
      <c r="E25" s="42" t="n"/>
      <c r="F25" s="42" t="n"/>
      <c r="G25" s="43" t="n"/>
      <c r="H25" s="36" t="inlineStr">
        <is>
          <t>RIESGO</t>
        </is>
      </c>
    </row>
    <row r="26" ht="24" customHeight="1">
      <c r="A26" s="37" t="inlineStr">
        <is>
          <t>Ruta Crítica (CP) identificada</t>
        </is>
      </c>
      <c r="B26" s="42" t="n"/>
      <c r="C26" s="43" t="n"/>
      <c r="D26" s="38" t="inlineStr">
        <is>
          <t>Tendido BT Grande 3x240/3x150 (104 cables, 17,470m) → Conexionado MT → SAT PMS → Comisionado</t>
        </is>
      </c>
      <c r="E26" s="42" t="n"/>
      <c r="F26" s="42" t="n"/>
      <c r="G26" s="43" t="n"/>
      <c r="H26" s="6" t="inlineStr">
        <is>
          <t>CRITICO</t>
        </is>
      </c>
    </row>
    <row r="27" ht="24" customHeight="1">
      <c r="A27" s="37" t="inlineStr">
        <is>
          <t>Riesgo 1: Volumen tendido BT Grande</t>
        </is>
      </c>
      <c r="B27" s="42" t="n"/>
      <c r="C27" s="43" t="n"/>
      <c r="D27" s="38" t="inlineStr">
        <is>
          <t>104 cables / 17,470m de 3x240/3x150/3x95mm² → Ruta crítica. Opción: agregar 1 cuadrilla extra en este frente</t>
        </is>
      </c>
      <c r="E27" s="42" t="n"/>
      <c r="F27" s="42" t="n"/>
      <c r="G27" s="43" t="n"/>
      <c r="H27" s="6" t="inlineStr">
        <is>
          <t>CRITICO</t>
        </is>
      </c>
    </row>
    <row r="28" ht="24" customHeight="1">
      <c r="A28" s="34" t="inlineStr">
        <is>
          <t>Riesgo 2: Llegada Salas Eléctricas ABB</t>
        </is>
      </c>
      <c r="B28" s="42" t="n"/>
      <c r="C28" s="43" t="n"/>
      <c r="D28" s="35" t="inlineStr">
        <is>
          <t>S4: ABR-2027 | S3: MAY-2027 → Solo 9 meses para instalar 81,231m de cables</t>
        </is>
      </c>
      <c r="E28" s="42" t="n"/>
      <c r="F28" s="42" t="n"/>
      <c r="G28" s="43" t="n"/>
      <c r="H28" s="36" t="inlineStr">
        <is>
          <t>RIESGO</t>
        </is>
      </c>
    </row>
    <row r="29" ht="24" customHeight="1">
      <c r="A29" s="34" t="inlineStr">
        <is>
          <t>Riesgo 3: Cables MT 13.2kV (3x95, 18 cables, 2,110m)</t>
        </is>
      </c>
      <c r="B29" s="42" t="n"/>
      <c r="C29" s="43" t="n"/>
      <c r="D29" s="35" t="inlineStr">
        <is>
          <t>Técnicos ABB field service certificados requeridos | Coordinación con 3 meses de antelación</t>
        </is>
      </c>
      <c r="E29" s="42" t="n"/>
      <c r="F29" s="42" t="n"/>
      <c r="G29" s="43" t="n"/>
      <c r="H29" s="36" t="inlineStr">
        <is>
          <t>RIESGO</t>
        </is>
      </c>
    </row>
    <row r="30" ht="24" customHeight="1">
      <c r="A30" s="37" t="inlineStr">
        <is>
          <t>Riesgo 4: SAT PMS - HOLD POINT Contractual</t>
        </is>
      </c>
      <c r="B30" s="42" t="n"/>
      <c r="C30" s="43" t="n"/>
      <c r="D30" s="38" t="inlineStr">
        <is>
          <t>Ventana OCT-DIC 2027 fija por contrato/PIE - No admite deslizamiento - Precondiciona comisionado</t>
        </is>
      </c>
      <c r="E30" s="42" t="n"/>
      <c r="F30" s="42" t="n"/>
      <c r="G30" s="43" t="n"/>
      <c r="H30" s="6" t="inlineStr">
        <is>
          <t>CRITICO</t>
        </is>
      </c>
    </row>
    <row r="31" ht="24" customHeight="1">
      <c r="A31" s="34" t="inlineStr">
        <is>
          <t>Riesgo 5: Lista de cables incompleta (Rev.0)</t>
        </is>
      </c>
      <c r="B31" s="42" t="n"/>
      <c r="C31" s="43" t="n"/>
      <c r="D31" s="35" t="inlineStr">
        <is>
          <t>Notas del revisor: faltan cables HOA, comunicación CCM↔PMS, señales hardwired DOL, M-94213B</t>
        </is>
      </c>
      <c r="E31" s="42" t="n"/>
      <c r="F31" s="42" t="n"/>
      <c r="G31" s="43" t="n"/>
      <c r="H31" s="36" t="inlineStr">
        <is>
          <t>RIESGO</t>
        </is>
      </c>
    </row>
    <row r="32" ht="24" customHeight="1">
      <c r="A32" s="34" t="inlineStr">
        <is>
          <t>Acción Recomendada</t>
        </is>
      </c>
      <c r="B32" s="42" t="n"/>
      <c r="C32" s="43" t="n"/>
      <c r="D32" s="35" t="inlineStr">
        <is>
          <t>Agregar 1 cuadrilla BT para tendido (total 4) en el bloque MAY-JUL-2027 para recuperar 30 días</t>
        </is>
      </c>
      <c r="E32" s="42" t="n"/>
      <c r="F32" s="42" t="n"/>
      <c r="G32" s="43" t="n"/>
      <c r="H32" s="36" t="inlineStr">
        <is>
          <t>RIESGO</t>
        </is>
      </c>
    </row>
    <row r="33" ht="24" customHeight="1">
      <c r="A33" s="39" t="inlineStr">
        <is>
          <t>CONCLUSIÓN GENERAL</t>
        </is>
      </c>
      <c r="B33" s="42" t="n"/>
      <c r="C33" s="43" t="n"/>
      <c r="D33" s="40" t="inlineStr">
        <is>
          <t>Cronograma AJUSTADO con RFSU 31-ENE-2028: 10 días de margen (4%). Requiere inicio 03-MAY-2027 y 3 cuadrillas ininterrumpidas sin imprevistos.  |  Rev 1  |  09-JUN-2026</t>
        </is>
      </c>
      <c r="E33" s="42" t="n"/>
      <c r="F33" s="42" t="n"/>
      <c r="G33" s="43" t="n"/>
      <c r="H33" s="41" t="inlineStr">
        <is>
          <t>OK</t>
        </is>
      </c>
    </row>
  </sheetData>
  <mergeCells count="24">
    <mergeCell ref="A25:C25"/>
    <mergeCell ref="D25:G25"/>
    <mergeCell ref="D24:G24"/>
    <mergeCell ref="D30:G30"/>
    <mergeCell ref="A27:C27"/>
    <mergeCell ref="D33:G33"/>
    <mergeCell ref="D29:G29"/>
    <mergeCell ref="A1:H1"/>
    <mergeCell ref="A26:C26"/>
    <mergeCell ref="D23:G23"/>
    <mergeCell ref="A33:C33"/>
    <mergeCell ref="D26:G26"/>
    <mergeCell ref="A23:C23"/>
    <mergeCell ref="A32:C32"/>
    <mergeCell ref="A29:C29"/>
    <mergeCell ref="A28:C28"/>
    <mergeCell ref="D31:G31"/>
    <mergeCell ref="A31:C31"/>
    <mergeCell ref="A30:C30"/>
    <mergeCell ref="D27:G27"/>
    <mergeCell ref="A24:C24"/>
    <mergeCell ref="A22:H22"/>
    <mergeCell ref="D32:G32"/>
    <mergeCell ref="D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40" customHeight="1">
      <c r="A1" s="1" t="inlineStr">
        <is>
          <t>RESUMEN EJECUTIVO - ANÁLISIS ELÉCTRICO CPF-2 LA CALERA II  |  Rev 3  |  13-JUN-2026</t>
        </is>
      </c>
    </row>
    <row r="2" ht="18" customHeight="1">
      <c r="A2" s="2" t="inlineStr">
        <is>
          <t>Documento: ACAL-00102-LC-E-0001 Rev.0 | Unifilar: ACAL-00100-EE-E-0001-1 | Análisis: Junio 2026  |  Rev 3  |  13-JUN-2026</t>
        </is>
      </c>
    </row>
    <row r="3"/>
    <row r="4" ht="22" customHeight="1">
      <c r="A4" s="3" t="inlineStr">
        <is>
          <t>1. VOLUMEN DE CABLES</t>
        </is>
      </c>
      <c r="B4" s="42" t="n"/>
      <c r="C4" s="42" t="n"/>
      <c r="D4" s="42" t="n"/>
      <c r="E4" s="42" t="n"/>
      <c r="F4" s="43" t="n"/>
    </row>
    <row r="5" ht="18" customHeight="1">
      <c r="A5" s="4" t="inlineStr">
        <is>
          <t>Total cables en listado</t>
        </is>
      </c>
      <c r="B5" s="5" t="inlineStr">
        <is>
          <t>633 cables (120 CPF-1 + 513 CPF-2)</t>
        </is>
      </c>
      <c r="C5" s="42" t="n"/>
      <c r="D5" s="42" t="n"/>
      <c r="E5" s="42" t="n"/>
      <c r="F5" s="43" t="n"/>
    </row>
    <row r="6" ht="18" customHeight="1">
      <c r="A6" s="4" t="inlineStr">
        <is>
          <t>Total metros CPF-2</t>
        </is>
      </c>
      <c r="B6" s="5" t="inlineStr">
        <is>
          <t>81,231 m (513 cables)</t>
        </is>
      </c>
      <c r="C6" s="42" t="n"/>
      <c r="D6" s="42" t="n"/>
      <c r="E6" s="42" t="n"/>
      <c r="F6" s="43" t="n"/>
    </row>
    <row r="7" ht="18" customHeight="1">
      <c r="A7" s="4" t="inlineStr">
        <is>
          <t>Total metros CPF-1</t>
        </is>
      </c>
      <c r="B7" s="5" t="inlineStr">
        <is>
          <t>4,650 m (120 cables)</t>
        </is>
      </c>
      <c r="C7" s="42" t="n"/>
      <c r="D7" s="42" t="n"/>
      <c r="E7" s="42" t="n"/>
      <c r="F7" s="43" t="n"/>
    </row>
    <row r="8" ht="18" customHeight="1">
      <c r="A8" s="4" t="inlineStr">
        <is>
          <t>Potencia MT (6.6/13.2kV) - CPF-2</t>
        </is>
      </c>
      <c r="B8" s="5" t="inlineStr">
        <is>
          <t>18 cables | 2,110 m</t>
        </is>
      </c>
      <c r="C8" s="42" t="n"/>
      <c r="D8" s="42" t="n"/>
      <c r="E8" s="42" t="n"/>
      <c r="F8" s="43" t="n"/>
    </row>
    <row r="9" ht="18" customHeight="1">
      <c r="A9" s="4" t="inlineStr">
        <is>
          <t>Potencia BT (≤1kV) - CPF-2</t>
        </is>
      </c>
      <c r="B9" s="5" t="inlineStr">
        <is>
          <t>302 cables | 50,595 m</t>
        </is>
      </c>
      <c r="C9" s="42" t="n"/>
      <c r="D9" s="42" t="n"/>
      <c r="E9" s="42" t="n"/>
      <c r="F9" s="43" t="n"/>
    </row>
    <row r="10" ht="18" customHeight="1">
      <c r="A10" s="4" t="inlineStr">
        <is>
          <t>Control + Señales - CPF-2</t>
        </is>
      </c>
      <c r="B10" s="5" t="inlineStr">
        <is>
          <t>192 cables | 28,126 m</t>
        </is>
      </c>
      <c r="C10" s="42" t="n"/>
      <c r="D10" s="42" t="n"/>
      <c r="E10" s="42" t="n"/>
      <c r="F10" s="43" t="n"/>
    </row>
    <row r="11" ht="18" customHeight="1">
      <c r="A11" s="4" t="inlineStr">
        <is>
          <t>Fibra Óptica - CPF-2</t>
        </is>
      </c>
      <c r="B11" s="5" t="inlineStr">
        <is>
          <t>1 cables | 400 m</t>
        </is>
      </c>
      <c r="C11" s="42" t="n"/>
      <c r="D11" s="42" t="n"/>
      <c r="E11" s="42" t="n"/>
      <c r="F11" s="43" t="n"/>
    </row>
    <row r="12" ht="18" customHeight="1">
      <c r="A12" s="4" t="inlineStr">
        <is>
          <t>Ethernet UTP - CPF-2</t>
        </is>
      </c>
      <c r="B12" s="5" t="inlineStr">
        <is>
          <t>0 cables | 0 m</t>
        </is>
      </c>
      <c r="C12" s="42" t="n"/>
      <c r="D12" s="42" t="n"/>
      <c r="E12" s="42" t="n"/>
      <c r="F12" s="43" t="n"/>
    </row>
    <row r="14" ht="22" customHeight="1">
      <c r="A14" s="3" t="inlineStr">
        <is>
          <t>2. CARGAS ELÉCTRICAS CPF-2</t>
        </is>
      </c>
      <c r="B14" s="42" t="n"/>
      <c r="C14" s="42" t="n"/>
      <c r="D14" s="42" t="n"/>
      <c r="E14" s="42" t="n"/>
      <c r="F14" s="43" t="n"/>
    </row>
    <row r="15" ht="18" customHeight="1">
      <c r="A15" s="4" t="inlineStr">
        <is>
          <t>Total equipos identificados CPF-2</t>
        </is>
      </c>
      <c r="B15" s="5" t="inlineStr">
        <is>
          <t>243 cargas eléctricas</t>
        </is>
      </c>
      <c r="C15" s="42" t="n"/>
      <c r="D15" s="42" t="n"/>
      <c r="E15" s="42" t="n"/>
      <c r="F15" s="43" t="n"/>
    </row>
    <row r="16" ht="18" customHeight="1">
      <c r="A16" s="4" t="inlineStr">
        <is>
          <t xml:space="preserve">  - CALEFACCION</t>
        </is>
      </c>
      <c r="B16" s="5" t="inlineStr">
        <is>
          <t>12 unidades</t>
        </is>
      </c>
      <c r="C16" s="42" t="n"/>
      <c r="D16" s="42" t="n"/>
      <c r="E16" s="42" t="n"/>
      <c r="F16" s="43" t="n"/>
    </row>
    <row r="17" ht="18" customHeight="1">
      <c r="A17" s="4" t="inlineStr">
        <is>
          <t xml:space="preserve">  - CONTROL</t>
        </is>
      </c>
      <c r="B17" s="5" t="inlineStr">
        <is>
          <t>29 unidades</t>
        </is>
      </c>
      <c r="C17" s="42" t="n"/>
      <c r="D17" s="42" t="n"/>
      <c r="E17" s="42" t="n"/>
      <c r="F17" s="43" t="n"/>
    </row>
    <row r="18" ht="18" customHeight="1">
      <c r="A18" s="4" t="inlineStr">
        <is>
          <t xml:space="preserve">  - ILUMINACION</t>
        </is>
      </c>
      <c r="B18" s="5" t="inlineStr">
        <is>
          <t>28 unidades</t>
        </is>
      </c>
      <c r="C18" s="42" t="n"/>
      <c r="D18" s="42" t="n"/>
      <c r="E18" s="42" t="n"/>
      <c r="F18" s="43" t="n"/>
    </row>
    <row r="19" ht="18" customHeight="1">
      <c r="A19" s="4" t="inlineStr">
        <is>
          <t xml:space="preserve">  - INSTRUMENTO</t>
        </is>
      </c>
      <c r="B19" s="5" t="inlineStr">
        <is>
          <t>52 unidades</t>
        </is>
      </c>
      <c r="C19" s="42" t="n"/>
      <c r="D19" s="42" t="n"/>
      <c r="E19" s="42" t="n"/>
      <c r="F19" s="43" t="n"/>
    </row>
    <row r="20" ht="18" customHeight="1">
      <c r="A20" s="4" t="inlineStr">
        <is>
          <t xml:space="preserve">  - MOTOR_BT</t>
        </is>
      </c>
      <c r="B20" s="5" t="inlineStr">
        <is>
          <t>76 unidades</t>
        </is>
      </c>
      <c r="C20" s="42" t="n"/>
      <c r="D20" s="42" t="n"/>
      <c r="E20" s="42" t="n"/>
      <c r="F20" s="43" t="n"/>
    </row>
    <row r="21" ht="18" customHeight="1">
      <c r="A21" s="4" t="inlineStr">
        <is>
          <t xml:space="preserve">  - MOTOR_MT</t>
        </is>
      </c>
      <c r="B21" s="5" t="inlineStr">
        <is>
          <t>3 unidades</t>
        </is>
      </c>
      <c r="C21" s="42" t="n"/>
      <c r="D21" s="42" t="n"/>
      <c r="E21" s="42" t="n"/>
      <c r="F21" s="43" t="n"/>
    </row>
    <row r="22" ht="18" customHeight="1">
      <c r="A22" s="4" t="inlineStr">
        <is>
          <t xml:space="preserve">  - SSAA</t>
        </is>
      </c>
      <c r="B22" s="5" t="inlineStr">
        <is>
          <t>37 unidades</t>
        </is>
      </c>
      <c r="C22" s="42" t="n"/>
      <c r="D22" s="42" t="n"/>
      <c r="E22" s="42" t="n"/>
      <c r="F22" s="43" t="n"/>
    </row>
    <row r="23" ht="18" customHeight="1">
      <c r="A23" s="4" t="inlineStr">
        <is>
          <t xml:space="preserve">  - VFD_BT</t>
        </is>
      </c>
      <c r="B23" s="5" t="inlineStr">
        <is>
          <t>3 unidades</t>
        </is>
      </c>
      <c r="C23" s="42" t="n"/>
      <c r="D23" s="42" t="n"/>
      <c r="E23" s="42" t="n"/>
      <c r="F23" s="43" t="n"/>
    </row>
    <row r="24" ht="18" customHeight="1">
      <c r="A24" s="4" t="inlineStr">
        <is>
          <t xml:space="preserve">  - VFD_MT</t>
        </is>
      </c>
      <c r="B24" s="5" t="inlineStr">
        <is>
          <t>3 unidades</t>
        </is>
      </c>
      <c r="C24" s="42" t="n"/>
      <c r="D24" s="42" t="n"/>
      <c r="E24" s="42" t="n"/>
      <c r="F24" s="43" t="n"/>
    </row>
    <row r="26" ht="22" customHeight="1">
      <c r="A26" s="3" t="inlineStr">
        <is>
          <t>3. ESTIMACIÓN INSTALACIÓN CAMPO</t>
        </is>
      </c>
      <c r="B26" s="42" t="n"/>
      <c r="C26" s="42" t="n"/>
      <c r="D26" s="42" t="n"/>
      <c r="E26" s="42" t="n"/>
      <c r="F26" s="43" t="n"/>
    </row>
    <row r="27" ht="18" customHeight="1">
      <c r="A27" s="4" t="inlineStr">
        <is>
          <t>Cuadrillas eléctricas</t>
        </is>
      </c>
      <c r="B27" s="5" t="inlineStr">
        <is>
          <t>3 cuadrillas x 4 personas = 12 personas en campo</t>
        </is>
      </c>
      <c r="C27" s="42" t="n"/>
      <c r="D27" s="42" t="n"/>
      <c r="E27" s="42" t="n"/>
      <c r="F27" s="43" t="n"/>
    </row>
    <row r="28" ht="18" customHeight="1">
      <c r="A28" s="4" t="inlineStr">
        <is>
          <t>Tiempo total estimado (paralelizado)</t>
        </is>
      </c>
      <c r="B28" s="5" t="inlineStr">
        <is>
          <t>~263 días calendario</t>
        </is>
      </c>
      <c r="C28" s="42" t="n"/>
      <c r="D28" s="42" t="n"/>
      <c r="E28" s="42" t="n"/>
      <c r="F28" s="43" t="n"/>
    </row>
    <row r="29" ht="18" customHeight="1">
      <c r="A29" s="4" t="inlineStr">
        <is>
          <t>Período de trabajo</t>
        </is>
      </c>
      <c r="B29" s="5" t="inlineStr">
        <is>
          <t>MAY-2027 → ENE-2028 = 274 días disponibles</t>
        </is>
      </c>
      <c r="C29" s="42" t="n"/>
      <c r="D29" s="42" t="n"/>
      <c r="E29" s="42" t="n"/>
      <c r="F29" s="43" t="n"/>
    </row>
    <row r="30" ht="18" customHeight="1">
      <c r="A30" s="4" t="inlineStr">
        <is>
          <t>Margen disponible</t>
        </is>
      </c>
      <c r="B30" s="5" t="inlineStr">
        <is>
          <t>11 días (4.0% del total)</t>
        </is>
      </c>
      <c r="C30" s="42" t="n"/>
      <c r="D30" s="42" t="n"/>
      <c r="E30" s="42" t="n"/>
      <c r="F30" s="43" t="n"/>
    </row>
    <row r="31" ht="18" customHeight="1">
      <c r="A31" s="4" t="inlineStr">
        <is>
          <t>Fecha inicio mínima recomendada</t>
        </is>
      </c>
      <c r="B31" s="5" t="inlineStr">
        <is>
          <t>03-MAY-2027 (con llegada Sala 3)</t>
        </is>
      </c>
      <c r="C31" s="42" t="n"/>
      <c r="D31" s="42" t="n"/>
      <c r="E31" s="42" t="n"/>
      <c r="F31" s="43" t="n"/>
    </row>
    <row r="33" ht="22" customHeight="1">
      <c r="A33" s="3" t="inlineStr">
        <is>
          <t>4. HITOS CLAVE CPF-2</t>
        </is>
      </c>
      <c r="B33" s="42" t="n"/>
      <c r="C33" s="42" t="n"/>
      <c r="D33" s="42" t="n"/>
      <c r="E33" s="42" t="n"/>
      <c r="F33" s="43" t="n"/>
    </row>
    <row r="34" ht="18" customHeight="1">
      <c r="A34" s="4" t="inlineStr">
        <is>
          <t>Llegada Sala Eléctrica 4 (ABB)</t>
        </is>
      </c>
      <c r="B34" s="5" t="inlineStr">
        <is>
          <t>~07-ABR-2027</t>
        </is>
      </c>
      <c r="C34" s="42" t="n"/>
      <c r="D34" s="42" t="n"/>
      <c r="E34" s="42" t="n"/>
      <c r="F34" s="43" t="n"/>
    </row>
    <row r="35" ht="18" customHeight="1">
      <c r="A35" s="4" t="inlineStr">
        <is>
          <t>Llegada Sala Eléctrica 3 (ABB)</t>
        </is>
      </c>
      <c r="B35" s="5" t="inlineStr">
        <is>
          <t>~03-MAY-2027</t>
        </is>
      </c>
      <c r="C35" s="42" t="n"/>
      <c r="D35" s="42" t="n"/>
      <c r="E35" s="42" t="n"/>
      <c r="F35" s="43" t="n"/>
    </row>
    <row r="36" ht="18" customHeight="1">
      <c r="A36" s="4" t="inlineStr">
        <is>
          <t>Inicio precomisionado / montaje campo</t>
        </is>
      </c>
      <c r="B36" s="5" t="inlineStr">
        <is>
          <t>03-MAY-2027</t>
        </is>
      </c>
      <c r="C36" s="42" t="n"/>
      <c r="D36" s="42" t="n"/>
      <c r="E36" s="42" t="n"/>
      <c r="F36" s="43" t="n"/>
    </row>
    <row r="37" ht="18" customHeight="1">
      <c r="A37" s="4" t="inlineStr">
        <is>
          <t>Inicio comisionado</t>
        </is>
      </c>
      <c r="B37" s="5" t="inlineStr">
        <is>
          <t>16-JUL-2027</t>
        </is>
      </c>
      <c r="C37" s="42" t="n"/>
      <c r="D37" s="42" t="n"/>
      <c r="E37" s="42" t="n"/>
      <c r="F37" s="43" t="n"/>
    </row>
    <row r="38" ht="18" customHeight="1">
      <c r="A38" s="4" t="inlineStr">
        <is>
          <t>RFMC (Ready For Mechanical Completion)</t>
        </is>
      </c>
      <c r="B38" s="5" t="inlineStr">
        <is>
          <t>~15-AGO-2027</t>
        </is>
      </c>
      <c r="C38" s="42" t="n"/>
      <c r="D38" s="42" t="n"/>
      <c r="E38" s="42" t="n"/>
      <c r="F38" s="43" t="n"/>
    </row>
    <row r="39" ht="18" customHeight="1">
      <c r="A39" s="4" t="inlineStr">
        <is>
          <t>SAT PMS en sitio (ventana)</t>
        </is>
      </c>
      <c r="B39" s="5" t="inlineStr">
        <is>
          <t>OCT-DIC 2027</t>
        </is>
      </c>
      <c r="C39" s="42" t="n"/>
      <c r="D39" s="42" t="n"/>
      <c r="E39" s="42" t="n"/>
      <c r="F39" s="43" t="n"/>
    </row>
    <row r="40" ht="18" customHeight="1">
      <c r="A40" s="4" t="inlineStr">
        <is>
          <t>RFSU (Ready For Start Up)</t>
        </is>
      </c>
      <c r="B40" s="5" t="inlineStr">
        <is>
          <t>31-ENE-2028 [CONTRACTUAL]</t>
        </is>
      </c>
      <c r="C40" s="42" t="n"/>
      <c r="D40" s="42" t="n"/>
      <c r="E40" s="42" t="n"/>
      <c r="F40" s="43" t="n"/>
    </row>
    <row r="42" ht="22" customHeight="1">
      <c r="A42" s="3" t="inlineStr">
        <is>
          <t>5. ALERTAS Y RIESGOS CRÍTICOS</t>
        </is>
      </c>
      <c r="B42" s="42" t="n"/>
      <c r="C42" s="42" t="n"/>
      <c r="D42" s="42" t="n"/>
      <c r="E42" s="42" t="n"/>
      <c r="F42" s="43" t="n"/>
    </row>
    <row r="43" ht="22" customHeight="1">
      <c r="A43" s="6" t="inlineStr">
        <is>
          <t>CRÍTICO</t>
        </is>
      </c>
      <c r="B43" s="5" t="inlineStr">
        <is>
          <t>Cables MT 13.2kV requieren técnicos ABB certificados - Coordinar con 3 meses de antelación</t>
        </is>
      </c>
      <c r="C43" s="42" t="n"/>
      <c r="D43" s="42" t="n"/>
      <c r="E43" s="42" t="n"/>
      <c r="F43" s="43" t="n"/>
    </row>
    <row r="44" ht="22" customHeight="1">
      <c r="A44" s="6" t="inlineStr">
        <is>
          <t>CRÍTICO</t>
        </is>
      </c>
      <c r="B44" s="5" t="inlineStr">
        <is>
          <t>SAT PMS es HOLD POINT contractual - Ventana OCT-DIC 2027 no puede deslizarse</t>
        </is>
      </c>
      <c r="C44" s="42" t="n"/>
      <c r="D44" s="42" t="n"/>
      <c r="E44" s="42" t="n"/>
      <c r="F44" s="43" t="n"/>
    </row>
    <row r="45" ht="22" customHeight="1">
      <c r="A45" s="7" t="inlineStr">
        <is>
          <t>RIESGO</t>
        </is>
      </c>
      <c r="B45" s="5" t="inlineStr">
        <is>
          <t>Llegada tardía de salas eléctricas ABB comprime ventana de instalación a &lt;9 meses</t>
        </is>
      </c>
      <c r="C45" s="42" t="n"/>
      <c r="D45" s="42" t="n"/>
      <c r="E45" s="42" t="n"/>
      <c r="F45" s="43" t="n"/>
    </row>
    <row r="46" ht="22" customHeight="1">
      <c r="A46" s="7" t="inlineStr">
        <is>
          <t>RIESGO</t>
        </is>
      </c>
      <c r="B46" s="5" t="inlineStr">
        <is>
          <t>Lista de cables Rev.0 incompleta - Faltan cables de comunicación CCM→PMS y señales hardwired motores DOL</t>
        </is>
      </c>
      <c r="C46" s="42" t="n"/>
      <c r="D46" s="42" t="n"/>
      <c r="E46" s="42" t="n"/>
      <c r="F46" s="43" t="n"/>
    </row>
    <row r="47" ht="22" customHeight="1">
      <c r="A47" s="7" t="inlineStr">
        <is>
          <t>RIESGO</t>
        </is>
      </c>
      <c r="B47" s="5" t="inlineStr">
        <is>
          <t>Bombas de inyección (M-PAZ-24210) a 460V con VFDs 1kV - Verificar coordinación de protecciones</t>
        </is>
      </c>
      <c r="C47" s="42" t="n"/>
      <c r="D47" s="42" t="n"/>
      <c r="E47" s="42" t="n"/>
      <c r="F47" s="43" t="n"/>
    </row>
    <row r="48" ht="22" customHeight="1">
      <c r="A48" s="7" t="inlineStr">
        <is>
          <t>RIESGO</t>
        </is>
      </c>
      <c r="B48" s="5" t="inlineStr">
        <is>
          <t>Cables 3x240 mm² a 460V (bombas inyección): verificar formación final con memoria de cálculo</t>
        </is>
      </c>
      <c r="C48" s="42" t="n"/>
      <c r="D48" s="42" t="n"/>
      <c r="E48" s="42" t="n"/>
      <c r="F48" s="43" t="n"/>
    </row>
    <row r="49" ht="22" customHeight="1">
      <c r="A49" s="8" t="inlineStr">
        <is>
          <t>ALERTA</t>
        </is>
      </c>
      <c r="B49" s="9" t="inlineStr">
        <is>
          <t>Distancias en lista de cables a confirmar con ingeniería - Nota en Rev.0 del documento</t>
        </is>
      </c>
      <c r="C49" s="42" t="n"/>
      <c r="D49" s="42" t="n"/>
      <c r="E49" s="42" t="n"/>
      <c r="F49" s="43" t="n"/>
    </row>
    <row r="50" ht="22" customHeight="1">
      <c r="A50" s="8" t="inlineStr">
        <is>
          <t>ALERTA</t>
        </is>
      </c>
      <c r="B50" s="9" t="inlineStr">
        <is>
          <t>Falta M-94213B en listado (nota del revisor del documento)</t>
        </is>
      </c>
      <c r="C50" s="42" t="n"/>
      <c r="D50" s="42" t="n"/>
      <c r="E50" s="42" t="n"/>
      <c r="F50" s="43" t="n"/>
    </row>
    <row r="51" ht="22" customHeight="1">
      <c r="A51" s="8" t="inlineStr">
        <is>
          <t>ALERTA</t>
        </is>
      </c>
      <c r="B51" s="9" t="inlineStr">
        <is>
          <t>Calefactores de motores (EAL-23310): incluir en circuito de calefacción con control thermostat</t>
        </is>
      </c>
      <c r="C51" s="42" t="n"/>
      <c r="D51" s="42" t="n"/>
      <c r="E51" s="42" t="n"/>
      <c r="F51" s="43" t="n"/>
    </row>
    <row r="53" ht="55" customHeight="1">
      <c r="A53" s="10" t="inlineStr">
        <is>
          <t>CONCLUSIÓN: Cronograma AJUSTADO - SIN MARGEN con RFSU 31-ENE-2028. Tiempo estimado: ~263 días vs 274 disponibles con 3 cuadrillas. Solo 11 días de margen (4%). ACCIÓN: 4 cuadrillas para tendido BT Grande (ruta crítica). RUTA CRÍTICA: Tendido cables BT Grande (104 cables, 17,470m). RIESGOS: (1) Lista Rev.0 incompleta - estimado podría crecer 10-15%. (2) Salas ABB deben llegar antes de MAY-2027. (3) SAT PMS es HOLD POINT contractual OCT-DIC 2027.  |  Rev 1  |  09-JUN-2026</t>
        </is>
      </c>
      <c r="B53" s="42" t="n"/>
      <c r="C53" s="42" t="n"/>
      <c r="D53" s="42" t="n"/>
      <c r="E53" s="42" t="n"/>
      <c r="F53" s="43" t="n"/>
    </row>
    <row r="56" ht="28" customHeight="1">
      <c r="A56" s="44" t="inlineStr">
        <is>
          <t>★ NUEVO Rev 1 09-JUN-2026: Análisis de Puntas de Conexión — CPF-2: 5,178 puntas totales (3,036 en salas / 1,717 en campo). Ver hoja 8_Puntas_Conexion.</t>
        </is>
      </c>
    </row>
  </sheetData>
  <mergeCells count="48">
    <mergeCell ref="B7:F7"/>
    <mergeCell ref="B47:F47"/>
    <mergeCell ref="B16:F16"/>
    <mergeCell ref="B31:F31"/>
    <mergeCell ref="B46:F46"/>
    <mergeCell ref="B22:F22"/>
    <mergeCell ref="A26:F26"/>
    <mergeCell ref="B18:F18"/>
    <mergeCell ref="B27:F27"/>
    <mergeCell ref="B21:F21"/>
    <mergeCell ref="A2:F2"/>
    <mergeCell ref="A33:F33"/>
    <mergeCell ref="B12:F12"/>
    <mergeCell ref="B39:F39"/>
    <mergeCell ref="A42:F42"/>
    <mergeCell ref="B43:F43"/>
    <mergeCell ref="B48:F48"/>
    <mergeCell ref="A14:F14"/>
    <mergeCell ref="B11:F11"/>
    <mergeCell ref="B23:F23"/>
    <mergeCell ref="A4:F4"/>
    <mergeCell ref="B8:F8"/>
    <mergeCell ref="A53:F53"/>
    <mergeCell ref="B17:F17"/>
    <mergeCell ref="B44:F44"/>
    <mergeCell ref="B29:F29"/>
    <mergeCell ref="B38:F38"/>
    <mergeCell ref="B34:F34"/>
    <mergeCell ref="B10:F10"/>
    <mergeCell ref="B28:F28"/>
    <mergeCell ref="B19:F19"/>
    <mergeCell ref="B37:F37"/>
    <mergeCell ref="B40:F40"/>
    <mergeCell ref="B9:F9"/>
    <mergeCell ref="B49:F49"/>
    <mergeCell ref="B30:F30"/>
    <mergeCell ref="B6:F6"/>
    <mergeCell ref="B24:F24"/>
    <mergeCell ref="A56:G56"/>
    <mergeCell ref="B20:F20"/>
    <mergeCell ref="B15:F15"/>
    <mergeCell ref="A1:F1"/>
    <mergeCell ref="B5:F5"/>
    <mergeCell ref="B51:F51"/>
    <mergeCell ref="B45:F45"/>
    <mergeCell ref="B36:F36"/>
    <mergeCell ref="B50:F50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2" customWidth="1" min="10" max="10"/>
  </cols>
  <sheetData>
    <row r="1" ht="28" customHeight="1">
      <c r="A1" s="146" t="inlineStr">
        <is>
          <t>ANÁLISIS DE PUNTAS DE CONEXIÓN — CPF-2 LA CALERA II  |  Rev 3  |  13-JUN-2026  |  Totales calculados con SUMIF sobre hoja 1_Cables_Completo col.P (TOTAL_PTAS)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8" t="n"/>
    </row>
    <row r="2" ht="18" customHeight="1">
      <c r="A2" s="147" t="inlineStr">
        <is>
          <t>★ CIERRE GARANTIZADO: cada celda de esta hoja usa SUMIF/SUMIFS sobre la columna P (TOTAL_PTAS) de la hoja 1_Cables_Completo — cualquier cambio en Sheet 1 actualiza automáticamente este resumen.  | PUNTA = 1 conductor a conectar en 1 extremo del cable (incluye conductores + armadura si corresponde).</t>
        </is>
      </c>
      <c r="B2" s="309" t="n"/>
      <c r="C2" s="309" t="n"/>
      <c r="D2" s="309" t="n"/>
      <c r="E2" s="309" t="n"/>
      <c r="F2" s="309" t="n"/>
      <c r="G2" s="309" t="n"/>
      <c r="H2" s="309" t="n"/>
      <c r="I2" s="309" t="n"/>
      <c r="J2" s="310" t="n"/>
    </row>
    <row r="3"/>
    <row r="4" ht="20" customHeight="1">
      <c r="A4" s="148" t="inlineStr">
        <is>
          <t xml:space="preserve">  A. TOTALES GENERALES (SUMIF directo sobre 1_Cables_Completo columna TOTAL_PTAS)</t>
        </is>
      </c>
      <c r="B4" s="307" t="n"/>
      <c r="C4" s="307" t="n"/>
      <c r="D4" s="307" t="n"/>
      <c r="E4" s="307" t="n"/>
      <c r="F4" s="307" t="n"/>
      <c r="G4" s="307" t="n"/>
      <c r="H4" s="307" t="n"/>
      <c r="I4" s="307" t="n"/>
      <c r="J4" s="308" t="n"/>
    </row>
    <row r="5" ht="30" customHeight="1">
      <c r="A5" s="149" t="inlineStr">
        <is>
          <t>Concepto</t>
        </is>
      </c>
      <c r="B5" s="149" t="inlineStr">
        <is>
          <t>Cables
CPF-2</t>
        </is>
      </c>
      <c r="C5" s="149" t="inlineStr">
        <is>
          <t>Puntas
Conductores
(PTAS_COND)</t>
        </is>
      </c>
      <c r="D5" s="149" t="inlineStr">
        <is>
          <t>Puntas
Armadura
(PTAS_ARM)</t>
        </is>
      </c>
      <c r="E5" s="149" t="inlineStr">
        <is>
          <t>TOTAL
PUNTAS
(SUMIF)</t>
        </is>
      </c>
      <c r="F5" s="149" t="inlineStr"/>
      <c r="G5" s="149" t="inlineStr">
        <is>
          <t>Fórmula usada</t>
        </is>
      </c>
      <c r="H5" s="149" t="inlineStr"/>
      <c r="I5" s="149" t="inlineStr"/>
      <c r="J5" s="149" t="inlineStr">
        <is>
          <t>Verificación</t>
        </is>
      </c>
    </row>
    <row r="6" ht="18" customHeight="1">
      <c r="A6" s="150" t="inlineStr">
        <is>
          <t>TOTAL CPF-2 — Puntas conductores</t>
        </is>
      </c>
      <c r="B6" s="151">
        <f>COUNTIF('1_Cables_Completo'!$K$2:$K$634,"CPF2")</f>
        <v/>
      </c>
      <c r="C6" s="151">
        <f>SUMIF('1_Cables_Completo'!$K$2:$K$634,"CPF2",'1_Cables_Completo'!$N$2:$N$634)</f>
        <v/>
      </c>
      <c r="D6" s="152" t="inlineStr">
        <is>
          <t>—</t>
        </is>
      </c>
      <c r="E6" s="152" t="inlineStr">
        <is>
          <t>—</t>
        </is>
      </c>
      <c r="F6" s="153" t="inlineStr"/>
      <c r="G6" s="154" t="inlineStr">
        <is>
          <t>SUMIF(K,"CPF2",N)</t>
        </is>
      </c>
      <c r="H6" s="153" t="inlineStr"/>
      <c r="I6" s="153" t="inlineStr"/>
      <c r="J6" s="153" t="inlineStr">
        <is>
          <t>N_COND × 2 extremos por cable</t>
        </is>
      </c>
    </row>
    <row r="7" ht="18" customHeight="1">
      <c r="A7" s="155" t="inlineStr">
        <is>
          <t>TOTAL CPF-2 — Puntas armadura (glands)</t>
        </is>
      </c>
      <c r="B7" s="156">
        <f>COUNTIFS('1_Cables_Completo'!$K$2:$K$634,"CPF2",'1_Cables_Completo'!$M$2:$M$634,"SI")</f>
        <v/>
      </c>
      <c r="C7" s="157" t="inlineStr">
        <is>
          <t>—</t>
        </is>
      </c>
      <c r="D7" s="156">
        <f>SUMIF('1_Cables_Completo'!$K$2:$K$634,"CPF2",'1_Cables_Completo'!$O$2:$O$634)</f>
        <v/>
      </c>
      <c r="E7" s="157" t="inlineStr">
        <is>
          <t>—</t>
        </is>
      </c>
      <c r="F7" s="158" t="inlineStr"/>
      <c r="G7" s="159" t="inlineStr">
        <is>
          <t>SUMIF(K,"CPF2",O)</t>
        </is>
      </c>
      <c r="H7" s="158" t="inlineStr"/>
      <c r="I7" s="158" t="inlineStr"/>
      <c r="J7" s="158" t="inlineStr">
        <is>
          <t>2 glands por cable armado</t>
        </is>
      </c>
    </row>
    <row r="8" ht="22" customHeight="1">
      <c r="A8" s="160" t="inlineStr">
        <is>
          <t>★ TOTAL CPF-2 — GRAN TOTAL PUNTAS</t>
        </is>
      </c>
      <c r="B8" s="161">
        <f>COUNTIF('1_Cables_Completo'!$K$2:$K$634,"CPF2")</f>
        <v/>
      </c>
      <c r="C8" s="161">
        <f>SUMIF('1_Cables_Completo'!$K$2:$K$634,"CPF2",'1_Cables_Completo'!$N$2:$N$634)</f>
        <v/>
      </c>
      <c r="D8" s="161">
        <f>SUMIF('1_Cables_Completo'!$K$2:$K$634,"CPF2",'1_Cables_Completo'!$O$2:$O$634)</f>
        <v/>
      </c>
      <c r="E8" s="162">
        <f>SUMIF('1_Cables_Completo'!$K$2:$K$634,"CPF2",'1_Cables_Completo'!$P$2:$P$634)</f>
        <v/>
      </c>
      <c r="F8" s="163" t="inlineStr"/>
      <c r="G8" s="164" t="inlineStr">
        <is>
          <t>SUMIF(K,"CPF2",P)</t>
        </is>
      </c>
      <c r="H8" s="163" t="inlineStr"/>
      <c r="I8" s="163" t="inlineStr"/>
      <c r="J8" s="163" t="inlineStr">
        <is>
          <t>Valor esperado: 5,178</t>
        </is>
      </c>
    </row>
    <row r="10" ht="20" customHeight="1">
      <c r="A10" s="165" t="inlineStr">
        <is>
          <t xml:space="preserve">  B. PUNTAS POR TIPO DE CABLE — SUMIFS(P, K="CPF2", Q=tipo)</t>
        </is>
      </c>
      <c r="B10" s="307" t="n"/>
      <c r="C10" s="307" t="n"/>
      <c r="D10" s="307" t="n"/>
      <c r="E10" s="307" t="n"/>
      <c r="F10" s="307" t="n"/>
      <c r="G10" s="307" t="n"/>
      <c r="H10" s="307" t="n"/>
      <c r="I10" s="307" t="n"/>
      <c r="J10" s="308" t="n"/>
    </row>
    <row r="11" ht="30" customHeight="1">
      <c r="A11" s="149" t="inlineStr">
        <is>
          <t>Tipo de Cable</t>
        </is>
      </c>
      <c r="B11" s="149" t="inlineStr">
        <is>
          <t>Cables
(COUNTIFS)</t>
        </is>
      </c>
      <c r="C11" s="149" t="inlineStr">
        <is>
          <t>Puntas
Conductores</t>
        </is>
      </c>
      <c r="D11" s="149" t="inlineStr">
        <is>
          <t>Puntas
Armadura</t>
        </is>
      </c>
      <c r="E11" s="149" t="inlineStr">
        <is>
          <t>TOTAL
PUNTAS</t>
        </is>
      </c>
      <c r="F11" s="149" t="inlineStr">
        <is>
          <t>% del
total</t>
        </is>
      </c>
      <c r="G11" s="149" t="inlineStr"/>
      <c r="H11" s="149" t="inlineStr">
        <is>
          <t>Fórmula TOTAL_PTAS</t>
        </is>
      </c>
      <c r="I11" s="149" t="inlineStr"/>
      <c r="J11" s="149" t="inlineStr">
        <is>
          <t>Nota</t>
        </is>
      </c>
    </row>
    <row r="12" ht="18" customHeight="1">
      <c r="A12" s="166" t="inlineStr">
        <is>
          <t>POTENCIA MT (&gt;1kV)</t>
        </is>
      </c>
      <c r="B12" s="167">
        <f>COUNTIFS('1_Cables_Completo'!$K$2:$K$634,"CPF2",'1_Cables_Completo'!$Q$2:$Q$634,"POTENCIA MT (&gt;1kV)")</f>
        <v/>
      </c>
      <c r="C12" s="167">
        <f>SUMIFS('1_Cables_Completo'!$N$2:$N$634,'1_Cables_Completo'!$K$2:$K$634,"CPF2",'1_Cables_Completo'!$Q$2:$Q$634,"POTENCIA MT (&gt;1kV)")</f>
        <v/>
      </c>
      <c r="D12" s="167">
        <f>SUMIFS('1_Cables_Completo'!$O$2:$O$634,'1_Cables_Completo'!$K$2:$K$634,"CPF2",'1_Cables_Completo'!$Q$2:$Q$634,"POTENCIA MT (&gt;1kV)")</f>
        <v/>
      </c>
      <c r="E12" s="168">
        <f>SUMIFS('1_Cables_Completo'!$P$2:$P$634,'1_Cables_Completo'!$K$2:$K$634,"CPF2",'1_Cables_Completo'!$Q$2:$Q$634,"POTENCIA MT (&gt;1kV)")</f>
        <v/>
      </c>
      <c r="F12" s="169">
        <f>IF(=SUMIF('1_Cables_Completo'!$K$2:$K$634,"CPF2",'1_Cables_Completo'!$P$2:$P$634)&gt;0,=SUMIFS('1_Cables_Completo'!$P$2:$P$634,'1_Cables_Completo'!$K$2:$K$634,"CPF2",'1_Cables_Completo'!$Q$2:$Q$634,"POTENCIA MT (&gt;1kV)")/=SUMIF('1_Cables_Completo'!$K$2:$K$634,"CPF2",'1_Cables_Completo'!$P$2:$P$634),0)</f>
        <v/>
      </c>
      <c r="G12" s="170" t="inlineStr"/>
      <c r="H12" s="171" t="inlineStr">
        <is>
          <t>SUMIFS(P,K,"CPF2",Q,"POTENCIA MT (&gt;1kV)")</t>
        </is>
      </c>
      <c r="I12" s="170" t="inlineStr"/>
      <c r="J12" s="172" t="inlineStr">
        <is>
          <t>Terminales a compresión MT — técnico certificado</t>
        </is>
      </c>
    </row>
    <row r="13" ht="18" customHeight="1">
      <c r="A13" s="173" t="inlineStr">
        <is>
          <t>POTENCIA BT GRANDE (≥95mm²)</t>
        </is>
      </c>
      <c r="B13" s="174">
        <f>COUNTIFS('1_Cables_Completo'!$K$2:$K$634,"CPF2",'1_Cables_Completo'!$Q$2:$Q$634,"POTENCIA BT GRANDE (≥95mm²)")</f>
        <v/>
      </c>
      <c r="C13" s="174">
        <f>SUMIFS('1_Cables_Completo'!$N$2:$N$634,'1_Cables_Completo'!$K$2:$K$634,"CPF2",'1_Cables_Completo'!$Q$2:$Q$634,"POTENCIA BT GRANDE (≥95mm²)")</f>
        <v/>
      </c>
      <c r="D13" s="174">
        <f>SUMIFS('1_Cables_Completo'!$O$2:$O$634,'1_Cables_Completo'!$K$2:$K$634,"CPF2",'1_Cables_Completo'!$Q$2:$Q$634,"POTENCIA BT GRANDE (≥95mm²)")</f>
        <v/>
      </c>
      <c r="E13" s="175">
        <f>SUMIFS('1_Cables_Completo'!$P$2:$P$634,'1_Cables_Completo'!$K$2:$K$634,"CPF2",'1_Cables_Completo'!$Q$2:$Q$634,"POTENCIA BT GRANDE (≥95mm²)")</f>
        <v/>
      </c>
      <c r="F13" s="176">
        <f>IF(=SUMIF('1_Cables_Completo'!$K$2:$K$634,"CPF2",'1_Cables_Completo'!$P$2:$P$634)&gt;0,=SUMIFS('1_Cables_Completo'!$P$2:$P$634,'1_Cables_Completo'!$K$2:$K$634,"CPF2",'1_Cables_Completo'!$Q$2:$Q$634,"POTENCIA BT GRANDE (≥95mm²)")/=SUMIF('1_Cables_Completo'!$K$2:$K$634,"CPF2",'1_Cables_Completo'!$P$2:$P$634),0)</f>
        <v/>
      </c>
      <c r="G13" s="177" t="inlineStr"/>
      <c r="H13" s="178" t="inlineStr">
        <is>
          <t>SUMIFS(P,K,"CPF2",Q,"POTENCIA BT GRANDE (≥95mm²)")</t>
        </is>
      </c>
      <c r="I13" s="177" t="inlineStr"/>
      <c r="J13" s="179" t="inlineStr">
        <is>
          <t>Lugs a compresión BT</t>
        </is>
      </c>
    </row>
    <row r="14" ht="18" customHeight="1">
      <c r="A14" s="180" t="inlineStr">
        <is>
          <t>POTENCIA BT MEDIANA (35-70mm²)</t>
        </is>
      </c>
      <c r="B14" s="181">
        <f>COUNTIFS('1_Cables_Completo'!$K$2:$K$634,"CPF2",'1_Cables_Completo'!$Q$2:$Q$634,"POTENCIA BT MEDIANA (35-70mm²)")</f>
        <v/>
      </c>
      <c r="C14" s="181">
        <f>SUMIFS('1_Cables_Completo'!$N$2:$N$634,'1_Cables_Completo'!$K$2:$K$634,"CPF2",'1_Cables_Completo'!$Q$2:$Q$634,"POTENCIA BT MEDIANA (35-70mm²)")</f>
        <v/>
      </c>
      <c r="D14" s="181">
        <f>SUMIFS('1_Cables_Completo'!$O$2:$O$634,'1_Cables_Completo'!$K$2:$K$634,"CPF2",'1_Cables_Completo'!$Q$2:$Q$634,"POTENCIA BT MEDIANA (35-70mm²)")</f>
        <v/>
      </c>
      <c r="E14" s="182">
        <f>SUMIFS('1_Cables_Completo'!$P$2:$P$634,'1_Cables_Completo'!$K$2:$K$634,"CPF2",'1_Cables_Completo'!$Q$2:$Q$634,"POTENCIA BT MEDIANA (35-70mm²)")</f>
        <v/>
      </c>
      <c r="F14" s="183">
        <f>IF(=SUMIF('1_Cables_Completo'!$K$2:$K$634,"CPF2",'1_Cables_Completo'!$P$2:$P$634)&gt;0,=SUMIFS('1_Cables_Completo'!$P$2:$P$634,'1_Cables_Completo'!$K$2:$K$634,"CPF2",'1_Cables_Completo'!$Q$2:$Q$634,"POTENCIA BT MEDIANA (35-70mm²)")/=SUMIF('1_Cables_Completo'!$K$2:$K$634,"CPF2",'1_Cables_Completo'!$P$2:$P$634),0)</f>
        <v/>
      </c>
      <c r="G14" s="184" t="inlineStr"/>
      <c r="H14" s="185" t="inlineStr">
        <is>
          <t>SUMIFS(P,K,"CPF2",Q,"POTENCIA BT MEDIANA (35-70mm²)")</t>
        </is>
      </c>
      <c r="I14" s="184" t="inlineStr"/>
      <c r="J14" s="186" t="inlineStr">
        <is>
          <t>Lugs a compresión BT</t>
        </is>
      </c>
    </row>
    <row r="15" ht="18" customHeight="1">
      <c r="A15" s="187" t="inlineStr">
        <is>
          <t>POTENCIA BT PEQUEÑA (10-25mm²)</t>
        </is>
      </c>
      <c r="B15" s="188">
        <f>COUNTIFS('1_Cables_Completo'!$K$2:$K$634,"CPF2",'1_Cables_Completo'!$Q$2:$Q$634,"POTENCIA BT PEQUEÑA (10-25mm²)")</f>
        <v/>
      </c>
      <c r="C15" s="188">
        <f>SUMIFS('1_Cables_Completo'!$N$2:$N$634,'1_Cables_Completo'!$K$2:$K$634,"CPF2",'1_Cables_Completo'!$Q$2:$Q$634,"POTENCIA BT PEQUEÑA (10-25mm²)")</f>
        <v/>
      </c>
      <c r="D15" s="188">
        <f>SUMIFS('1_Cables_Completo'!$O$2:$O$634,'1_Cables_Completo'!$K$2:$K$634,"CPF2",'1_Cables_Completo'!$Q$2:$Q$634,"POTENCIA BT PEQUEÑA (10-25mm²)")</f>
        <v/>
      </c>
      <c r="E15" s="189">
        <f>SUMIFS('1_Cables_Completo'!$P$2:$P$634,'1_Cables_Completo'!$K$2:$K$634,"CPF2",'1_Cables_Completo'!$Q$2:$Q$634,"POTENCIA BT PEQUEÑA (10-25mm²)")</f>
        <v/>
      </c>
      <c r="F15" s="190">
        <f>IF(=SUMIF('1_Cables_Completo'!$K$2:$K$634,"CPF2",'1_Cables_Completo'!$P$2:$P$634)&gt;0,=SUMIFS('1_Cables_Completo'!$P$2:$P$634,'1_Cables_Completo'!$K$2:$K$634,"CPF2",'1_Cables_Completo'!$Q$2:$Q$634,"POTENCIA BT PEQUEÑA (10-25mm²)")/=SUMIF('1_Cables_Completo'!$K$2:$K$634,"CPF2",'1_Cables_Completo'!$P$2:$P$634),0)</f>
        <v/>
      </c>
      <c r="G15" s="191" t="inlineStr"/>
      <c r="H15" s="192" t="inlineStr">
        <is>
          <t>SUMIFS(P,K,"CPF2",Q,"POTENCIA BT PEQUEÑA (10-25mm²)")</t>
        </is>
      </c>
      <c r="I15" s="191" t="inlineStr"/>
      <c r="J15" s="193" t="inlineStr">
        <is>
          <t>Lugs a compresión BT</t>
        </is>
      </c>
    </row>
    <row r="16" ht="18" customHeight="1">
      <c r="A16" s="194" t="inlineStr">
        <is>
          <t>POTENCIA BT MUY PEQ (&lt;10mm²)</t>
        </is>
      </c>
      <c r="B16" s="195">
        <f>COUNTIFS('1_Cables_Completo'!$K$2:$K$634,"CPF2",'1_Cables_Completo'!$Q$2:$Q$634,"POTENCIA BT MUY PEQ (&lt;10mm²)")</f>
        <v/>
      </c>
      <c r="C16" s="195">
        <f>SUMIFS('1_Cables_Completo'!$N$2:$N$634,'1_Cables_Completo'!$K$2:$K$634,"CPF2",'1_Cables_Completo'!$Q$2:$Q$634,"POTENCIA BT MUY PEQ (&lt;10mm²)")</f>
        <v/>
      </c>
      <c r="D16" s="195">
        <f>SUMIFS('1_Cables_Completo'!$O$2:$O$634,'1_Cables_Completo'!$K$2:$K$634,"CPF2",'1_Cables_Completo'!$Q$2:$Q$634,"POTENCIA BT MUY PEQ (&lt;10mm²)")</f>
        <v/>
      </c>
      <c r="E16" s="196">
        <f>SUMIFS('1_Cables_Completo'!$P$2:$P$634,'1_Cables_Completo'!$K$2:$K$634,"CPF2",'1_Cables_Completo'!$Q$2:$Q$634,"POTENCIA BT MUY PEQ (&lt;10mm²)")</f>
        <v/>
      </c>
      <c r="F16" s="197">
        <f>IF(=SUMIF('1_Cables_Completo'!$K$2:$K$634,"CPF2",'1_Cables_Completo'!$P$2:$P$634)&gt;0,=SUMIFS('1_Cables_Completo'!$P$2:$P$634,'1_Cables_Completo'!$K$2:$K$634,"CPF2",'1_Cables_Completo'!$Q$2:$Q$634,"POTENCIA BT MUY PEQ (&lt;10mm²)")/=SUMIF('1_Cables_Completo'!$K$2:$K$634,"CPF2",'1_Cables_Completo'!$P$2:$P$634),0)</f>
        <v/>
      </c>
      <c r="G16" s="198" t="inlineStr"/>
      <c r="H16" s="199" t="inlineStr">
        <is>
          <t>SUMIFS(P,K,"CPF2",Q,"POTENCIA BT MUY PEQ (&lt;10mm²)")</t>
        </is>
      </c>
      <c r="I16" s="198" t="inlineStr"/>
      <c r="J16" s="200" t="inlineStr">
        <is>
          <t>Lugs a compresión BT</t>
        </is>
      </c>
    </row>
    <row r="17" ht="18" customHeight="1">
      <c r="A17" s="201" t="inlineStr">
        <is>
          <t>CONTROL</t>
        </is>
      </c>
      <c r="B17" s="202">
        <f>COUNTIFS('1_Cables_Completo'!$K$2:$K$634,"CPF2",'1_Cables_Completo'!$Q$2:$Q$634,"CONTROL")</f>
        <v/>
      </c>
      <c r="C17" s="202">
        <f>SUMIFS('1_Cables_Completo'!$N$2:$N$634,'1_Cables_Completo'!$K$2:$K$634,"CPF2",'1_Cables_Completo'!$Q$2:$Q$634,"CONTROL")</f>
        <v/>
      </c>
      <c r="D17" s="202">
        <f>SUMIFS('1_Cables_Completo'!$O$2:$O$634,'1_Cables_Completo'!$K$2:$K$634,"CPF2",'1_Cables_Completo'!$Q$2:$Q$634,"CONTROL")</f>
        <v/>
      </c>
      <c r="E17" s="203">
        <f>SUMIFS('1_Cables_Completo'!$P$2:$P$634,'1_Cables_Completo'!$K$2:$K$634,"CPF2",'1_Cables_Completo'!$Q$2:$Q$634,"CONTROL")</f>
        <v/>
      </c>
      <c r="F17" s="204">
        <f>IF(=SUMIF('1_Cables_Completo'!$K$2:$K$634,"CPF2",'1_Cables_Completo'!$P$2:$P$634)&gt;0,=SUMIFS('1_Cables_Completo'!$P$2:$P$634,'1_Cables_Completo'!$K$2:$K$634,"CPF2",'1_Cables_Completo'!$Q$2:$Q$634,"CONTROL")/=SUMIF('1_Cables_Completo'!$K$2:$K$634,"CPF2",'1_Cables_Completo'!$P$2:$P$634),0)</f>
        <v/>
      </c>
      <c r="G17" s="205" t="inlineStr"/>
      <c r="H17" s="206" t="inlineStr">
        <is>
          <t>SUMIFS(P,K,"CPF2",Q,"CONTROL")</t>
        </is>
      </c>
      <c r="I17" s="205" t="inlineStr"/>
      <c r="J17" s="207" t="inlineStr">
        <is>
          <t>Ferrules de bornera</t>
        </is>
      </c>
    </row>
    <row r="18" ht="18" customHeight="1">
      <c r="A18" s="208" t="inlineStr">
        <is>
          <t>SEÑAL / INSTRUMENTO</t>
        </is>
      </c>
      <c r="B18" s="209">
        <f>COUNTIFS('1_Cables_Completo'!$K$2:$K$634,"CPF2",'1_Cables_Completo'!$Q$2:$Q$634,"SEÑAL / INSTRUMENTO")</f>
        <v/>
      </c>
      <c r="C18" s="209">
        <f>SUMIFS('1_Cables_Completo'!$N$2:$N$634,'1_Cables_Completo'!$K$2:$K$634,"CPF2",'1_Cables_Completo'!$Q$2:$Q$634,"SEÑAL / INSTRUMENTO")</f>
        <v/>
      </c>
      <c r="D18" s="209">
        <f>SUMIFS('1_Cables_Completo'!$O$2:$O$634,'1_Cables_Completo'!$K$2:$K$634,"CPF2",'1_Cables_Completo'!$Q$2:$Q$634,"SEÑAL / INSTRUMENTO")</f>
        <v/>
      </c>
      <c r="E18" s="210">
        <f>SUMIFS('1_Cables_Completo'!$P$2:$P$634,'1_Cables_Completo'!$K$2:$K$634,"CPF2",'1_Cables_Completo'!$Q$2:$Q$634,"SEÑAL / INSTRUMENTO")</f>
        <v/>
      </c>
      <c r="F18" s="211">
        <f>IF(=SUMIF('1_Cables_Completo'!$K$2:$K$634,"CPF2",'1_Cables_Completo'!$P$2:$P$634)&gt;0,=SUMIFS('1_Cables_Completo'!$P$2:$P$634,'1_Cables_Completo'!$K$2:$K$634,"CPF2",'1_Cables_Completo'!$Q$2:$Q$634,"SEÑAL / INSTRUMENTO")/=SUMIF('1_Cables_Completo'!$K$2:$K$634,"CPF2",'1_Cables_Completo'!$P$2:$P$634),0)</f>
        <v/>
      </c>
      <c r="G18" s="212" t="inlineStr"/>
      <c r="H18" s="213" t="inlineStr">
        <is>
          <t>SUMIFS(P,K,"CPF2",Q,"SEÑAL / INSTRUMENTO")</t>
        </is>
      </c>
      <c r="I18" s="212" t="inlineStr"/>
      <c r="J18" s="214" t="inlineStr"/>
    </row>
    <row r="19" ht="18" customHeight="1">
      <c r="A19" s="215" t="inlineStr">
        <is>
          <t>FO / ETHERNET</t>
        </is>
      </c>
      <c r="B19" s="216">
        <f>COUNTIFS('1_Cables_Completo'!$K$2:$K$634,"CPF2",'1_Cables_Completo'!$Q$2:$Q$634,"FO / ETHERNET")</f>
        <v/>
      </c>
      <c r="C19" s="216">
        <f>SUMIFS('1_Cables_Completo'!$N$2:$N$634,'1_Cables_Completo'!$K$2:$K$634,"CPF2",'1_Cables_Completo'!$Q$2:$Q$634,"FO / ETHERNET")</f>
        <v/>
      </c>
      <c r="D19" s="216">
        <f>SUMIFS('1_Cables_Completo'!$O$2:$O$634,'1_Cables_Completo'!$K$2:$K$634,"CPF2",'1_Cables_Completo'!$Q$2:$Q$634,"FO / ETHERNET")</f>
        <v/>
      </c>
      <c r="E19" s="217">
        <f>SUMIFS('1_Cables_Completo'!$P$2:$P$634,'1_Cables_Completo'!$K$2:$K$634,"CPF2",'1_Cables_Completo'!$Q$2:$Q$634,"FO / ETHERNET")</f>
        <v/>
      </c>
      <c r="F19" s="218">
        <f>IF(=SUMIF('1_Cables_Completo'!$K$2:$K$634,"CPF2",'1_Cables_Completo'!$P$2:$P$634)&gt;0,=SUMIFS('1_Cables_Completo'!$P$2:$P$634,'1_Cables_Completo'!$K$2:$K$634,"CPF2",'1_Cables_Completo'!$Q$2:$Q$634,"FO / ETHERNET")/=SUMIF('1_Cables_Completo'!$K$2:$K$634,"CPF2",'1_Cables_Completo'!$P$2:$P$634),0)</f>
        <v/>
      </c>
      <c r="G19" s="219" t="inlineStr"/>
      <c r="H19" s="220" t="inlineStr">
        <is>
          <t>SUMIFS(P,K,"CPF2",Q,"FO / ETHERNET")</t>
        </is>
      </c>
      <c r="I19" s="219" t="inlineStr"/>
      <c r="J19" s="221" t="inlineStr">
        <is>
          <t>Conector SC/LC</t>
        </is>
      </c>
    </row>
    <row r="20" ht="18" customHeight="1">
      <c r="A20" s="222" t="inlineStr">
        <is>
          <t>OTROS/VERIFICAR</t>
        </is>
      </c>
      <c r="B20" s="223">
        <f>COUNTIFS('1_Cables_Completo'!$K$2:$K$634,"CPF2",'1_Cables_Completo'!$Q$2:$Q$634,"OTROS/VERIFICAR")</f>
        <v/>
      </c>
      <c r="C20" s="223">
        <f>SUMIFS('1_Cables_Completo'!$N$2:$N$634,'1_Cables_Completo'!$K$2:$K$634,"CPF2",'1_Cables_Completo'!$Q$2:$Q$634,"OTROS/VERIFICAR")</f>
        <v/>
      </c>
      <c r="D20" s="223">
        <f>SUMIFS('1_Cables_Completo'!$O$2:$O$634,'1_Cables_Completo'!$K$2:$K$634,"CPF2",'1_Cables_Completo'!$Q$2:$Q$634,"OTROS/VERIFICAR")</f>
        <v/>
      </c>
      <c r="E20" s="224">
        <f>SUMIFS('1_Cables_Completo'!$P$2:$P$634,'1_Cables_Completo'!$K$2:$K$634,"CPF2",'1_Cables_Completo'!$Q$2:$Q$634,"OTROS/VERIFICAR")</f>
        <v/>
      </c>
      <c r="F20" s="225">
        <f>IF(=SUMIF('1_Cables_Completo'!$K$2:$K$634,"CPF2",'1_Cables_Completo'!$P$2:$P$634)&gt;0,=SUMIFS('1_Cables_Completo'!$P$2:$P$634,'1_Cables_Completo'!$K$2:$K$634,"CPF2",'1_Cables_Completo'!$Q$2:$Q$634,"OTROS/VERIFICAR")/=SUMIF('1_Cables_Completo'!$K$2:$K$634,"CPF2",'1_Cables_Completo'!$P$2:$P$634),0)</f>
        <v/>
      </c>
      <c r="G20" s="226" t="inlineStr"/>
      <c r="H20" s="227" t="inlineStr">
        <is>
          <t>SUMIFS(P,K,"CPF2",Q,"OTROS/VERIFICAR")</t>
        </is>
      </c>
      <c r="I20" s="226" t="inlineStr"/>
      <c r="J20" s="228" t="inlineStr"/>
    </row>
    <row r="21" ht="18" customHeight="1">
      <c r="A21" s="229" t="inlineStr">
        <is>
          <t>TOTAL (debe = Gran Total sección A)</t>
        </is>
      </c>
      <c r="B21" s="230">
        <f>COUNTIF('1_Cables_Completo'!$K$2:$K$634,"CPF2")</f>
        <v/>
      </c>
      <c r="C21" s="230">
        <f>SUMIF('1_Cables_Completo'!$K$2:$K$634,"CPF2",'1_Cables_Completo'!$N$2:$N$634)</f>
        <v/>
      </c>
      <c r="D21" s="230">
        <f>SUMIF('1_Cables_Completo'!$K$2:$K$634,"CPF2",'1_Cables_Completo'!$O$2:$O$634)</f>
        <v/>
      </c>
      <c r="E21" s="162">
        <f>SUMIF('1_Cables_Completo'!$K$2:$K$634,"CPF2",'1_Cables_Completo'!$P$2:$P$634)</f>
        <v/>
      </c>
      <c r="F21" s="231">
        <f>IF(=SUMIF('1_Cables_Completo'!$K$2:$K$634,"CPF2",'1_Cables_Completo'!$P$2:$P$634)==SUMIF('1_Cables_Completo'!$K$2:$K$634,"CPF2",'1_Cables_Completo'!$P$2:$P$634),"✓ CIERRA","✗ REVISAR")</f>
        <v/>
      </c>
      <c r="G21" s="232" t="inlineStr"/>
      <c r="H21" s="232" t="inlineStr"/>
      <c r="I21" s="232" t="inlineStr"/>
      <c r="J21" s="232" t="inlineStr"/>
    </row>
    <row r="23" ht="20" customHeight="1">
      <c r="A23" s="233" t="inlineStr">
        <is>
          <t xml:space="preserve">  C. PUNTAS POR TIPO DE CARGA / DESTINO — SUMIFS(P, K="CPF2", R=carga)</t>
        </is>
      </c>
      <c r="B23" s="307" t="n"/>
      <c r="C23" s="307" t="n"/>
      <c r="D23" s="307" t="n"/>
      <c r="E23" s="307" t="n"/>
      <c r="F23" s="307" t="n"/>
      <c r="G23" s="307" t="n"/>
      <c r="H23" s="307" t="n"/>
      <c r="I23" s="307" t="n"/>
      <c r="J23" s="308" t="n"/>
    </row>
    <row r="24" ht="30" customHeight="1">
      <c r="A24" s="234" t="inlineStr">
        <is>
          <t>Tipo de Carga / Equipo Destino</t>
        </is>
      </c>
      <c r="B24" s="234" t="inlineStr">
        <is>
          <t>Cables</t>
        </is>
      </c>
      <c r="C24" s="234" t="inlineStr">
        <is>
          <t>Puntas
Conductores</t>
        </is>
      </c>
      <c r="D24" s="234" t="inlineStr">
        <is>
          <t>Puntas
Armadura</t>
        </is>
      </c>
      <c r="E24" s="234" t="inlineStr">
        <is>
          <t>TOTAL
PUNTAS</t>
        </is>
      </c>
      <c r="F24" s="234" t="inlineStr">
        <is>
          <t>% del
total</t>
        </is>
      </c>
      <c r="G24" s="234" t="inlineStr"/>
      <c r="H24" s="234" t="inlineStr">
        <is>
          <t>Fórmula TOTAL_PTAS</t>
        </is>
      </c>
      <c r="I24" s="234" t="inlineStr"/>
      <c r="J24" s="234" t="inlineStr">
        <is>
          <t>Nota</t>
        </is>
      </c>
    </row>
    <row r="25" ht="18" customHeight="1">
      <c r="A25" s="235" t="inlineStr">
        <is>
          <t>MOTOR/ACCIONAMIENTO</t>
        </is>
      </c>
      <c r="B25" s="236">
        <f>COUNTIFS('1_Cables_Completo'!$K$2:$K$634,"CPF2",'1_Cables_Completo'!$R$2:$R$634,"MOTOR/ACCIONAMIENTO")</f>
        <v/>
      </c>
      <c r="C25" s="236">
        <f>SUMIFS('1_Cables_Completo'!$N$2:$N$634,'1_Cables_Completo'!$K$2:$K$634,"CPF2",'1_Cables_Completo'!$R$2:$R$634,"MOTOR/ACCIONAMIENTO")</f>
        <v/>
      </c>
      <c r="D25" s="236">
        <f>SUMIFS('1_Cables_Completo'!$O$2:$O$634,'1_Cables_Completo'!$K$2:$K$634,"CPF2",'1_Cables_Completo'!$R$2:$R$634,"MOTOR/ACCIONAMIENTO")</f>
        <v/>
      </c>
      <c r="E25" s="237">
        <f>SUMIFS('1_Cables_Completo'!$P$2:$P$634,'1_Cables_Completo'!$K$2:$K$634,"CPF2",'1_Cables_Completo'!$R$2:$R$634,"MOTOR/ACCIONAMIENTO")</f>
        <v/>
      </c>
      <c r="F25" s="238">
        <f>IF(=SUMIF('1_Cables_Completo'!$K$2:$K$634,"CPF2",'1_Cables_Completo'!$P$2:$P$634)&gt;0,=SUMIFS('1_Cables_Completo'!$P$2:$P$634,'1_Cables_Completo'!$K$2:$K$634,"CPF2",'1_Cables_Completo'!$R$2:$R$634,"MOTOR/ACCIONAMIENTO")/=SUMIF('1_Cables_Completo'!$K$2:$K$634,"CPF2",'1_Cables_Completo'!$P$2:$P$634),0)</f>
        <v/>
      </c>
      <c r="G25" s="239" t="inlineStr"/>
      <c r="H25" s="240" t="inlineStr">
        <is>
          <t>SUMIFS(P,K,"CPF2",R,"MOTOR/ACCIONAMIENTO")</t>
        </is>
      </c>
      <c r="I25" s="239" t="inlineStr"/>
      <c r="J25" s="241" t="inlineStr">
        <is>
          <t>Terminales en caja JB del motor / borne motor</t>
        </is>
      </c>
    </row>
    <row r="26" ht="18" customHeight="1">
      <c r="A26" s="242" t="inlineStr">
        <is>
          <t>VFD/VARIADOR</t>
        </is>
      </c>
      <c r="B26" s="243">
        <f>COUNTIFS('1_Cables_Completo'!$K$2:$K$634,"CPF2",'1_Cables_Completo'!$R$2:$R$634,"VFD/VARIADOR")</f>
        <v/>
      </c>
      <c r="C26" s="243">
        <f>SUMIFS('1_Cables_Completo'!$N$2:$N$634,'1_Cables_Completo'!$K$2:$K$634,"CPF2",'1_Cables_Completo'!$R$2:$R$634,"VFD/VARIADOR")</f>
        <v/>
      </c>
      <c r="D26" s="243">
        <f>SUMIFS('1_Cables_Completo'!$O$2:$O$634,'1_Cables_Completo'!$K$2:$K$634,"CPF2",'1_Cables_Completo'!$R$2:$R$634,"VFD/VARIADOR")</f>
        <v/>
      </c>
      <c r="E26" s="244">
        <f>SUMIFS('1_Cables_Completo'!$P$2:$P$634,'1_Cables_Completo'!$K$2:$K$634,"CPF2",'1_Cables_Completo'!$R$2:$R$634,"VFD/VARIADOR")</f>
        <v/>
      </c>
      <c r="F26" s="245">
        <f>IF(=SUMIF('1_Cables_Completo'!$K$2:$K$634,"CPF2",'1_Cables_Completo'!$P$2:$P$634)&gt;0,=SUMIFS('1_Cables_Completo'!$P$2:$P$634,'1_Cables_Completo'!$K$2:$K$634,"CPF2",'1_Cables_Completo'!$R$2:$R$634,"VFD/VARIADOR")/=SUMIF('1_Cables_Completo'!$K$2:$K$634,"CPF2",'1_Cables_Completo'!$P$2:$P$634),0)</f>
        <v/>
      </c>
      <c r="G26" s="246" t="inlineStr"/>
      <c r="H26" s="247" t="inlineStr">
        <is>
          <t>SUMIFS(P,K,"CPF2",R,"VFD/VARIADOR")</t>
        </is>
      </c>
      <c r="I26" s="246" t="inlineStr"/>
      <c r="J26" s="248" t="inlineStr">
        <is>
          <t>Terminales en regleta de campo del VFD</t>
        </is>
      </c>
    </row>
    <row r="27" ht="18" customHeight="1">
      <c r="A27" s="173" t="inlineStr">
        <is>
          <t>TABLERO/CCM</t>
        </is>
      </c>
      <c r="B27" s="174">
        <f>COUNTIFS('1_Cables_Completo'!$K$2:$K$634,"CPF2",'1_Cables_Completo'!$R$2:$R$634,"TABLERO/CCM")</f>
        <v/>
      </c>
      <c r="C27" s="174">
        <f>SUMIFS('1_Cables_Completo'!$N$2:$N$634,'1_Cables_Completo'!$K$2:$K$634,"CPF2",'1_Cables_Completo'!$R$2:$R$634,"TABLERO/CCM")</f>
        <v/>
      </c>
      <c r="D27" s="174">
        <f>SUMIFS('1_Cables_Completo'!$O$2:$O$634,'1_Cables_Completo'!$K$2:$K$634,"CPF2",'1_Cables_Completo'!$R$2:$R$634,"TABLERO/CCM")</f>
        <v/>
      </c>
      <c r="E27" s="175">
        <f>SUMIFS('1_Cables_Completo'!$P$2:$P$634,'1_Cables_Completo'!$K$2:$K$634,"CPF2",'1_Cables_Completo'!$R$2:$R$634,"TABLERO/CCM")</f>
        <v/>
      </c>
      <c r="F27" s="176">
        <f>IF(=SUMIF('1_Cables_Completo'!$K$2:$K$634,"CPF2",'1_Cables_Completo'!$P$2:$P$634)&gt;0,=SUMIFS('1_Cables_Completo'!$P$2:$P$634,'1_Cables_Completo'!$K$2:$K$634,"CPF2",'1_Cables_Completo'!$R$2:$R$634,"TABLERO/CCM")/=SUMIF('1_Cables_Completo'!$K$2:$K$634,"CPF2",'1_Cables_Completo'!$P$2:$P$634),0)</f>
        <v/>
      </c>
      <c r="G27" s="177" t="inlineStr"/>
      <c r="H27" s="178" t="inlineStr">
        <is>
          <t>SUMIFS(P,K,"CPF2",R,"TABLERO/CCM")</t>
        </is>
      </c>
      <c r="I27" s="177" t="inlineStr"/>
      <c r="J27" s="179" t="inlineStr">
        <is>
          <t>Borneras en frente del tablero destino</t>
        </is>
      </c>
    </row>
    <row r="28" ht="18" customHeight="1">
      <c r="A28" s="249" t="inlineStr">
        <is>
          <t>UPS/RECTIF/SSAA</t>
        </is>
      </c>
      <c r="B28" s="250">
        <f>COUNTIFS('1_Cables_Completo'!$K$2:$K$634,"CPF2",'1_Cables_Completo'!$R$2:$R$634,"UPS/RECTIF/SSAA")</f>
        <v/>
      </c>
      <c r="C28" s="250">
        <f>SUMIFS('1_Cables_Completo'!$N$2:$N$634,'1_Cables_Completo'!$K$2:$K$634,"CPF2",'1_Cables_Completo'!$R$2:$R$634,"UPS/RECTIF/SSAA")</f>
        <v/>
      </c>
      <c r="D28" s="250">
        <f>SUMIFS('1_Cables_Completo'!$O$2:$O$634,'1_Cables_Completo'!$K$2:$K$634,"CPF2",'1_Cables_Completo'!$R$2:$R$634,"UPS/RECTIF/SSAA")</f>
        <v/>
      </c>
      <c r="E28" s="251">
        <f>SUMIFS('1_Cables_Completo'!$P$2:$P$634,'1_Cables_Completo'!$K$2:$K$634,"CPF2",'1_Cables_Completo'!$R$2:$R$634,"UPS/RECTIF/SSAA")</f>
        <v/>
      </c>
      <c r="F28" s="252">
        <f>IF(=SUMIF('1_Cables_Completo'!$K$2:$K$634,"CPF2",'1_Cables_Completo'!$P$2:$P$634)&gt;0,=SUMIFS('1_Cables_Completo'!$P$2:$P$634,'1_Cables_Completo'!$K$2:$K$634,"CPF2",'1_Cables_Completo'!$R$2:$R$634,"UPS/RECTIF/SSAA")/=SUMIF('1_Cables_Completo'!$K$2:$K$634,"CPF2",'1_Cables_Completo'!$P$2:$P$634),0)</f>
        <v/>
      </c>
      <c r="G28" s="253" t="inlineStr"/>
      <c r="H28" s="254" t="inlineStr">
        <is>
          <t>SUMIFS(P,K,"CPF2",R,"UPS/RECTIF/SSAA")</t>
        </is>
      </c>
      <c r="I28" s="253" t="inlineStr"/>
      <c r="J28" s="255" t="inlineStr">
        <is>
          <t>Borneras panel UPS/VCC/ATS</t>
        </is>
      </c>
    </row>
    <row r="29" ht="18" customHeight="1">
      <c r="A29" s="256" t="inlineStr">
        <is>
          <t>ILUMINACION</t>
        </is>
      </c>
      <c r="B29" s="257">
        <f>COUNTIFS('1_Cables_Completo'!$K$2:$K$634,"CPF2",'1_Cables_Completo'!$R$2:$R$634,"ILUMINACION")</f>
        <v/>
      </c>
      <c r="C29" s="257">
        <f>SUMIFS('1_Cables_Completo'!$N$2:$N$634,'1_Cables_Completo'!$K$2:$K$634,"CPF2",'1_Cables_Completo'!$R$2:$R$634,"ILUMINACION")</f>
        <v/>
      </c>
      <c r="D29" s="257">
        <f>SUMIFS('1_Cables_Completo'!$O$2:$O$634,'1_Cables_Completo'!$K$2:$K$634,"CPF2",'1_Cables_Completo'!$R$2:$R$634,"ILUMINACION")</f>
        <v/>
      </c>
      <c r="E29" s="258">
        <f>SUMIFS('1_Cables_Completo'!$P$2:$P$634,'1_Cables_Completo'!$K$2:$K$634,"CPF2",'1_Cables_Completo'!$R$2:$R$634,"ILUMINACION")</f>
        <v/>
      </c>
      <c r="F29" s="259">
        <f>IF(=SUMIF('1_Cables_Completo'!$K$2:$K$634,"CPF2",'1_Cables_Completo'!$P$2:$P$634)&gt;0,=SUMIFS('1_Cables_Completo'!$P$2:$P$634,'1_Cables_Completo'!$K$2:$K$634,"CPF2",'1_Cables_Completo'!$R$2:$R$634,"ILUMINACION")/=SUMIF('1_Cables_Completo'!$K$2:$K$634,"CPF2",'1_Cables_Completo'!$P$2:$P$634),0)</f>
        <v/>
      </c>
      <c r="G29" s="260" t="inlineStr"/>
      <c r="H29" s="261" t="inlineStr">
        <is>
          <t>SUMIFS(P,K,"CPF2",R,"ILUMINACION")</t>
        </is>
      </c>
      <c r="I29" s="260" t="inlineStr"/>
      <c r="J29" s="262" t="inlineStr">
        <is>
          <t>Regleta en caja de conexión luminaria</t>
        </is>
      </c>
    </row>
    <row r="30" ht="18" customHeight="1">
      <c r="A30" s="263" t="inlineStr">
        <is>
          <t>CALEFACCION/TRAZADO</t>
        </is>
      </c>
      <c r="B30" s="264">
        <f>COUNTIFS('1_Cables_Completo'!$K$2:$K$634,"CPF2",'1_Cables_Completo'!$R$2:$R$634,"CALEFACCION/TRAZADO")</f>
        <v/>
      </c>
      <c r="C30" s="264">
        <f>SUMIFS('1_Cables_Completo'!$N$2:$N$634,'1_Cables_Completo'!$K$2:$K$634,"CPF2",'1_Cables_Completo'!$R$2:$R$634,"CALEFACCION/TRAZADO")</f>
        <v/>
      </c>
      <c r="D30" s="264">
        <f>SUMIFS('1_Cables_Completo'!$O$2:$O$634,'1_Cables_Completo'!$K$2:$K$634,"CPF2",'1_Cables_Completo'!$R$2:$R$634,"CALEFACCION/TRAZADO")</f>
        <v/>
      </c>
      <c r="E30" s="265">
        <f>SUMIFS('1_Cables_Completo'!$P$2:$P$634,'1_Cables_Completo'!$K$2:$K$634,"CPF2",'1_Cables_Completo'!$R$2:$R$634,"CALEFACCION/TRAZADO")</f>
        <v/>
      </c>
      <c r="F30" s="266">
        <f>IF(=SUMIF('1_Cables_Completo'!$K$2:$K$634,"CPF2",'1_Cables_Completo'!$P$2:$P$634)&gt;0,=SUMIFS('1_Cables_Completo'!$P$2:$P$634,'1_Cables_Completo'!$K$2:$K$634,"CPF2",'1_Cables_Completo'!$R$2:$R$634,"CALEFACCION/TRAZADO")/=SUMIF('1_Cables_Completo'!$K$2:$K$634,"CPF2",'1_Cables_Completo'!$P$2:$P$634),0)</f>
        <v/>
      </c>
      <c r="G30" s="267" t="inlineStr"/>
      <c r="H30" s="268" t="inlineStr">
        <is>
          <t>SUMIFS(P,K,"CPF2",R,"CALEFACCION/TRAZADO")</t>
        </is>
      </c>
      <c r="I30" s="267" t="inlineStr"/>
      <c r="J30" s="269" t="inlineStr">
        <is>
          <t>Borne heater / junction box trazado</t>
        </is>
      </c>
    </row>
    <row r="31" ht="18" customHeight="1">
      <c r="A31" s="270" t="inlineStr">
        <is>
          <t>TOMACORRIENTE</t>
        </is>
      </c>
      <c r="B31" s="271">
        <f>COUNTIFS('1_Cables_Completo'!$K$2:$K$634,"CPF2",'1_Cables_Completo'!$R$2:$R$634,"TOMACORRIENTE")</f>
        <v/>
      </c>
      <c r="C31" s="271">
        <f>SUMIFS('1_Cables_Completo'!$N$2:$N$634,'1_Cables_Completo'!$K$2:$K$634,"CPF2",'1_Cables_Completo'!$R$2:$R$634,"TOMACORRIENTE")</f>
        <v/>
      </c>
      <c r="D31" s="271">
        <f>SUMIFS('1_Cables_Completo'!$O$2:$O$634,'1_Cables_Completo'!$K$2:$K$634,"CPF2",'1_Cables_Completo'!$R$2:$R$634,"TOMACORRIENTE")</f>
        <v/>
      </c>
      <c r="E31" s="272">
        <f>SUMIFS('1_Cables_Completo'!$P$2:$P$634,'1_Cables_Completo'!$K$2:$K$634,"CPF2",'1_Cables_Completo'!$R$2:$R$634,"TOMACORRIENTE")</f>
        <v/>
      </c>
      <c r="F31" s="273">
        <f>IF(=SUMIF('1_Cables_Completo'!$K$2:$K$634,"CPF2",'1_Cables_Completo'!$P$2:$P$634)&gt;0,=SUMIFS('1_Cables_Completo'!$P$2:$P$634,'1_Cables_Completo'!$K$2:$K$634,"CPF2",'1_Cables_Completo'!$R$2:$R$634,"TOMACORRIENTE")/=SUMIF('1_Cables_Completo'!$K$2:$K$634,"CPF2",'1_Cables_Completo'!$P$2:$P$634),0)</f>
        <v/>
      </c>
      <c r="G31" s="274" t="inlineStr"/>
      <c r="H31" s="275" t="inlineStr">
        <is>
          <t>SUMIFS(P,K,"CPF2",R,"TOMACORRIENTE")</t>
        </is>
      </c>
      <c r="I31" s="274" t="inlineStr"/>
      <c r="J31" s="276" t="inlineStr">
        <is>
          <t>Borne regleta tomacorriente</t>
        </is>
      </c>
    </row>
    <row r="32" ht="18" customHeight="1">
      <c r="A32" s="208" t="inlineStr">
        <is>
          <t>INSTRUMENTO/SENSOR</t>
        </is>
      </c>
      <c r="B32" s="209">
        <f>COUNTIFS('1_Cables_Completo'!$K$2:$K$634,"CPF2",'1_Cables_Completo'!$R$2:$R$634,"INSTRUMENTO/SENSOR")</f>
        <v/>
      </c>
      <c r="C32" s="209">
        <f>SUMIFS('1_Cables_Completo'!$N$2:$N$634,'1_Cables_Completo'!$K$2:$K$634,"CPF2",'1_Cables_Completo'!$R$2:$R$634,"INSTRUMENTO/SENSOR")</f>
        <v/>
      </c>
      <c r="D32" s="209">
        <f>SUMIFS('1_Cables_Completo'!$O$2:$O$634,'1_Cables_Completo'!$K$2:$K$634,"CPF2",'1_Cables_Completo'!$R$2:$R$634,"INSTRUMENTO/SENSOR")</f>
        <v/>
      </c>
      <c r="E32" s="210">
        <f>SUMIFS('1_Cables_Completo'!$P$2:$P$634,'1_Cables_Completo'!$K$2:$K$634,"CPF2",'1_Cables_Completo'!$R$2:$R$634,"INSTRUMENTO/SENSOR")</f>
        <v/>
      </c>
      <c r="F32" s="211">
        <f>IF(=SUMIF('1_Cables_Completo'!$K$2:$K$634,"CPF2",'1_Cables_Completo'!$P$2:$P$634)&gt;0,=SUMIFS('1_Cables_Completo'!$P$2:$P$634,'1_Cables_Completo'!$K$2:$K$634,"CPF2",'1_Cables_Completo'!$R$2:$R$634,"INSTRUMENTO/SENSOR")/=SUMIF('1_Cables_Completo'!$K$2:$K$634,"CPF2",'1_Cables_Completo'!$P$2:$P$634),0)</f>
        <v/>
      </c>
      <c r="G32" s="212" t="inlineStr"/>
      <c r="H32" s="213" t="inlineStr">
        <is>
          <t>SUMIFS(P,K,"CPF2",R,"INSTRUMENTO/SENSOR")</t>
        </is>
      </c>
      <c r="I32" s="212" t="inlineStr"/>
      <c r="J32" s="214" t="inlineStr">
        <is>
          <t>Borneras Head / JB instrumento</t>
        </is>
      </c>
    </row>
    <row r="33" ht="18" customHeight="1">
      <c r="A33" s="215" t="inlineStr">
        <is>
          <t>SEÑAL/FO</t>
        </is>
      </c>
      <c r="B33" s="216">
        <f>COUNTIFS('1_Cables_Completo'!$K$2:$K$634,"CPF2",'1_Cables_Completo'!$R$2:$R$634,"SEÑAL/FO")</f>
        <v/>
      </c>
      <c r="C33" s="216">
        <f>SUMIFS('1_Cables_Completo'!$N$2:$N$634,'1_Cables_Completo'!$K$2:$K$634,"CPF2",'1_Cables_Completo'!$R$2:$R$634,"SEÑAL/FO")</f>
        <v/>
      </c>
      <c r="D33" s="216">
        <f>SUMIFS('1_Cables_Completo'!$O$2:$O$634,'1_Cables_Completo'!$K$2:$K$634,"CPF2",'1_Cables_Completo'!$R$2:$R$634,"SEÑAL/FO")</f>
        <v/>
      </c>
      <c r="E33" s="217">
        <f>SUMIFS('1_Cables_Completo'!$P$2:$P$634,'1_Cables_Completo'!$K$2:$K$634,"CPF2",'1_Cables_Completo'!$R$2:$R$634,"SEÑAL/FO")</f>
        <v/>
      </c>
      <c r="F33" s="218">
        <f>IF(=SUMIF('1_Cables_Completo'!$K$2:$K$634,"CPF2",'1_Cables_Completo'!$P$2:$P$634)&gt;0,=SUMIFS('1_Cables_Completo'!$P$2:$P$634,'1_Cables_Completo'!$K$2:$K$634,"CPF2",'1_Cables_Completo'!$R$2:$R$634,"SEÑAL/FO")/=SUMIF('1_Cables_Completo'!$K$2:$K$634,"CPF2",'1_Cables_Completo'!$P$2:$P$634),0)</f>
        <v/>
      </c>
      <c r="G33" s="219" t="inlineStr"/>
      <c r="H33" s="220" t="inlineStr">
        <is>
          <t>SUMIFS(P,K,"CPF2",R,"SEÑAL/FO")</t>
        </is>
      </c>
      <c r="I33" s="219" t="inlineStr"/>
      <c r="J33" s="221" t="inlineStr">
        <is>
          <t>Conector SC/LC fibra ó bornera señal</t>
        </is>
      </c>
    </row>
    <row r="34" ht="18" customHeight="1">
      <c r="A34" s="166" t="inlineStr">
        <is>
          <t>CONTROL</t>
        </is>
      </c>
      <c r="B34" s="167">
        <f>COUNTIFS('1_Cables_Completo'!$K$2:$K$634,"CPF2",'1_Cables_Completo'!$R$2:$R$634,"CONTROL")</f>
        <v/>
      </c>
      <c r="C34" s="167">
        <f>SUMIFS('1_Cables_Completo'!$N$2:$N$634,'1_Cables_Completo'!$K$2:$K$634,"CPF2",'1_Cables_Completo'!$R$2:$R$634,"CONTROL")</f>
        <v/>
      </c>
      <c r="D34" s="167">
        <f>SUMIFS('1_Cables_Completo'!$O$2:$O$634,'1_Cables_Completo'!$K$2:$K$634,"CPF2",'1_Cables_Completo'!$R$2:$R$634,"CONTROL")</f>
        <v/>
      </c>
      <c r="E34" s="168">
        <f>SUMIFS('1_Cables_Completo'!$P$2:$P$634,'1_Cables_Completo'!$K$2:$K$634,"CPF2",'1_Cables_Completo'!$R$2:$R$634,"CONTROL")</f>
        <v/>
      </c>
      <c r="F34" s="169">
        <f>IF(=SUMIF('1_Cables_Completo'!$K$2:$K$634,"CPF2",'1_Cables_Completo'!$P$2:$P$634)&gt;0,=SUMIFS('1_Cables_Completo'!$P$2:$P$634,'1_Cables_Completo'!$K$2:$K$634,"CPF2",'1_Cables_Completo'!$R$2:$R$634,"CONTROL")/=SUMIF('1_Cables_Completo'!$K$2:$K$634,"CPF2",'1_Cables_Completo'!$P$2:$P$634),0)</f>
        <v/>
      </c>
      <c r="G34" s="170" t="inlineStr"/>
      <c r="H34" s="171" t="inlineStr">
        <is>
          <t>SUMIFS(P,K,"CPF2",R,"CONTROL")</t>
        </is>
      </c>
      <c r="I34" s="170" t="inlineStr"/>
      <c r="J34" s="172" t="inlineStr">
        <is>
          <t>Borneras gabinete control</t>
        </is>
      </c>
    </row>
    <row r="35" ht="18" customHeight="1">
      <c r="A35" s="222" t="inlineStr">
        <is>
          <t>OTROS/VERIFICAR</t>
        </is>
      </c>
      <c r="B35" s="223">
        <f>COUNTIFS('1_Cables_Completo'!$K$2:$K$634,"CPF2",'1_Cables_Completo'!$R$2:$R$634,"OTROS/VERIFICAR")</f>
        <v/>
      </c>
      <c r="C35" s="223">
        <f>SUMIFS('1_Cables_Completo'!$N$2:$N$634,'1_Cables_Completo'!$K$2:$K$634,"CPF2",'1_Cables_Completo'!$R$2:$R$634,"OTROS/VERIFICAR")</f>
        <v/>
      </c>
      <c r="D35" s="223">
        <f>SUMIFS('1_Cables_Completo'!$O$2:$O$634,'1_Cables_Completo'!$K$2:$K$634,"CPF2",'1_Cables_Completo'!$R$2:$R$634,"OTROS/VERIFICAR")</f>
        <v/>
      </c>
      <c r="E35" s="224">
        <f>SUMIFS('1_Cables_Completo'!$P$2:$P$634,'1_Cables_Completo'!$K$2:$K$634,"CPF2",'1_Cables_Completo'!$R$2:$R$634,"OTROS/VERIFICAR")</f>
        <v/>
      </c>
      <c r="F35" s="225">
        <f>IF(=SUMIF('1_Cables_Completo'!$K$2:$K$634,"CPF2",'1_Cables_Completo'!$P$2:$P$634)&gt;0,=SUMIFS('1_Cables_Completo'!$P$2:$P$634,'1_Cables_Completo'!$K$2:$K$634,"CPF2",'1_Cables_Completo'!$R$2:$R$634,"OTROS/VERIFICAR")/=SUMIF('1_Cables_Completo'!$K$2:$K$634,"CPF2",'1_Cables_Completo'!$P$2:$P$634),0)</f>
        <v/>
      </c>
      <c r="G35" s="226" t="inlineStr"/>
      <c r="H35" s="227" t="inlineStr">
        <is>
          <t>SUMIFS(P,K,"CPF2",R,"OTROS/VERIFICAR")</t>
        </is>
      </c>
      <c r="I35" s="226" t="inlineStr"/>
      <c r="J35" s="228" t="inlineStr">
        <is>
          <t>Sin clasificar — revisar lista cables</t>
        </is>
      </c>
    </row>
    <row r="36" ht="18" customHeight="1">
      <c r="A36" s="229" t="inlineStr">
        <is>
          <t>TOTAL (debe = Gran Total sección A)</t>
        </is>
      </c>
      <c r="B36" s="230">
        <f>COUNTIF('1_Cables_Completo'!$K$2:$K$634,"CPF2")</f>
        <v/>
      </c>
      <c r="C36" s="230">
        <f>SUMIF('1_Cables_Completo'!$K$2:$K$634,"CPF2",'1_Cables_Completo'!$N$2:$N$634)</f>
        <v/>
      </c>
      <c r="D36" s="230">
        <f>SUMIF('1_Cables_Completo'!$K$2:$K$634,"CPF2",'1_Cables_Completo'!$O$2:$O$634)</f>
        <v/>
      </c>
      <c r="E36" s="162">
        <f>SUMIF('1_Cables_Completo'!$K$2:$K$634,"CPF2",'1_Cables_Completo'!$P$2:$P$634)</f>
        <v/>
      </c>
      <c r="F36" s="231">
        <f>IF(=SUMIF('1_Cables_Completo'!$K$2:$K$634,"CPF2",'1_Cables_Completo'!$P$2:$P$634)==SUMIF('1_Cables_Completo'!$K$2:$K$634,"CPF2",'1_Cables_Completo'!$P$2:$P$634),"✓ CIERRA","✗ REVISAR")</f>
        <v/>
      </c>
      <c r="G36" s="232" t="inlineStr"/>
      <c r="H36" s="232" t="inlineStr"/>
      <c r="I36" s="232" t="inlineStr"/>
      <c r="J36" s="232" t="inlineStr"/>
    </row>
    <row r="38" ht="20" customHeight="1">
      <c r="A38" s="277" t="inlineStr">
        <is>
          <t xml:space="preserve">  D. COMPARATIVO CPF-1 vs CPF-2 (CPF-1 = scope EPC externo, referencia solamente)</t>
        </is>
      </c>
      <c r="B38" s="307" t="n"/>
      <c r="C38" s="307" t="n"/>
      <c r="D38" s="307" t="n"/>
      <c r="E38" s="307" t="n"/>
      <c r="F38" s="307" t="n"/>
      <c r="G38" s="307" t="n"/>
      <c r="H38" s="307" t="n"/>
      <c r="I38" s="307" t="n"/>
      <c r="J38" s="308" t="n"/>
    </row>
    <row r="39" ht="30" customHeight="1">
      <c r="A39" s="278" t="inlineStr">
        <is>
          <t>CPF</t>
        </is>
      </c>
      <c r="B39" s="278" t="inlineStr">
        <is>
          <t>Tipo Cable</t>
        </is>
      </c>
      <c r="C39" s="278" t="inlineStr">
        <is>
          <t>Cables</t>
        </is>
      </c>
      <c r="D39" s="278" t="inlineStr">
        <is>
          <t>Puntas
Conductores</t>
        </is>
      </c>
      <c r="E39" s="278" t="inlineStr">
        <is>
          <t>Puntas
Armadura</t>
        </is>
      </c>
      <c r="F39" s="278" t="inlineStr">
        <is>
          <t>TOTAL
PUNTAS</t>
        </is>
      </c>
      <c r="G39" s="278" t="inlineStr"/>
      <c r="H39" s="278" t="inlineStr">
        <is>
          <t>Fórmula</t>
        </is>
      </c>
      <c r="I39" s="278" t="inlineStr"/>
      <c r="J39" s="278" t="inlineStr"/>
    </row>
    <row r="40" ht="15" customHeight="1">
      <c r="A40" s="279" t="inlineStr">
        <is>
          <t>CPF2</t>
        </is>
      </c>
      <c r="B40" s="280" t="inlineStr">
        <is>
          <t>POTENCIA MT (&gt;1kV)</t>
        </is>
      </c>
      <c r="C40" s="281">
        <f>COUNTIFS('1_Cables_Completo'!$K$2:$K$634,"CPF2",'1_Cables_Completo'!$Q$2:$Q$634,"POTENCIA MT (&gt;1kV)")</f>
        <v/>
      </c>
      <c r="D40" s="281">
        <f>SUMIFS('1_Cables_Completo'!$N$2:$N$634,'1_Cables_Completo'!$K$2:$K$634,"CPF2",'1_Cables_Completo'!$Q$2:$Q$634,"POTENCIA MT (&gt;1kV)")</f>
        <v/>
      </c>
      <c r="E40" s="281">
        <f>SUMIFS('1_Cables_Completo'!$O$2:$O$634,'1_Cables_Completo'!$K$2:$K$634,"CPF2",'1_Cables_Completo'!$Q$2:$Q$634,"POTENCIA MT (&gt;1kV)")</f>
        <v/>
      </c>
      <c r="F40" s="168">
        <f>SUMIFS('1_Cables_Completo'!$P$2:$P$634,'1_Cables_Completo'!$K$2:$K$634,"CPF2",'1_Cables_Completo'!$Q$2:$Q$634,"POTENCIA MT (&gt;1kV)")</f>
        <v/>
      </c>
      <c r="G40" s="170" t="inlineStr"/>
      <c r="H40" s="170" t="inlineStr"/>
      <c r="I40" s="170" t="inlineStr"/>
      <c r="J40" s="170" t="inlineStr"/>
    </row>
    <row r="41" ht="15" customHeight="1">
      <c r="A41" s="279" t="inlineStr">
        <is>
          <t>CPF2</t>
        </is>
      </c>
      <c r="B41" s="282" t="inlineStr">
        <is>
          <t>POTENCIA BT GRANDE (≥95mm²)</t>
        </is>
      </c>
      <c r="C41" s="283">
        <f>COUNTIFS('1_Cables_Completo'!$K$2:$K$634,"CPF2",'1_Cables_Completo'!$Q$2:$Q$634,"POTENCIA BT GRANDE (≥95mm²)")</f>
        <v/>
      </c>
      <c r="D41" s="283">
        <f>SUMIFS('1_Cables_Completo'!$N$2:$N$634,'1_Cables_Completo'!$K$2:$K$634,"CPF2",'1_Cables_Completo'!$Q$2:$Q$634,"POTENCIA BT GRANDE (≥95mm²)")</f>
        <v/>
      </c>
      <c r="E41" s="283">
        <f>SUMIFS('1_Cables_Completo'!$O$2:$O$634,'1_Cables_Completo'!$K$2:$K$634,"CPF2",'1_Cables_Completo'!$Q$2:$Q$634,"POTENCIA BT GRANDE (≥95mm²)")</f>
        <v/>
      </c>
      <c r="F41" s="175">
        <f>SUMIFS('1_Cables_Completo'!$P$2:$P$634,'1_Cables_Completo'!$K$2:$K$634,"CPF2",'1_Cables_Completo'!$Q$2:$Q$634,"POTENCIA BT GRANDE (≥95mm²)")</f>
        <v/>
      </c>
      <c r="G41" s="177" t="inlineStr"/>
      <c r="H41" s="177" t="inlineStr"/>
      <c r="I41" s="177" t="inlineStr"/>
      <c r="J41" s="177" t="inlineStr"/>
    </row>
    <row r="42" ht="15" customHeight="1">
      <c r="A42" s="279" t="inlineStr">
        <is>
          <t>CPF2</t>
        </is>
      </c>
      <c r="B42" s="284" t="inlineStr">
        <is>
          <t>POTENCIA BT MEDIANA (35-70mm²)</t>
        </is>
      </c>
      <c r="C42" s="285">
        <f>COUNTIFS('1_Cables_Completo'!$K$2:$K$634,"CPF2",'1_Cables_Completo'!$Q$2:$Q$634,"POTENCIA BT MEDIANA (35-70mm²)")</f>
        <v/>
      </c>
      <c r="D42" s="285">
        <f>SUMIFS('1_Cables_Completo'!$N$2:$N$634,'1_Cables_Completo'!$K$2:$K$634,"CPF2",'1_Cables_Completo'!$Q$2:$Q$634,"POTENCIA BT MEDIANA (35-70mm²)")</f>
        <v/>
      </c>
      <c r="E42" s="285">
        <f>SUMIFS('1_Cables_Completo'!$O$2:$O$634,'1_Cables_Completo'!$K$2:$K$634,"CPF2",'1_Cables_Completo'!$Q$2:$Q$634,"POTENCIA BT MEDIANA (35-70mm²)")</f>
        <v/>
      </c>
      <c r="F42" s="182">
        <f>SUMIFS('1_Cables_Completo'!$P$2:$P$634,'1_Cables_Completo'!$K$2:$K$634,"CPF2",'1_Cables_Completo'!$Q$2:$Q$634,"POTENCIA BT MEDIANA (35-70mm²)")</f>
        <v/>
      </c>
      <c r="G42" s="184" t="inlineStr"/>
      <c r="H42" s="184" t="inlineStr"/>
      <c r="I42" s="184" t="inlineStr"/>
      <c r="J42" s="184" t="inlineStr"/>
    </row>
    <row r="43" ht="15" customHeight="1">
      <c r="A43" s="279" t="inlineStr">
        <is>
          <t>CPF2</t>
        </is>
      </c>
      <c r="B43" s="286" t="inlineStr">
        <is>
          <t>POTENCIA BT PEQUEÑA (10-25mm²)</t>
        </is>
      </c>
      <c r="C43" s="287">
        <f>COUNTIFS('1_Cables_Completo'!$K$2:$K$634,"CPF2",'1_Cables_Completo'!$Q$2:$Q$634,"POTENCIA BT PEQUEÑA (10-25mm²)")</f>
        <v/>
      </c>
      <c r="D43" s="287">
        <f>SUMIFS('1_Cables_Completo'!$N$2:$N$634,'1_Cables_Completo'!$K$2:$K$634,"CPF2",'1_Cables_Completo'!$Q$2:$Q$634,"POTENCIA BT PEQUEÑA (10-25mm²)")</f>
        <v/>
      </c>
      <c r="E43" s="287">
        <f>SUMIFS('1_Cables_Completo'!$O$2:$O$634,'1_Cables_Completo'!$K$2:$K$634,"CPF2",'1_Cables_Completo'!$Q$2:$Q$634,"POTENCIA BT PEQUEÑA (10-25mm²)")</f>
        <v/>
      </c>
      <c r="F43" s="189">
        <f>SUMIFS('1_Cables_Completo'!$P$2:$P$634,'1_Cables_Completo'!$K$2:$K$634,"CPF2",'1_Cables_Completo'!$Q$2:$Q$634,"POTENCIA BT PEQUEÑA (10-25mm²)")</f>
        <v/>
      </c>
      <c r="G43" s="191" t="inlineStr"/>
      <c r="H43" s="191" t="inlineStr"/>
      <c r="I43" s="191" t="inlineStr"/>
      <c r="J43" s="191" t="inlineStr"/>
    </row>
    <row r="44" ht="15" customHeight="1">
      <c r="A44" s="279" t="inlineStr">
        <is>
          <t>CPF2</t>
        </is>
      </c>
      <c r="B44" s="288" t="inlineStr">
        <is>
          <t>POTENCIA BT MUY PEQ (&lt;10mm²)</t>
        </is>
      </c>
      <c r="C44" s="289">
        <f>COUNTIFS('1_Cables_Completo'!$K$2:$K$634,"CPF2",'1_Cables_Completo'!$Q$2:$Q$634,"POTENCIA BT MUY PEQ (&lt;10mm²)")</f>
        <v/>
      </c>
      <c r="D44" s="289">
        <f>SUMIFS('1_Cables_Completo'!$N$2:$N$634,'1_Cables_Completo'!$K$2:$K$634,"CPF2",'1_Cables_Completo'!$Q$2:$Q$634,"POTENCIA BT MUY PEQ (&lt;10mm²)")</f>
        <v/>
      </c>
      <c r="E44" s="289">
        <f>SUMIFS('1_Cables_Completo'!$O$2:$O$634,'1_Cables_Completo'!$K$2:$K$634,"CPF2",'1_Cables_Completo'!$Q$2:$Q$634,"POTENCIA BT MUY PEQ (&lt;10mm²)")</f>
        <v/>
      </c>
      <c r="F44" s="196">
        <f>SUMIFS('1_Cables_Completo'!$P$2:$P$634,'1_Cables_Completo'!$K$2:$K$634,"CPF2",'1_Cables_Completo'!$Q$2:$Q$634,"POTENCIA BT MUY PEQ (&lt;10mm²)")</f>
        <v/>
      </c>
      <c r="G44" s="198" t="inlineStr"/>
      <c r="H44" s="198" t="inlineStr"/>
      <c r="I44" s="198" t="inlineStr"/>
      <c r="J44" s="198" t="inlineStr"/>
    </row>
    <row r="45" ht="15" customHeight="1">
      <c r="A45" s="279" t="inlineStr">
        <is>
          <t>CPF2</t>
        </is>
      </c>
      <c r="B45" s="290" t="inlineStr">
        <is>
          <t>CONTROL</t>
        </is>
      </c>
      <c r="C45" s="291">
        <f>COUNTIFS('1_Cables_Completo'!$K$2:$K$634,"CPF2",'1_Cables_Completo'!$Q$2:$Q$634,"CONTROL")</f>
        <v/>
      </c>
      <c r="D45" s="291">
        <f>SUMIFS('1_Cables_Completo'!$N$2:$N$634,'1_Cables_Completo'!$K$2:$K$634,"CPF2",'1_Cables_Completo'!$Q$2:$Q$634,"CONTROL")</f>
        <v/>
      </c>
      <c r="E45" s="291">
        <f>SUMIFS('1_Cables_Completo'!$O$2:$O$634,'1_Cables_Completo'!$K$2:$K$634,"CPF2",'1_Cables_Completo'!$Q$2:$Q$634,"CONTROL")</f>
        <v/>
      </c>
      <c r="F45" s="203">
        <f>SUMIFS('1_Cables_Completo'!$P$2:$P$634,'1_Cables_Completo'!$K$2:$K$634,"CPF2",'1_Cables_Completo'!$Q$2:$Q$634,"CONTROL")</f>
        <v/>
      </c>
      <c r="G45" s="205" t="inlineStr"/>
      <c r="H45" s="205" t="inlineStr"/>
      <c r="I45" s="205" t="inlineStr"/>
      <c r="J45" s="205" t="inlineStr"/>
    </row>
    <row r="46" ht="15" customHeight="1">
      <c r="A46" s="279" t="inlineStr">
        <is>
          <t>CPF2</t>
        </is>
      </c>
      <c r="B46" s="292" t="inlineStr">
        <is>
          <t>SEÑAL / INSTRUMENTO</t>
        </is>
      </c>
      <c r="C46" s="293">
        <f>COUNTIFS('1_Cables_Completo'!$K$2:$K$634,"CPF2",'1_Cables_Completo'!$Q$2:$Q$634,"SEÑAL / INSTRUMENTO")</f>
        <v/>
      </c>
      <c r="D46" s="293">
        <f>SUMIFS('1_Cables_Completo'!$N$2:$N$634,'1_Cables_Completo'!$K$2:$K$634,"CPF2",'1_Cables_Completo'!$Q$2:$Q$634,"SEÑAL / INSTRUMENTO")</f>
        <v/>
      </c>
      <c r="E46" s="293">
        <f>SUMIFS('1_Cables_Completo'!$O$2:$O$634,'1_Cables_Completo'!$K$2:$K$634,"CPF2",'1_Cables_Completo'!$Q$2:$Q$634,"SEÑAL / INSTRUMENTO")</f>
        <v/>
      </c>
      <c r="F46" s="210">
        <f>SUMIFS('1_Cables_Completo'!$P$2:$P$634,'1_Cables_Completo'!$K$2:$K$634,"CPF2",'1_Cables_Completo'!$Q$2:$Q$634,"SEÑAL / INSTRUMENTO")</f>
        <v/>
      </c>
      <c r="G46" s="212" t="inlineStr"/>
      <c r="H46" s="212" t="inlineStr"/>
      <c r="I46" s="212" t="inlineStr"/>
      <c r="J46" s="212" t="inlineStr"/>
    </row>
    <row r="47" ht="15" customHeight="1">
      <c r="A47" s="279" t="inlineStr">
        <is>
          <t>CPF2</t>
        </is>
      </c>
      <c r="B47" s="294" t="inlineStr">
        <is>
          <t>FO / ETHERNET</t>
        </is>
      </c>
      <c r="C47" s="295">
        <f>COUNTIFS('1_Cables_Completo'!$K$2:$K$634,"CPF2",'1_Cables_Completo'!$Q$2:$Q$634,"FO / ETHERNET")</f>
        <v/>
      </c>
      <c r="D47" s="295">
        <f>SUMIFS('1_Cables_Completo'!$N$2:$N$634,'1_Cables_Completo'!$K$2:$K$634,"CPF2",'1_Cables_Completo'!$Q$2:$Q$634,"FO / ETHERNET")</f>
        <v/>
      </c>
      <c r="E47" s="295">
        <f>SUMIFS('1_Cables_Completo'!$O$2:$O$634,'1_Cables_Completo'!$K$2:$K$634,"CPF2",'1_Cables_Completo'!$Q$2:$Q$634,"FO / ETHERNET")</f>
        <v/>
      </c>
      <c r="F47" s="217">
        <f>SUMIFS('1_Cables_Completo'!$P$2:$P$634,'1_Cables_Completo'!$K$2:$K$634,"CPF2",'1_Cables_Completo'!$Q$2:$Q$634,"FO / ETHERNET")</f>
        <v/>
      </c>
      <c r="G47" s="219" t="inlineStr"/>
      <c r="H47" s="219" t="inlineStr"/>
      <c r="I47" s="219" t="inlineStr"/>
      <c r="J47" s="219" t="inlineStr"/>
    </row>
    <row r="48" ht="15" customHeight="1">
      <c r="A48" s="279" t="inlineStr">
        <is>
          <t>CPF2</t>
        </is>
      </c>
      <c r="B48" s="228" t="inlineStr">
        <is>
          <t>OTROS/VERIFICAR</t>
        </is>
      </c>
      <c r="C48" s="296">
        <f>COUNTIFS('1_Cables_Completo'!$K$2:$K$634,"CPF2",'1_Cables_Completo'!$Q$2:$Q$634,"OTROS/VERIFICAR")</f>
        <v/>
      </c>
      <c r="D48" s="296">
        <f>SUMIFS('1_Cables_Completo'!$N$2:$N$634,'1_Cables_Completo'!$K$2:$K$634,"CPF2",'1_Cables_Completo'!$Q$2:$Q$634,"OTROS/VERIFICAR")</f>
        <v/>
      </c>
      <c r="E48" s="296">
        <f>SUMIFS('1_Cables_Completo'!$O$2:$O$634,'1_Cables_Completo'!$K$2:$K$634,"CPF2",'1_Cables_Completo'!$Q$2:$Q$634,"OTROS/VERIFICAR")</f>
        <v/>
      </c>
      <c r="F48" s="224">
        <f>SUMIFS('1_Cables_Completo'!$P$2:$P$634,'1_Cables_Completo'!$K$2:$K$634,"CPF2",'1_Cables_Completo'!$Q$2:$Q$634,"OTROS/VERIFICAR")</f>
        <v/>
      </c>
      <c r="G48" s="226" t="inlineStr"/>
      <c r="H48" s="226" t="inlineStr"/>
      <c r="I48" s="226" t="inlineStr"/>
      <c r="J48" s="226" t="inlineStr"/>
    </row>
    <row r="49" ht="18" customHeight="1">
      <c r="A49" s="297" t="inlineStr">
        <is>
          <t>TOTAL CPF2</t>
        </is>
      </c>
      <c r="B49" s="298" t="inlineStr"/>
      <c r="C49" s="230">
        <f>SUMIF('1_Cables_Completo'!$K$2:$K$634,"CPF2",'1_Cables_Completo'!$N$2:$N$634)</f>
        <v/>
      </c>
      <c r="D49" s="230">
        <f>SUMIF('1_Cables_Completo'!$K$2:$K$634,"CPF2",'1_Cables_Completo'!$O$2:$O$634)</f>
        <v/>
      </c>
      <c r="E49" s="162">
        <f>SUMIF('1_Cables_Completo'!$K$2:$K$634,"CPF2",'1_Cables_Completo'!$P$2:$P$634)</f>
        <v/>
      </c>
      <c r="F49" s="232" t="inlineStr"/>
      <c r="G49" s="232" t="inlineStr"/>
      <c r="H49" s="232" t="inlineStr"/>
      <c r="I49" s="232" t="inlineStr"/>
      <c r="J49" s="232" t="inlineStr"/>
    </row>
    <row r="51" ht="15" customHeight="1">
      <c r="A51" s="299" t="inlineStr">
        <is>
          <t>CPF1</t>
        </is>
      </c>
      <c r="B51" s="280" t="inlineStr">
        <is>
          <t>POTENCIA MT (&gt;1kV)</t>
        </is>
      </c>
      <c r="C51" s="281">
        <f>COUNTIFS('1_Cables_Completo'!$K$2:$K$634,"CPF1",'1_Cables_Completo'!$Q$2:$Q$634,"POTENCIA MT (&gt;1kV)")</f>
        <v/>
      </c>
      <c r="D51" s="281">
        <f>SUMIFS('1_Cables_Completo'!$N$2:$N$634,'1_Cables_Completo'!$K$2:$K$634,"CPF1",'1_Cables_Completo'!$Q$2:$Q$634,"POTENCIA MT (&gt;1kV)")</f>
        <v/>
      </c>
      <c r="E51" s="281">
        <f>SUMIFS('1_Cables_Completo'!$O$2:$O$634,'1_Cables_Completo'!$K$2:$K$634,"CPF1",'1_Cables_Completo'!$Q$2:$Q$634,"POTENCIA MT (&gt;1kV)")</f>
        <v/>
      </c>
      <c r="F51" s="168">
        <f>SUMIFS('1_Cables_Completo'!$P$2:$P$634,'1_Cables_Completo'!$K$2:$K$634,"CPF1",'1_Cables_Completo'!$Q$2:$Q$634,"POTENCIA MT (&gt;1kV)")</f>
        <v/>
      </c>
      <c r="G51" s="170" t="inlineStr"/>
      <c r="H51" s="170" t="inlineStr"/>
      <c r="I51" s="170" t="inlineStr"/>
      <c r="J51" s="170" t="inlineStr"/>
    </row>
    <row r="52" ht="15" customHeight="1">
      <c r="A52" s="299" t="inlineStr">
        <is>
          <t>CPF1</t>
        </is>
      </c>
      <c r="B52" s="282" t="inlineStr">
        <is>
          <t>POTENCIA BT GRANDE (≥95mm²)</t>
        </is>
      </c>
      <c r="C52" s="283">
        <f>COUNTIFS('1_Cables_Completo'!$K$2:$K$634,"CPF1",'1_Cables_Completo'!$Q$2:$Q$634,"POTENCIA BT GRANDE (≥95mm²)")</f>
        <v/>
      </c>
      <c r="D52" s="283">
        <f>SUMIFS('1_Cables_Completo'!$N$2:$N$634,'1_Cables_Completo'!$K$2:$K$634,"CPF1",'1_Cables_Completo'!$Q$2:$Q$634,"POTENCIA BT GRANDE (≥95mm²)")</f>
        <v/>
      </c>
      <c r="E52" s="283">
        <f>SUMIFS('1_Cables_Completo'!$O$2:$O$634,'1_Cables_Completo'!$K$2:$K$634,"CPF1",'1_Cables_Completo'!$Q$2:$Q$634,"POTENCIA BT GRANDE (≥95mm²)")</f>
        <v/>
      </c>
      <c r="F52" s="175">
        <f>SUMIFS('1_Cables_Completo'!$P$2:$P$634,'1_Cables_Completo'!$K$2:$K$634,"CPF1",'1_Cables_Completo'!$Q$2:$Q$634,"POTENCIA BT GRANDE (≥95mm²)")</f>
        <v/>
      </c>
      <c r="G52" s="177" t="inlineStr"/>
      <c r="H52" s="177" t="inlineStr"/>
      <c r="I52" s="177" t="inlineStr"/>
      <c r="J52" s="177" t="inlineStr"/>
    </row>
    <row r="53" ht="15" customHeight="1">
      <c r="A53" s="299" t="inlineStr">
        <is>
          <t>CPF1</t>
        </is>
      </c>
      <c r="B53" s="284" t="inlineStr">
        <is>
          <t>POTENCIA BT MEDIANA (35-70mm²)</t>
        </is>
      </c>
      <c r="C53" s="285">
        <f>COUNTIFS('1_Cables_Completo'!$K$2:$K$634,"CPF1",'1_Cables_Completo'!$Q$2:$Q$634,"POTENCIA BT MEDIANA (35-70mm²)")</f>
        <v/>
      </c>
      <c r="D53" s="285">
        <f>SUMIFS('1_Cables_Completo'!$N$2:$N$634,'1_Cables_Completo'!$K$2:$K$634,"CPF1",'1_Cables_Completo'!$Q$2:$Q$634,"POTENCIA BT MEDIANA (35-70mm²)")</f>
        <v/>
      </c>
      <c r="E53" s="285">
        <f>SUMIFS('1_Cables_Completo'!$O$2:$O$634,'1_Cables_Completo'!$K$2:$K$634,"CPF1",'1_Cables_Completo'!$Q$2:$Q$634,"POTENCIA BT MEDIANA (35-70mm²)")</f>
        <v/>
      </c>
      <c r="F53" s="182">
        <f>SUMIFS('1_Cables_Completo'!$P$2:$P$634,'1_Cables_Completo'!$K$2:$K$634,"CPF1",'1_Cables_Completo'!$Q$2:$Q$634,"POTENCIA BT MEDIANA (35-70mm²)")</f>
        <v/>
      </c>
      <c r="G53" s="184" t="inlineStr"/>
      <c r="H53" s="184" t="inlineStr"/>
      <c r="I53" s="184" t="inlineStr"/>
      <c r="J53" s="184" t="inlineStr"/>
    </row>
    <row r="54" ht="15" customHeight="1">
      <c r="A54" s="299" t="inlineStr">
        <is>
          <t>CPF1</t>
        </is>
      </c>
      <c r="B54" s="286" t="inlineStr">
        <is>
          <t>POTENCIA BT PEQUEÑA (10-25mm²)</t>
        </is>
      </c>
      <c r="C54" s="287">
        <f>COUNTIFS('1_Cables_Completo'!$K$2:$K$634,"CPF1",'1_Cables_Completo'!$Q$2:$Q$634,"POTENCIA BT PEQUEÑA (10-25mm²)")</f>
        <v/>
      </c>
      <c r="D54" s="287">
        <f>SUMIFS('1_Cables_Completo'!$N$2:$N$634,'1_Cables_Completo'!$K$2:$K$634,"CPF1",'1_Cables_Completo'!$Q$2:$Q$634,"POTENCIA BT PEQUEÑA (10-25mm²)")</f>
        <v/>
      </c>
      <c r="E54" s="287">
        <f>SUMIFS('1_Cables_Completo'!$O$2:$O$634,'1_Cables_Completo'!$K$2:$K$634,"CPF1",'1_Cables_Completo'!$Q$2:$Q$634,"POTENCIA BT PEQUEÑA (10-25mm²)")</f>
        <v/>
      </c>
      <c r="F54" s="189">
        <f>SUMIFS('1_Cables_Completo'!$P$2:$P$634,'1_Cables_Completo'!$K$2:$K$634,"CPF1",'1_Cables_Completo'!$Q$2:$Q$634,"POTENCIA BT PEQUEÑA (10-25mm²)")</f>
        <v/>
      </c>
      <c r="G54" s="191" t="inlineStr"/>
      <c r="H54" s="191" t="inlineStr"/>
      <c r="I54" s="191" t="inlineStr"/>
      <c r="J54" s="191" t="inlineStr"/>
    </row>
    <row r="55" ht="15" customHeight="1">
      <c r="A55" s="299" t="inlineStr">
        <is>
          <t>CPF1</t>
        </is>
      </c>
      <c r="B55" s="288" t="inlineStr">
        <is>
          <t>POTENCIA BT MUY PEQ (&lt;10mm²)</t>
        </is>
      </c>
      <c r="C55" s="289">
        <f>COUNTIFS('1_Cables_Completo'!$K$2:$K$634,"CPF1",'1_Cables_Completo'!$Q$2:$Q$634,"POTENCIA BT MUY PEQ (&lt;10mm²)")</f>
        <v/>
      </c>
      <c r="D55" s="289">
        <f>SUMIFS('1_Cables_Completo'!$N$2:$N$634,'1_Cables_Completo'!$K$2:$K$634,"CPF1",'1_Cables_Completo'!$Q$2:$Q$634,"POTENCIA BT MUY PEQ (&lt;10mm²)")</f>
        <v/>
      </c>
      <c r="E55" s="289">
        <f>SUMIFS('1_Cables_Completo'!$O$2:$O$634,'1_Cables_Completo'!$K$2:$K$634,"CPF1",'1_Cables_Completo'!$Q$2:$Q$634,"POTENCIA BT MUY PEQ (&lt;10mm²)")</f>
        <v/>
      </c>
      <c r="F55" s="196">
        <f>SUMIFS('1_Cables_Completo'!$P$2:$P$634,'1_Cables_Completo'!$K$2:$K$634,"CPF1",'1_Cables_Completo'!$Q$2:$Q$634,"POTENCIA BT MUY PEQ (&lt;10mm²)")</f>
        <v/>
      </c>
      <c r="G55" s="198" t="inlineStr"/>
      <c r="H55" s="198" t="inlineStr"/>
      <c r="I55" s="198" t="inlineStr"/>
      <c r="J55" s="198" t="inlineStr"/>
    </row>
    <row r="56" ht="15" customHeight="1">
      <c r="A56" s="299" t="inlineStr">
        <is>
          <t>CPF1</t>
        </is>
      </c>
      <c r="B56" s="290" t="inlineStr">
        <is>
          <t>CONTROL</t>
        </is>
      </c>
      <c r="C56" s="291">
        <f>COUNTIFS('1_Cables_Completo'!$K$2:$K$634,"CPF1",'1_Cables_Completo'!$Q$2:$Q$634,"CONTROL")</f>
        <v/>
      </c>
      <c r="D56" s="291">
        <f>SUMIFS('1_Cables_Completo'!$N$2:$N$634,'1_Cables_Completo'!$K$2:$K$634,"CPF1",'1_Cables_Completo'!$Q$2:$Q$634,"CONTROL")</f>
        <v/>
      </c>
      <c r="E56" s="291">
        <f>SUMIFS('1_Cables_Completo'!$O$2:$O$634,'1_Cables_Completo'!$K$2:$K$634,"CPF1",'1_Cables_Completo'!$Q$2:$Q$634,"CONTROL")</f>
        <v/>
      </c>
      <c r="F56" s="203">
        <f>SUMIFS('1_Cables_Completo'!$P$2:$P$634,'1_Cables_Completo'!$K$2:$K$634,"CPF1",'1_Cables_Completo'!$Q$2:$Q$634,"CONTROL")</f>
        <v/>
      </c>
      <c r="G56" s="205" t="inlineStr"/>
      <c r="H56" s="205" t="inlineStr"/>
      <c r="I56" s="205" t="inlineStr"/>
      <c r="J56" s="205" t="inlineStr"/>
    </row>
    <row r="57" ht="15" customHeight="1">
      <c r="A57" s="299" t="inlineStr">
        <is>
          <t>CPF1</t>
        </is>
      </c>
      <c r="B57" s="292" t="inlineStr">
        <is>
          <t>SEÑAL / INSTRUMENTO</t>
        </is>
      </c>
      <c r="C57" s="293">
        <f>COUNTIFS('1_Cables_Completo'!$K$2:$K$634,"CPF1",'1_Cables_Completo'!$Q$2:$Q$634,"SEÑAL / INSTRUMENTO")</f>
        <v/>
      </c>
      <c r="D57" s="293">
        <f>SUMIFS('1_Cables_Completo'!$N$2:$N$634,'1_Cables_Completo'!$K$2:$K$634,"CPF1",'1_Cables_Completo'!$Q$2:$Q$634,"SEÑAL / INSTRUMENTO")</f>
        <v/>
      </c>
      <c r="E57" s="293">
        <f>SUMIFS('1_Cables_Completo'!$O$2:$O$634,'1_Cables_Completo'!$K$2:$K$634,"CPF1",'1_Cables_Completo'!$Q$2:$Q$634,"SEÑAL / INSTRUMENTO")</f>
        <v/>
      </c>
      <c r="F57" s="210">
        <f>SUMIFS('1_Cables_Completo'!$P$2:$P$634,'1_Cables_Completo'!$K$2:$K$634,"CPF1",'1_Cables_Completo'!$Q$2:$Q$634,"SEÑAL / INSTRUMENTO")</f>
        <v/>
      </c>
      <c r="G57" s="212" t="inlineStr"/>
      <c r="H57" s="212" t="inlineStr"/>
      <c r="I57" s="212" t="inlineStr"/>
      <c r="J57" s="212" t="inlineStr"/>
    </row>
    <row r="58" ht="15" customHeight="1">
      <c r="A58" s="299" t="inlineStr">
        <is>
          <t>CPF1</t>
        </is>
      </c>
      <c r="B58" s="294" t="inlineStr">
        <is>
          <t>FO / ETHERNET</t>
        </is>
      </c>
      <c r="C58" s="295">
        <f>COUNTIFS('1_Cables_Completo'!$K$2:$K$634,"CPF1",'1_Cables_Completo'!$Q$2:$Q$634,"FO / ETHERNET")</f>
        <v/>
      </c>
      <c r="D58" s="295">
        <f>SUMIFS('1_Cables_Completo'!$N$2:$N$634,'1_Cables_Completo'!$K$2:$K$634,"CPF1",'1_Cables_Completo'!$Q$2:$Q$634,"FO / ETHERNET")</f>
        <v/>
      </c>
      <c r="E58" s="295">
        <f>SUMIFS('1_Cables_Completo'!$O$2:$O$634,'1_Cables_Completo'!$K$2:$K$634,"CPF1",'1_Cables_Completo'!$Q$2:$Q$634,"FO / ETHERNET")</f>
        <v/>
      </c>
      <c r="F58" s="217">
        <f>SUMIFS('1_Cables_Completo'!$P$2:$P$634,'1_Cables_Completo'!$K$2:$K$634,"CPF1",'1_Cables_Completo'!$Q$2:$Q$634,"FO / ETHERNET")</f>
        <v/>
      </c>
      <c r="G58" s="219" t="inlineStr"/>
      <c r="H58" s="219" t="inlineStr"/>
      <c r="I58" s="219" t="inlineStr"/>
      <c r="J58" s="219" t="inlineStr"/>
    </row>
    <row r="59" ht="15" customHeight="1">
      <c r="A59" s="299" t="inlineStr">
        <is>
          <t>CPF1</t>
        </is>
      </c>
      <c r="B59" s="228" t="inlineStr">
        <is>
          <t>OTROS/VERIFICAR</t>
        </is>
      </c>
      <c r="C59" s="296">
        <f>COUNTIFS('1_Cables_Completo'!$K$2:$K$634,"CPF1",'1_Cables_Completo'!$Q$2:$Q$634,"OTROS/VERIFICAR")</f>
        <v/>
      </c>
      <c r="D59" s="296">
        <f>SUMIFS('1_Cables_Completo'!$N$2:$N$634,'1_Cables_Completo'!$K$2:$K$634,"CPF1",'1_Cables_Completo'!$Q$2:$Q$634,"OTROS/VERIFICAR")</f>
        <v/>
      </c>
      <c r="E59" s="296">
        <f>SUMIFS('1_Cables_Completo'!$O$2:$O$634,'1_Cables_Completo'!$K$2:$K$634,"CPF1",'1_Cables_Completo'!$Q$2:$Q$634,"OTROS/VERIFICAR")</f>
        <v/>
      </c>
      <c r="F59" s="224">
        <f>SUMIFS('1_Cables_Completo'!$P$2:$P$634,'1_Cables_Completo'!$K$2:$K$634,"CPF1",'1_Cables_Completo'!$Q$2:$Q$634,"OTROS/VERIFICAR")</f>
        <v/>
      </c>
      <c r="G59" s="226" t="inlineStr"/>
      <c r="H59" s="226" t="inlineStr"/>
      <c r="I59" s="226" t="inlineStr"/>
      <c r="J59" s="226" t="inlineStr"/>
    </row>
    <row r="60" ht="18" customHeight="1">
      <c r="A60" s="300" t="inlineStr">
        <is>
          <t>TOTAL CPF1</t>
        </is>
      </c>
      <c r="B60" s="301" t="inlineStr"/>
      <c r="C60" s="302">
        <f>SUMIF('1_Cables_Completo'!$K$2:$K$634,"CPF1",'1_Cables_Completo'!$N$2:$N$634)</f>
        <v/>
      </c>
      <c r="D60" s="302">
        <f>SUMIF('1_Cables_Completo'!$K$2:$K$634,"CPF1",'1_Cables_Completo'!$O$2:$O$634)</f>
        <v/>
      </c>
      <c r="E60" s="303">
        <f>SUMIF('1_Cables_Completo'!$K$2:$K$634,"CPF1",'1_Cables_Completo'!$P$2:$P$634)</f>
        <v/>
      </c>
      <c r="F60" s="177" t="inlineStr"/>
      <c r="G60" s="177" t="inlineStr"/>
      <c r="H60" s="177" t="inlineStr"/>
      <c r="I60" s="177" t="inlineStr"/>
      <c r="J60" s="177" t="inlineStr"/>
    </row>
    <row r="62" ht="20" customHeight="1">
      <c r="A62" s="304" t="inlineStr">
        <is>
          <t xml:space="preserve">  E. METODOLOGÍA — CÓMO LEER ESTE ANÁLISIS</t>
        </is>
      </c>
      <c r="B62" s="307" t="n"/>
      <c r="C62" s="307" t="n"/>
      <c r="D62" s="307" t="n"/>
      <c r="E62" s="307" t="n"/>
      <c r="F62" s="307" t="n"/>
      <c r="G62" s="307" t="n"/>
      <c r="H62" s="307" t="n"/>
      <c r="I62" s="307" t="n"/>
      <c r="J62" s="308" t="n"/>
    </row>
    <row r="63" ht="30" customHeight="1">
      <c r="A63" s="305" t="inlineStr">
        <is>
          <t>¿Qué es una PUNTA?</t>
        </is>
      </c>
      <c r="B63" s="310" t="n"/>
      <c r="C63" s="306" t="inlineStr">
        <is>
          <t>Es un conductor individual (hilo de cobre o aluminio) en un extremo de un cable que debe ser conectado. Ejemplos: un cable 3x240mm² tiene 3 conductores → 3 puntas por extremo → 6 puntas totales + 2 glands armadura = 8 puntas.</t>
        </is>
      </c>
      <c r="D63" s="309" t="n"/>
      <c r="E63" s="309" t="n"/>
      <c r="F63" s="309" t="n"/>
      <c r="G63" s="309" t="n"/>
      <c r="H63" s="309" t="n"/>
      <c r="I63" s="309" t="n"/>
      <c r="J63" s="310" t="n"/>
    </row>
    <row r="64" ht="30" customHeight="1">
      <c r="A64" s="305" t="inlineStr">
        <is>
          <t>Columna COND/PUNTA (col.L)</t>
        </is>
      </c>
      <c r="B64" s="310" t="n"/>
      <c r="C64" s="306" t="inlineStr">
        <is>
          <t>Cantidad de conductores en cada extremo del cable, extraída de la formación. 7x2.5+T = 8 cond/punta | 3x240/120 = 4 cond/punta (3 fases + 1 neutro) | 4x2x0.5 = 8 cond/punta (4 pares).</t>
        </is>
      </c>
      <c r="D64" s="309" t="n"/>
      <c r="E64" s="309" t="n"/>
      <c r="F64" s="309" t="n"/>
      <c r="G64" s="309" t="n"/>
      <c r="H64" s="309" t="n"/>
      <c r="I64" s="309" t="n"/>
      <c r="J64" s="310" t="n"/>
    </row>
    <row r="65" ht="30" customHeight="1">
      <c r="A65" s="305" t="inlineStr">
        <is>
          <t>Columna PTAS_COND (col.N)</t>
        </is>
      </c>
      <c r="B65" s="310" t="n"/>
      <c r="C65" s="306">
        <f> COND/PUNTA × 2 extremos. Siempre par. Ejemplo: cable 7x2.5+T → 8 × 2 = 16 puntas conductor.</f>
        <v/>
      </c>
      <c r="D65" s="309" t="n"/>
      <c r="E65" s="309" t="n"/>
      <c r="F65" s="309" t="n"/>
      <c r="G65" s="309" t="n"/>
      <c r="H65" s="309" t="n"/>
      <c r="I65" s="309" t="n"/>
      <c r="J65" s="310" t="n"/>
    </row>
    <row r="66" ht="30" customHeight="1">
      <c r="A66" s="305" t="inlineStr">
        <is>
          <t>Columna PTAS_ARM (col.O)</t>
        </is>
      </c>
      <c r="B66" s="310" t="n"/>
      <c r="C66" s="306" t="inlineStr">
        <is>
          <t>Puntas de armadura: 2 si el cable es armado (ARMADO=SI), 0 si no. Cada extremo de un cable armado requiere 1 prensaestopa o gland metálico → 2 por cable.</t>
        </is>
      </c>
      <c r="D66" s="309" t="n"/>
      <c r="E66" s="309" t="n"/>
      <c r="F66" s="309" t="n"/>
      <c r="G66" s="309" t="n"/>
      <c r="H66" s="309" t="n"/>
      <c r="I66" s="309" t="n"/>
      <c r="J66" s="310" t="n"/>
    </row>
    <row r="67" ht="30" customHeight="1">
      <c r="A67" s="305" t="inlineStr">
        <is>
          <t>Columna TOTAL_PTAS (col.P)</t>
        </is>
      </c>
      <c r="B67" s="310" t="n"/>
      <c r="C67" s="306">
        <f> PTAS_COND + PTAS_ARM. Esta es la columna maestra de la que se alimentan TODOS los SUMIF de esta hoja.</f>
        <v/>
      </c>
      <c r="D67" s="309" t="n"/>
      <c r="E67" s="309" t="n"/>
      <c r="F67" s="309" t="n"/>
      <c r="G67" s="309" t="n"/>
      <c r="H67" s="309" t="n"/>
      <c r="I67" s="309" t="n"/>
      <c r="J67" s="310" t="n"/>
    </row>
    <row r="68" ht="30" customHeight="1">
      <c r="A68" s="305" t="inlineStr">
        <is>
          <t>Cierre Sheet 8 vs Sheet 1</t>
        </is>
      </c>
      <c r="B68" s="310" t="n"/>
      <c r="C68" s="306" t="inlineStr">
        <is>
          <t>Las secciones B, C y D usan SUMIFS sobre col.P de Sheet 1. Los subtotales de B y C verifican automáticamente con la fórmula ✓ CIERRA / ✗ REVISAR. No puede haber inconsistencias.</t>
        </is>
      </c>
      <c r="D68" s="309" t="n"/>
      <c r="E68" s="309" t="n"/>
      <c r="F68" s="309" t="n"/>
      <c r="G68" s="309" t="n"/>
      <c r="H68" s="309" t="n"/>
      <c r="I68" s="309" t="n"/>
      <c r="J68" s="310" t="n"/>
    </row>
    <row r="69" ht="30" customHeight="1">
      <c r="A69" s="305" t="inlineStr">
        <is>
          <t>Formaciones a verificar</t>
        </is>
      </c>
      <c r="B69" s="310" t="n"/>
      <c r="C69" s="306" t="inlineStr">
        <is>
          <t>Cables con formación "15" (9 cables): dato ambiguo en lista, se contabilizan como 2 cond/punta. Verificar con lista de cables original.</t>
        </is>
      </c>
      <c r="D69" s="309" t="n"/>
      <c r="E69" s="309" t="n"/>
      <c r="F69" s="309" t="n"/>
      <c r="G69" s="309" t="n"/>
      <c r="H69" s="309" t="n"/>
      <c r="I69" s="309" t="n"/>
      <c r="J69" s="310" t="n"/>
    </row>
    <row r="70" ht="30" customHeight="1">
      <c r="A70" s="305" t="inlineStr">
        <is>
          <t>CPF-1 vs CPF-2</t>
        </is>
      </c>
      <c r="B70" s="310" t="n"/>
      <c r="C70" s="306" t="inlineStr">
        <is>
          <t>Solo CPF-2 es scope de este contrato. CPF-1 se muestra en sección D para contexto pero no se incluye en los totales operativos de las secciones A, B y C.</t>
        </is>
      </c>
      <c r="D70" s="309" t="n"/>
      <c r="E70" s="309" t="n"/>
      <c r="F70" s="309" t="n"/>
      <c r="G70" s="309" t="n"/>
      <c r="H70" s="309" t="n"/>
      <c r="I70" s="309" t="n"/>
      <c r="J70" s="310" t="n"/>
    </row>
  </sheetData>
  <mergeCells count="23">
    <mergeCell ref="A23:J23"/>
    <mergeCell ref="A64:B64"/>
    <mergeCell ref="C68:J68"/>
    <mergeCell ref="A62:J62"/>
    <mergeCell ref="A4:J4"/>
    <mergeCell ref="A38:J38"/>
    <mergeCell ref="A70:B70"/>
    <mergeCell ref="A10:J10"/>
    <mergeCell ref="A69:B69"/>
    <mergeCell ref="C64:J64"/>
    <mergeCell ref="A65:B65"/>
    <mergeCell ref="C63:J63"/>
    <mergeCell ref="C65:J65"/>
    <mergeCell ref="A66:B66"/>
    <mergeCell ref="A1:J1"/>
    <mergeCell ref="C70:J70"/>
    <mergeCell ref="C67:J67"/>
    <mergeCell ref="A68:B68"/>
    <mergeCell ref="A63:B63"/>
    <mergeCell ref="C66:J66"/>
    <mergeCell ref="A2:J2"/>
    <mergeCell ref="A67:B67"/>
    <mergeCell ref="C69:J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2" customWidth="1" min="4" max="4"/>
    <col width="50" customWidth="1" min="5" max="5"/>
    <col width="10" customWidth="1" min="6" max="6"/>
    <col width="8" customWidth="1" min="7" max="7"/>
    <col width="10" customWidth="1" min="8" max="8"/>
    <col width="10" customWidth="1" min="9" max="9"/>
    <col width="8" customWidth="1" min="10" max="10"/>
    <col width="12" customWidth="1" min="11" max="11"/>
    <col width="28" customWidth="1" min="12" max="12"/>
  </cols>
  <sheetData>
    <row r="1" ht="26" customHeight="1">
      <c r="A1" s="311" t="inlineStr">
        <is>
          <t>LISTADO DE MATERIALES — CABLES ELÉCTRICOS  |  Ref. Doc: ACAL-00102-LM-E-0012-0  |  Rev 3  |  13-JUN-2026  |  CPF-2 LA CALERA II</t>
        </is>
      </c>
    </row>
    <row r="2" ht="18" customHeight="1">
      <c r="A2" s="312" t="inlineStr">
        <is>
          <t>Documento oficial de materiales de cables para aprovisionamiento CPF-2. Las cantidades incluyen el surplus aprobado por formación. La 'FORMACIÓN' normalizada permite el cruce con la hoja 1_Cables_Completo. Revisión 0 del LM emitida el 11-JUN-2026 — sin cambios respecto a revisiones previas (Dif.=0).</t>
        </is>
      </c>
    </row>
    <row r="4" ht="36" customHeight="1">
      <c r="A4" s="313" t="inlineStr">
        <is>
          <t>#</t>
        </is>
      </c>
      <c r="B4" s="313" t="inlineStr">
        <is>
          <t>Item
LM</t>
        </is>
      </c>
      <c r="C4" s="313" t="inlineStr">
        <is>
          <t>Código
ABB/Cliente</t>
        </is>
      </c>
      <c r="D4" s="313" t="inlineStr">
        <is>
          <t>Formación
(normalizada)</t>
        </is>
      </c>
      <c r="E4" s="313" t="inlineStr">
        <is>
          <t>Descripción del Material</t>
        </is>
      </c>
      <c r="F4" s="313" t="inlineStr">
        <is>
          <t>Tensión</t>
        </is>
      </c>
      <c r="G4" s="313" t="inlineStr">
        <is>
          <t>Armado
(SI/NO)</t>
        </is>
      </c>
      <c r="H4" s="313" t="inlineStr">
        <is>
          <t>Cant.
Base
(m)</t>
        </is>
      </c>
      <c r="I4" s="313" t="inlineStr">
        <is>
          <t>Surplus
(m)</t>
        </is>
      </c>
      <c r="J4" s="313" t="inlineStr">
        <is>
          <t>Sur
%</t>
        </is>
      </c>
      <c r="K4" s="313" t="inlineStr">
        <is>
          <t>TOTAL
c/Surplus
(m)</t>
        </is>
      </c>
      <c r="L4" s="313" t="inlineStr">
        <is>
          <t>Notas</t>
        </is>
      </c>
    </row>
    <row r="5" ht="22" customHeight="1">
      <c r="A5" s="314" t="inlineStr">
        <is>
          <t xml:space="preserve">  CABLES DE MEDIA TENSIÓN</t>
        </is>
      </c>
    </row>
    <row r="6" ht="20" customHeight="1">
      <c r="A6" s="315" t="n">
        <v>1</v>
      </c>
      <c r="B6" s="316" t="inlineStr">
        <is>
          <t>1.1</t>
        </is>
      </c>
      <c r="C6" s="317" t="inlineStr">
        <is>
          <t>XLFMT_14387151</t>
        </is>
      </c>
      <c r="D6" s="318" t="inlineStr">
        <is>
          <t>1x70mm² MT</t>
        </is>
      </c>
      <c r="E6" s="319" t="inlineStr">
        <is>
          <t>Medium Voltage Power Cable, 1Ph Uo/U=10.5/13.2</t>
        </is>
      </c>
      <c r="F6" s="320" t="inlineStr">
        <is>
          <t>10.5/13.2 kV</t>
        </is>
      </c>
      <c r="G6" s="321" t="inlineStr">
        <is>
          <t>SI</t>
        </is>
      </c>
      <c r="H6" s="322" t="n">
        <v>120</v>
      </c>
      <c r="I6" s="323" t="n">
        <v>12</v>
      </c>
      <c r="J6" s="324" t="inlineStr">
        <is>
          <t>10%</t>
        </is>
      </c>
      <c r="K6" s="325" t="n">
        <v>132</v>
      </c>
      <c r="L6" s="326" t="inlineStr"/>
    </row>
    <row r="7" ht="20" customHeight="1">
      <c r="A7" s="315" t="n">
        <v>2</v>
      </c>
      <c r="B7" s="316" t="inlineStr">
        <is>
          <t>1.2</t>
        </is>
      </c>
      <c r="C7" s="317" t="inlineStr">
        <is>
          <t>XLFMT_14387589</t>
        </is>
      </c>
      <c r="D7" s="318" t="inlineStr">
        <is>
          <t>3x95mm² MT</t>
        </is>
      </c>
      <c r="E7" s="319" t="inlineStr">
        <is>
          <t>Medium Voltage Power Cable, 3Ph Uo/U=10.5/13.2</t>
        </is>
      </c>
      <c r="F7" s="320" t="inlineStr">
        <is>
          <t>10.5/13.2 kV</t>
        </is>
      </c>
      <c r="G7" s="321" t="inlineStr">
        <is>
          <t>SI</t>
        </is>
      </c>
      <c r="H7" s="322" t="n">
        <v>474</v>
      </c>
      <c r="I7" s="323" t="n">
        <v>23.7</v>
      </c>
      <c r="J7" s="324" t="inlineStr">
        <is>
          <t>5%</t>
        </is>
      </c>
      <c r="K7" s="325" t="n">
        <v>497.7</v>
      </c>
      <c r="L7" s="326" t="inlineStr"/>
    </row>
    <row r="8" ht="20" customHeight="1">
      <c r="A8" s="315" t="n">
        <v>3</v>
      </c>
      <c r="B8" s="316" t="inlineStr">
        <is>
          <t>1.3</t>
        </is>
      </c>
      <c r="C8" s="317" t="inlineStr">
        <is>
          <t>XLFMT_14387574</t>
        </is>
      </c>
      <c r="D8" s="318" t="inlineStr">
        <is>
          <t>3x150mm² MT</t>
        </is>
      </c>
      <c r="E8" s="319" t="inlineStr">
        <is>
          <t>Medium Voltage Power Cable, 3Ph Uo/U=10.5/13.2</t>
        </is>
      </c>
      <c r="F8" s="320" t="inlineStr">
        <is>
          <t>10.5/13.2 kV</t>
        </is>
      </c>
      <c r="G8" s="321" t="inlineStr">
        <is>
          <t>SI</t>
        </is>
      </c>
      <c r="H8" s="322" t="n">
        <v>600</v>
      </c>
      <c r="I8" s="323" t="n">
        <v>30</v>
      </c>
      <c r="J8" s="324" t="inlineStr">
        <is>
          <t>5%</t>
        </is>
      </c>
      <c r="K8" s="325" t="n">
        <v>630</v>
      </c>
      <c r="L8" s="326" t="inlineStr"/>
    </row>
    <row r="9" ht="20" customHeight="1">
      <c r="A9" s="315" t="n">
        <v>4</v>
      </c>
      <c r="B9" s="316" t="inlineStr">
        <is>
          <t>1.4</t>
        </is>
      </c>
      <c r="C9" s="317" t="inlineStr">
        <is>
          <t>XLFMT_14386605</t>
        </is>
      </c>
      <c r="D9" s="318" t="inlineStr">
        <is>
          <t>3x25mm² MT</t>
        </is>
      </c>
      <c r="E9" s="319" t="inlineStr">
        <is>
          <t>Medium Voltage Power Cable, 3Ph Uo/U=5.2/6.6</t>
        </is>
      </c>
      <c r="F9" s="320" t="inlineStr">
        <is>
          <t>5.2/6.6 kV</t>
        </is>
      </c>
      <c r="G9" s="321" t="inlineStr">
        <is>
          <t>SI</t>
        </is>
      </c>
      <c r="H9" s="322" t="n">
        <v>1170</v>
      </c>
      <c r="I9" s="323" t="n">
        <v>58.5</v>
      </c>
      <c r="J9" s="324" t="inlineStr">
        <is>
          <t>5%</t>
        </is>
      </c>
      <c r="K9" s="325" t="n">
        <v>1228.5</v>
      </c>
      <c r="L9" s="326" t="inlineStr"/>
    </row>
    <row r="10" ht="20" customHeight="1">
      <c r="A10" s="315" t="n">
        <v>5</v>
      </c>
      <c r="B10" s="316" t="inlineStr">
        <is>
          <t>1.5</t>
        </is>
      </c>
      <c r="C10" s="317" t="inlineStr">
        <is>
          <t>XLFMT_14386596</t>
        </is>
      </c>
      <c r="D10" s="318" t="inlineStr">
        <is>
          <t>3x95mm² MT</t>
        </is>
      </c>
      <c r="E10" s="319" t="inlineStr">
        <is>
          <t>Medium Voltage Power Cable, 3Ph Uo/U=5.2/6.6</t>
        </is>
      </c>
      <c r="F10" s="320" t="inlineStr">
        <is>
          <t>5.2/6.6 kV</t>
        </is>
      </c>
      <c r="G10" s="321" t="inlineStr">
        <is>
          <t>SI</t>
        </is>
      </c>
      <c r="H10" s="322" t="n">
        <v>30</v>
      </c>
      <c r="I10" s="323" t="n">
        <v>4.5</v>
      </c>
      <c r="J10" s="324" t="inlineStr">
        <is>
          <t>15%</t>
        </is>
      </c>
      <c r="K10" s="325" t="n">
        <v>34.5</v>
      </c>
      <c r="L10" s="326" t="inlineStr"/>
    </row>
    <row r="11" ht="18" customHeight="1">
      <c r="A11" s="327" t="inlineStr">
        <is>
          <t>Subtotal CABLES DE MEDIA TENSIÓN  (5 tipos)</t>
        </is>
      </c>
      <c r="H11" s="328" t="n">
        <v>2394</v>
      </c>
      <c r="I11" s="329" t="n">
        <v>128.7</v>
      </c>
      <c r="J11" s="330" t="inlineStr">
        <is>
          <t>5%</t>
        </is>
      </c>
      <c r="K11" s="331" t="n">
        <v>2522.7</v>
      </c>
      <c r="L11" s="332" t="inlineStr"/>
    </row>
    <row r="12" ht="22" customHeight="1">
      <c r="A12" s="333" t="inlineStr">
        <is>
          <t xml:space="preserve">  CABLES DE BAJA TENSIÓN SIN ARMAR</t>
        </is>
      </c>
    </row>
    <row r="13" ht="20" customHeight="1">
      <c r="A13" s="334" t="n">
        <v>6</v>
      </c>
      <c r="B13" s="335" t="inlineStr">
        <is>
          <t>2.1</t>
        </is>
      </c>
      <c r="C13" s="336" t="inlineStr">
        <is>
          <t>XLFBT_14368315</t>
        </is>
      </c>
      <c r="D13" s="337" t="inlineStr">
        <is>
          <t>2x4mm² Arm</t>
        </is>
      </c>
      <c r="E13" s="338" t="inlineStr">
        <is>
          <t>Low Voltage Power Cable, 1Ph+N Uo/U=</t>
        </is>
      </c>
      <c r="F13" s="339" t="inlineStr">
        <is>
          <t>0.6/1 kV</t>
        </is>
      </c>
      <c r="G13" s="321" t="inlineStr">
        <is>
          <t>SI</t>
        </is>
      </c>
      <c r="H13" s="340" t="n">
        <v>305</v>
      </c>
      <c r="I13" s="323" t="n">
        <v>30.5</v>
      </c>
      <c r="J13" s="324" t="inlineStr">
        <is>
          <t>10%</t>
        </is>
      </c>
      <c r="K13" s="341" t="n">
        <v>335.5</v>
      </c>
      <c r="L13" s="342" t="inlineStr"/>
    </row>
    <row r="14" ht="20" customHeight="1">
      <c r="A14" s="334" t="n">
        <v>7</v>
      </c>
      <c r="B14" s="335" t="inlineStr">
        <is>
          <t>2.2</t>
        </is>
      </c>
      <c r="C14" s="336" t="inlineStr">
        <is>
          <t>XLFBT_14368297</t>
        </is>
      </c>
      <c r="D14" s="337" t="inlineStr">
        <is>
          <t>2x10mm² Arm</t>
        </is>
      </c>
      <c r="E14" s="338" t="inlineStr">
        <is>
          <t>Low Voltage Power Cable, 1Ph+N Uo/U=</t>
        </is>
      </c>
      <c r="F14" s="339" t="inlineStr">
        <is>
          <t>0.6/1 kV</t>
        </is>
      </c>
      <c r="G14" s="321" t="inlineStr">
        <is>
          <t>SI</t>
        </is>
      </c>
      <c r="H14" s="340" t="n">
        <v>30</v>
      </c>
      <c r="I14" s="323" t="n">
        <v>6</v>
      </c>
      <c r="J14" s="324" t="inlineStr">
        <is>
          <t>20%</t>
        </is>
      </c>
      <c r="K14" s="341" t="n">
        <v>36</v>
      </c>
      <c r="L14" s="342" t="inlineStr"/>
    </row>
    <row r="15" ht="20" customHeight="1">
      <c r="A15" s="334" t="n">
        <v>8</v>
      </c>
      <c r="B15" s="335" t="inlineStr">
        <is>
          <t>2.3</t>
        </is>
      </c>
      <c r="C15" s="336" t="inlineStr">
        <is>
          <t>XLFBT_14368300</t>
        </is>
      </c>
      <c r="D15" s="337" t="inlineStr">
        <is>
          <t>2x16mm² Arm</t>
        </is>
      </c>
      <c r="E15" s="338" t="inlineStr">
        <is>
          <t>Low Voltage Power Cable, 1Ph+N Uo/U=</t>
        </is>
      </c>
      <c r="F15" s="339" t="inlineStr">
        <is>
          <t>0.6/1 kV</t>
        </is>
      </c>
      <c r="G15" s="321" t="inlineStr">
        <is>
          <t>SI</t>
        </is>
      </c>
      <c r="H15" s="340" t="n">
        <v>20</v>
      </c>
      <c r="I15" s="323" t="n">
        <v>3</v>
      </c>
      <c r="J15" s="324" t="inlineStr">
        <is>
          <t>15%</t>
        </is>
      </c>
      <c r="K15" s="341" t="n">
        <v>23</v>
      </c>
      <c r="L15" s="342" t="inlineStr"/>
    </row>
    <row r="16" ht="20" customHeight="1">
      <c r="A16" s="334" t="n">
        <v>9</v>
      </c>
      <c r="B16" s="335" t="inlineStr">
        <is>
          <t>2.4</t>
        </is>
      </c>
      <c r="C16" s="336" t="inlineStr">
        <is>
          <t>XLFBT_14368304</t>
        </is>
      </c>
      <c r="D16" s="337" t="inlineStr">
        <is>
          <t>2x25mm² Arm</t>
        </is>
      </c>
      <c r="E16" s="338" t="inlineStr">
        <is>
          <t>Low Voltage Power Cable, 1Ph+N Uo/U=</t>
        </is>
      </c>
      <c r="F16" s="339" t="inlineStr">
        <is>
          <t>0.6/1 kV</t>
        </is>
      </c>
      <c r="G16" s="321" t="inlineStr">
        <is>
          <t>SI</t>
        </is>
      </c>
      <c r="H16" s="340" t="n">
        <v>60</v>
      </c>
      <c r="I16" s="323" t="n">
        <v>9</v>
      </c>
      <c r="J16" s="324" t="inlineStr">
        <is>
          <t>15%</t>
        </is>
      </c>
      <c r="K16" s="341" t="n">
        <v>69</v>
      </c>
      <c r="L16" s="342" t="inlineStr"/>
    </row>
    <row r="17" ht="20" customHeight="1">
      <c r="A17" s="334" t="n">
        <v>10</v>
      </c>
      <c r="B17" s="335" t="inlineStr">
        <is>
          <t>2.5</t>
        </is>
      </c>
      <c r="C17" s="336" t="inlineStr">
        <is>
          <t>XLFBT_14368317</t>
        </is>
      </c>
      <c r="D17" s="337" t="inlineStr">
        <is>
          <t>2x50mm² Arm</t>
        </is>
      </c>
      <c r="E17" s="338" t="inlineStr">
        <is>
          <t>Low Voltage Power Cable, 1Ph+N Uo/U=</t>
        </is>
      </c>
      <c r="F17" s="339" t="inlineStr">
        <is>
          <t>0.6/1 kV</t>
        </is>
      </c>
      <c r="G17" s="321" t="inlineStr">
        <is>
          <t>SI</t>
        </is>
      </c>
      <c r="H17" s="340" t="n">
        <v>60</v>
      </c>
      <c r="I17" s="323" t="n">
        <v>6</v>
      </c>
      <c r="J17" s="324" t="inlineStr">
        <is>
          <t>10%</t>
        </is>
      </c>
      <c r="K17" s="341" t="n">
        <v>66</v>
      </c>
      <c r="L17" s="342" t="inlineStr"/>
    </row>
    <row r="18" ht="18" customHeight="1">
      <c r="A18" s="343" t="inlineStr">
        <is>
          <t>Subtotal CABLES DE BAJA TENSIÓN SIN ARMAR  (5 tipos)</t>
        </is>
      </c>
      <c r="H18" s="344" t="n">
        <v>475</v>
      </c>
      <c r="I18" s="345" t="n">
        <v>54.5</v>
      </c>
      <c r="J18" s="346" t="inlineStr">
        <is>
          <t>11%</t>
        </is>
      </c>
      <c r="K18" s="347" t="n">
        <v>529.5</v>
      </c>
      <c r="L18" s="348" t="inlineStr"/>
    </row>
    <row r="19" ht="22" customHeight="1">
      <c r="A19" s="349" t="inlineStr">
        <is>
          <t xml:space="preserve">  CABLES DE BAJA TENSIÓN ARMADOS</t>
        </is>
      </c>
    </row>
    <row r="20" ht="20" customHeight="1">
      <c r="A20" s="350" t="n">
        <v>11</v>
      </c>
      <c r="B20" s="351" t="inlineStr">
        <is>
          <t>3.1</t>
        </is>
      </c>
      <c r="C20" s="352" t="inlineStr">
        <is>
          <t>XLFBT_14365149</t>
        </is>
      </c>
      <c r="D20" s="353" t="inlineStr">
        <is>
          <t>1x300mm² Arm</t>
        </is>
      </c>
      <c r="E20" s="354" t="inlineStr">
        <is>
          <t>Low Voltage Power Cable, 1Ph Uo/U=</t>
        </is>
      </c>
      <c r="F20" s="355" t="inlineStr">
        <is>
          <t>0.6/1 kV</t>
        </is>
      </c>
      <c r="G20" s="321" t="inlineStr">
        <is>
          <t>SI</t>
        </is>
      </c>
      <c r="H20" s="356" t="n">
        <v>700</v>
      </c>
      <c r="I20" s="323" t="n">
        <v>35</v>
      </c>
      <c r="J20" s="324" t="inlineStr">
        <is>
          <t>5%</t>
        </is>
      </c>
      <c r="K20" s="357" t="n">
        <v>735</v>
      </c>
      <c r="L20" s="358" t="inlineStr"/>
    </row>
    <row r="21" ht="20" customHeight="1">
      <c r="A21" s="350" t="n">
        <v>12</v>
      </c>
      <c r="B21" s="351" t="inlineStr">
        <is>
          <t>3.2</t>
        </is>
      </c>
      <c r="C21" s="352" t="inlineStr">
        <is>
          <t>XLFBT_14365147</t>
        </is>
      </c>
      <c r="D21" s="353" t="inlineStr">
        <is>
          <t>1x240mm² Arm</t>
        </is>
      </c>
      <c r="E21" s="354" t="inlineStr">
        <is>
          <t>Low Voltage Power Cable, 1Ph Uo/U=</t>
        </is>
      </c>
      <c r="F21" s="355" t="inlineStr">
        <is>
          <t>0.6/1 kV</t>
        </is>
      </c>
      <c r="G21" s="321" t="inlineStr">
        <is>
          <t>SI</t>
        </is>
      </c>
      <c r="H21" s="356" t="n">
        <v>960</v>
      </c>
      <c r="I21" s="323" t="n">
        <v>48</v>
      </c>
      <c r="J21" s="324" t="inlineStr">
        <is>
          <t>5%</t>
        </is>
      </c>
      <c r="K21" s="357" t="n">
        <v>1008</v>
      </c>
      <c r="L21" s="358" t="inlineStr"/>
    </row>
    <row r="22" ht="20" customHeight="1">
      <c r="A22" s="350" t="n">
        <v>13</v>
      </c>
      <c r="B22" s="351" t="inlineStr">
        <is>
          <t>3.3</t>
        </is>
      </c>
      <c r="C22" s="352" t="inlineStr">
        <is>
          <t>XLFBT_14369622</t>
        </is>
      </c>
      <c r="D22" s="353" t="inlineStr">
        <is>
          <t>3x2.5mm² Arm</t>
        </is>
      </c>
      <c r="E22" s="354" t="inlineStr">
        <is>
          <t>Low Voltage Power Cable, 1Ph+N+PE Uo/U=</t>
        </is>
      </c>
      <c r="F22" s="355" t="inlineStr">
        <is>
          <t>0.6/1 kV</t>
        </is>
      </c>
      <c r="G22" s="321" t="inlineStr">
        <is>
          <t>SI</t>
        </is>
      </c>
      <c r="H22" s="356" t="n">
        <v>3050</v>
      </c>
      <c r="I22" s="323" t="n">
        <v>305</v>
      </c>
      <c r="J22" s="324" t="inlineStr">
        <is>
          <t>10%</t>
        </is>
      </c>
      <c r="K22" s="357" t="n">
        <v>3355</v>
      </c>
      <c r="L22" s="358" t="inlineStr"/>
    </row>
    <row r="23" ht="20" customHeight="1">
      <c r="A23" s="350" t="n">
        <v>14</v>
      </c>
      <c r="B23" s="351" t="inlineStr">
        <is>
          <t>3.4</t>
        </is>
      </c>
      <c r="C23" s="352" t="inlineStr">
        <is>
          <t>XLFBT_14369635</t>
        </is>
      </c>
      <c r="D23" s="353" t="inlineStr">
        <is>
          <t>3x4mm² Arm</t>
        </is>
      </c>
      <c r="E23" s="354" t="inlineStr">
        <is>
          <t>Low Voltage Power Cable, 1Ph+N+PE Uo/U=</t>
        </is>
      </c>
      <c r="F23" s="355" t="inlineStr">
        <is>
          <t>0.6/1 kV</t>
        </is>
      </c>
      <c r="G23" s="321" t="inlineStr">
        <is>
          <t>SI</t>
        </is>
      </c>
      <c r="H23" s="356" t="n">
        <v>300</v>
      </c>
      <c r="I23" s="323" t="n">
        <v>30</v>
      </c>
      <c r="J23" s="324" t="inlineStr">
        <is>
          <t>10%</t>
        </is>
      </c>
      <c r="K23" s="357" t="n">
        <v>330</v>
      </c>
      <c r="L23" s="358" t="inlineStr"/>
    </row>
    <row r="24" ht="20" customHeight="1">
      <c r="A24" s="350" t="n">
        <v>15</v>
      </c>
      <c r="B24" s="351" t="inlineStr">
        <is>
          <t>3.5</t>
        </is>
      </c>
      <c r="C24" s="352" t="inlineStr">
        <is>
          <t>XLFBT_14368195</t>
        </is>
      </c>
      <c r="D24" s="353" t="inlineStr">
        <is>
          <t>2x4mm² Arm</t>
        </is>
      </c>
      <c r="E24" s="354" t="inlineStr">
        <is>
          <t>Low Voltage Power Cable, 1Ph+N Uo/U=</t>
        </is>
      </c>
      <c r="F24" s="355" t="inlineStr">
        <is>
          <t>0.6/1 kV</t>
        </is>
      </c>
      <c r="G24" s="321" t="inlineStr">
        <is>
          <t>SI</t>
        </is>
      </c>
      <c r="H24" s="356" t="n">
        <v>6760</v>
      </c>
      <c r="I24" s="323" t="n">
        <v>676</v>
      </c>
      <c r="J24" s="324" t="inlineStr">
        <is>
          <t>10%</t>
        </is>
      </c>
      <c r="K24" s="357" t="n">
        <v>7436</v>
      </c>
      <c r="L24" s="358" t="inlineStr"/>
    </row>
    <row r="25" ht="20" customHeight="1">
      <c r="A25" s="350" t="n">
        <v>16</v>
      </c>
      <c r="B25" s="351" t="inlineStr">
        <is>
          <t>3.6</t>
        </is>
      </c>
      <c r="C25" s="352" t="inlineStr">
        <is>
          <t>XLFBT_14368078</t>
        </is>
      </c>
      <c r="D25" s="353" t="inlineStr">
        <is>
          <t>2x6mm² Arm</t>
        </is>
      </c>
      <c r="E25" s="354" t="inlineStr">
        <is>
          <t>Low Voltage Power Cable, 1Ph+N Uo/U=</t>
        </is>
      </c>
      <c r="F25" s="355" t="inlineStr">
        <is>
          <t>0.6/1 kV</t>
        </is>
      </c>
      <c r="G25" s="321" t="inlineStr">
        <is>
          <t>SI</t>
        </is>
      </c>
      <c r="H25" s="356" t="n">
        <v>3420</v>
      </c>
      <c r="I25" s="323" t="n">
        <v>342</v>
      </c>
      <c r="J25" s="324" t="inlineStr">
        <is>
          <t>10%</t>
        </is>
      </c>
      <c r="K25" s="357" t="n">
        <v>3762</v>
      </c>
      <c r="L25" s="358" t="inlineStr"/>
    </row>
    <row r="26" ht="20" customHeight="1">
      <c r="A26" s="350" t="n">
        <v>17</v>
      </c>
      <c r="B26" s="351" t="inlineStr">
        <is>
          <t>3.7</t>
        </is>
      </c>
      <c r="C26" s="352" t="inlineStr">
        <is>
          <t>XLFBT_14369504</t>
        </is>
      </c>
      <c r="D26" s="353" t="inlineStr">
        <is>
          <t>3x25mm² Arm</t>
        </is>
      </c>
      <c r="E26" s="354" t="inlineStr">
        <is>
          <t>Low Voltage Power Cable, 1Ph+N+PE Uo/U=</t>
        </is>
      </c>
      <c r="F26" s="355" t="inlineStr">
        <is>
          <t>0.6/1 kV</t>
        </is>
      </c>
      <c r="G26" s="321" t="inlineStr">
        <is>
          <t>SI</t>
        </is>
      </c>
      <c r="H26" s="356" t="n">
        <v>380</v>
      </c>
      <c r="I26" s="323" t="n">
        <v>30.4</v>
      </c>
      <c r="J26" s="324" t="inlineStr">
        <is>
          <t>8%</t>
        </is>
      </c>
      <c r="K26" s="357" t="n">
        <v>410.4</v>
      </c>
      <c r="L26" s="358" t="inlineStr"/>
    </row>
    <row r="27" ht="20" customHeight="1">
      <c r="A27" s="350" t="n">
        <v>18</v>
      </c>
      <c r="B27" s="351" t="inlineStr">
        <is>
          <t>3.8</t>
        </is>
      </c>
      <c r="C27" s="352" t="inlineStr">
        <is>
          <t>XLFBT_14366587</t>
        </is>
      </c>
      <c r="D27" s="353" t="inlineStr">
        <is>
          <t>3x4mm² Arm</t>
        </is>
      </c>
      <c r="E27" s="354" t="inlineStr">
        <is>
          <t>Low Voltage Power Cable, 3Ph Uo/U=</t>
        </is>
      </c>
      <c r="F27" s="355" t="inlineStr">
        <is>
          <t>0.6/1 kV</t>
        </is>
      </c>
      <c r="G27" s="321" t="inlineStr">
        <is>
          <t>SI</t>
        </is>
      </c>
      <c r="H27" s="356" t="n">
        <v>300</v>
      </c>
      <c r="I27" s="323" t="n">
        <v>30</v>
      </c>
      <c r="J27" s="324" t="inlineStr">
        <is>
          <t>10%</t>
        </is>
      </c>
      <c r="K27" s="357" t="n">
        <v>330</v>
      </c>
      <c r="L27" s="358" t="inlineStr"/>
    </row>
    <row r="28" ht="20" customHeight="1">
      <c r="A28" s="350" t="n">
        <v>19</v>
      </c>
      <c r="B28" s="351" t="inlineStr">
        <is>
          <t>3.9</t>
        </is>
      </c>
      <c r="C28" s="352" t="inlineStr">
        <is>
          <t>XLFBT_14366590</t>
        </is>
      </c>
      <c r="D28" s="353" t="inlineStr">
        <is>
          <t>3x6mm² Arm</t>
        </is>
      </c>
      <c r="E28" s="354" t="inlineStr">
        <is>
          <t>Low Voltage Power Cable, 3Ph Uo/U=</t>
        </is>
      </c>
      <c r="F28" s="355" t="inlineStr">
        <is>
          <t>0.6/1 kV</t>
        </is>
      </c>
      <c r="G28" s="321" t="inlineStr">
        <is>
          <t>SI</t>
        </is>
      </c>
      <c r="H28" s="356" t="n">
        <v>2920</v>
      </c>
      <c r="I28" s="323" t="n">
        <v>292</v>
      </c>
      <c r="J28" s="324" t="inlineStr">
        <is>
          <t>10%</t>
        </is>
      </c>
      <c r="K28" s="357" t="n">
        <v>3212</v>
      </c>
      <c r="L28" s="358" t="inlineStr"/>
    </row>
    <row r="29" ht="20" customHeight="1">
      <c r="A29" s="350" t="n">
        <v>20</v>
      </c>
      <c r="B29" s="351" t="inlineStr">
        <is>
          <t>3.10</t>
        </is>
      </c>
      <c r="C29" s="352" t="inlineStr">
        <is>
          <t>XLFBT_14366614</t>
        </is>
      </c>
      <c r="D29" s="353" t="inlineStr">
        <is>
          <t>3x6mm² Arm</t>
        </is>
      </c>
      <c r="E29" s="354" t="inlineStr">
        <is>
          <t>Low Voltage Power Cable, 3Ph Uo/U=</t>
        </is>
      </c>
      <c r="F29" s="355" t="inlineStr">
        <is>
          <t>0.6/1 kV</t>
        </is>
      </c>
      <c r="G29" s="321" t="inlineStr">
        <is>
          <t>SI</t>
        </is>
      </c>
      <c r="H29" s="356" t="n">
        <v>150</v>
      </c>
      <c r="I29" s="323" t="n">
        <v>22.5</v>
      </c>
      <c r="J29" s="324" t="inlineStr">
        <is>
          <t>15%</t>
        </is>
      </c>
      <c r="K29" s="357" t="n">
        <v>172.5</v>
      </c>
      <c r="L29" s="358" t="inlineStr"/>
    </row>
    <row r="30" ht="20" customHeight="1">
      <c r="A30" s="350" t="n">
        <v>21</v>
      </c>
      <c r="B30" s="351" t="inlineStr">
        <is>
          <t>3.11</t>
        </is>
      </c>
      <c r="C30" s="352" t="inlineStr">
        <is>
          <t>XLFBT_14366569</t>
        </is>
      </c>
      <c r="D30" s="353" t="inlineStr">
        <is>
          <t>3x10mm² Arm</t>
        </is>
      </c>
      <c r="E30" s="354" t="inlineStr">
        <is>
          <t>Low Voltage Power Cable, 3Ph Uo/U=</t>
        </is>
      </c>
      <c r="F30" s="355" t="inlineStr">
        <is>
          <t>0.6/1 kV</t>
        </is>
      </c>
      <c r="G30" s="321" t="inlineStr">
        <is>
          <t>SI</t>
        </is>
      </c>
      <c r="H30" s="356" t="n">
        <v>780</v>
      </c>
      <c r="I30" s="323" t="n">
        <v>62.4</v>
      </c>
      <c r="J30" s="324" t="inlineStr">
        <is>
          <t>8%</t>
        </is>
      </c>
      <c r="K30" s="357" t="n">
        <v>842.4</v>
      </c>
      <c r="L30" s="358" t="inlineStr"/>
    </row>
    <row r="31" ht="20" customHeight="1">
      <c r="A31" s="350" t="n">
        <v>22</v>
      </c>
      <c r="B31" s="351" t="inlineStr">
        <is>
          <t>3.12</t>
        </is>
      </c>
      <c r="C31" s="352" t="inlineStr">
        <is>
          <t>XLFBT_14366593</t>
        </is>
      </c>
      <c r="D31" s="353" t="inlineStr">
        <is>
          <t>3x10mm² Arm</t>
        </is>
      </c>
      <c r="E31" s="354" t="inlineStr">
        <is>
          <t>Low Voltage Power Cable, 3Ph Uo/U=</t>
        </is>
      </c>
      <c r="F31" s="355" t="inlineStr">
        <is>
          <t>0.6/1 kV</t>
        </is>
      </c>
      <c r="G31" s="321" t="inlineStr">
        <is>
          <t>SI</t>
        </is>
      </c>
      <c r="H31" s="356" t="n">
        <v>1120</v>
      </c>
      <c r="I31" s="323" t="n">
        <v>89.60000000000001</v>
      </c>
      <c r="J31" s="324" t="inlineStr">
        <is>
          <t>8%</t>
        </is>
      </c>
      <c r="K31" s="357" t="n">
        <v>1209.6</v>
      </c>
      <c r="L31" s="358" t="inlineStr"/>
    </row>
    <row r="32" ht="20" customHeight="1">
      <c r="A32" s="350" t="n">
        <v>23</v>
      </c>
      <c r="B32" s="351" t="inlineStr">
        <is>
          <t>3.13</t>
        </is>
      </c>
      <c r="C32" s="352" t="inlineStr">
        <is>
          <t>XLFBT_14366572</t>
        </is>
      </c>
      <c r="D32" s="353" t="inlineStr">
        <is>
          <t>3x16mm² Arm</t>
        </is>
      </c>
      <c r="E32" s="354" t="inlineStr">
        <is>
          <t>Low Voltage Power Cable, 3Ph Uo/U=</t>
        </is>
      </c>
      <c r="F32" s="355" t="inlineStr">
        <is>
          <t>0.6/1 kV</t>
        </is>
      </c>
      <c r="G32" s="321" t="inlineStr">
        <is>
          <t>SI</t>
        </is>
      </c>
      <c r="H32" s="356" t="n">
        <v>3230</v>
      </c>
      <c r="I32" s="323" t="n">
        <v>258.4</v>
      </c>
      <c r="J32" s="324" t="inlineStr">
        <is>
          <t>8%</t>
        </is>
      </c>
      <c r="K32" s="357" t="n">
        <v>3488.4</v>
      </c>
      <c r="L32" s="358" t="inlineStr"/>
    </row>
    <row r="33" ht="20" customHeight="1">
      <c r="A33" s="350" t="n">
        <v>24</v>
      </c>
      <c r="B33" s="351" t="inlineStr">
        <is>
          <t>3.14</t>
        </is>
      </c>
      <c r="C33" s="352" t="inlineStr">
        <is>
          <t>XLFBT_14370984</t>
        </is>
      </c>
      <c r="D33" s="353" t="inlineStr">
        <is>
          <t>4x25mm² Arm</t>
        </is>
      </c>
      <c r="E33" s="354" t="inlineStr">
        <is>
          <t>Low Voltage Power Cable, 3Ph+PE Uo/U=</t>
        </is>
      </c>
      <c r="F33" s="355" t="inlineStr">
        <is>
          <t>0.6/1 kV</t>
        </is>
      </c>
      <c r="G33" s="321" t="inlineStr">
        <is>
          <t>SI</t>
        </is>
      </c>
      <c r="H33" s="356" t="n">
        <v>570</v>
      </c>
      <c r="I33" s="323" t="n">
        <v>45.6</v>
      </c>
      <c r="J33" s="324" t="inlineStr">
        <is>
          <t>8%</t>
        </is>
      </c>
      <c r="K33" s="357" t="n">
        <v>615.6</v>
      </c>
      <c r="L33" s="358" t="inlineStr"/>
    </row>
    <row r="34" ht="20" customHeight="1">
      <c r="A34" s="350" t="n">
        <v>25</v>
      </c>
      <c r="B34" s="351" t="inlineStr">
        <is>
          <t>3.15</t>
        </is>
      </c>
      <c r="C34" s="352" t="inlineStr">
        <is>
          <t>XLFBT_14366578</t>
        </is>
      </c>
      <c r="D34" s="353" t="inlineStr">
        <is>
          <t>3x35mm² Arm</t>
        </is>
      </c>
      <c r="E34" s="354" t="inlineStr">
        <is>
          <t>Low Voltage Power Cable, 3Ph Uo/U=</t>
        </is>
      </c>
      <c r="F34" s="355" t="inlineStr">
        <is>
          <t>0.6/1 kV</t>
        </is>
      </c>
      <c r="G34" s="321" t="inlineStr">
        <is>
          <t>SI</t>
        </is>
      </c>
      <c r="H34" s="356" t="n">
        <v>2160</v>
      </c>
      <c r="I34" s="323" t="n">
        <v>172.8</v>
      </c>
      <c r="J34" s="324" t="inlineStr">
        <is>
          <t>8%</t>
        </is>
      </c>
      <c r="K34" s="357" t="n">
        <v>2332.8</v>
      </c>
      <c r="L34" s="358" t="inlineStr"/>
    </row>
    <row r="35" ht="20" customHeight="1">
      <c r="A35" s="350" t="n">
        <v>26</v>
      </c>
      <c r="B35" s="351" t="inlineStr">
        <is>
          <t>3.16</t>
        </is>
      </c>
      <c r="C35" s="352" t="inlineStr">
        <is>
          <t>XLFBT_14366602</t>
        </is>
      </c>
      <c r="D35" s="353" t="inlineStr">
        <is>
          <t>3x35mm² Arm</t>
        </is>
      </c>
      <c r="E35" s="354" t="inlineStr">
        <is>
          <t>Low Voltage Power Cable, 3Ph Uo/U=</t>
        </is>
      </c>
      <c r="F35" s="355" t="inlineStr">
        <is>
          <t>0.6/1 kV</t>
        </is>
      </c>
      <c r="G35" s="321" t="inlineStr">
        <is>
          <t>SI</t>
        </is>
      </c>
      <c r="H35" s="356" t="n">
        <v>1120</v>
      </c>
      <c r="I35" s="323" t="n">
        <v>89.60000000000001</v>
      </c>
      <c r="J35" s="324" t="inlineStr">
        <is>
          <t>8%</t>
        </is>
      </c>
      <c r="K35" s="357" t="n">
        <v>1209.6</v>
      </c>
      <c r="L35" s="358" t="inlineStr"/>
    </row>
    <row r="36" ht="20" customHeight="1">
      <c r="A36" s="350" t="n">
        <v>27</v>
      </c>
      <c r="B36" s="351" t="inlineStr">
        <is>
          <t>3.17</t>
        </is>
      </c>
      <c r="C36" s="352" t="inlineStr">
        <is>
          <t>XLFBT_14366589</t>
        </is>
      </c>
      <c r="D36" s="353" t="inlineStr">
        <is>
          <t>3x50mm² Arm</t>
        </is>
      </c>
      <c r="E36" s="354" t="inlineStr">
        <is>
          <t>Low Voltage Power Cable, 3Ph Uo/U=</t>
        </is>
      </c>
      <c r="F36" s="355" t="inlineStr">
        <is>
          <t>0.6/1 kV</t>
        </is>
      </c>
      <c r="G36" s="321" t="inlineStr">
        <is>
          <t>SI</t>
        </is>
      </c>
      <c r="H36" s="356" t="n">
        <v>2440</v>
      </c>
      <c r="I36" s="323" t="n">
        <v>122</v>
      </c>
      <c r="J36" s="324" t="inlineStr">
        <is>
          <t>5%</t>
        </is>
      </c>
      <c r="K36" s="357" t="n">
        <v>2562</v>
      </c>
      <c r="L36" s="358" t="inlineStr"/>
    </row>
    <row r="37" ht="20" customHeight="1">
      <c r="A37" s="350" t="n">
        <v>28</v>
      </c>
      <c r="B37" s="351" t="inlineStr">
        <is>
          <t>3.18</t>
        </is>
      </c>
      <c r="C37" s="352" t="inlineStr">
        <is>
          <t>XLFBT_14370997</t>
        </is>
      </c>
      <c r="D37" s="353" t="inlineStr">
        <is>
          <t>4x50mm² Arm</t>
        </is>
      </c>
      <c r="E37" s="354" t="inlineStr">
        <is>
          <t>Low Voltage Power Cable, 3Ph+PE Uo/U=</t>
        </is>
      </c>
      <c r="F37" s="355" t="inlineStr">
        <is>
          <t>0.6/1 kV</t>
        </is>
      </c>
      <c r="G37" s="321" t="inlineStr">
        <is>
          <t>SI</t>
        </is>
      </c>
      <c r="H37" s="356" t="n">
        <v>570</v>
      </c>
      <c r="I37" s="323" t="n">
        <v>28.5</v>
      </c>
      <c r="J37" s="324" t="inlineStr">
        <is>
          <t>5%</t>
        </is>
      </c>
      <c r="K37" s="357" t="n">
        <v>598.5</v>
      </c>
      <c r="L37" s="358" t="inlineStr"/>
    </row>
    <row r="38" ht="20" customHeight="1">
      <c r="A38" s="350" t="n">
        <v>29</v>
      </c>
      <c r="B38" s="351" t="inlineStr">
        <is>
          <t>3.19</t>
        </is>
      </c>
      <c r="C38" s="352" t="inlineStr">
        <is>
          <t>XLFBT_14366613</t>
        </is>
      </c>
      <c r="D38" s="353" t="inlineStr">
        <is>
          <t>3x50mm² Arm</t>
        </is>
      </c>
      <c r="E38" s="354" t="inlineStr">
        <is>
          <t>Low Voltage Power Cable, 3Ph Uo/U=</t>
        </is>
      </c>
      <c r="F38" s="355" t="inlineStr">
        <is>
          <t>0.6/1 kV</t>
        </is>
      </c>
      <c r="G38" s="321" t="inlineStr">
        <is>
          <t>SI</t>
        </is>
      </c>
      <c r="H38" s="356" t="n">
        <v>690</v>
      </c>
      <c r="I38" s="323" t="n">
        <v>34.5</v>
      </c>
      <c r="J38" s="324" t="inlineStr">
        <is>
          <t>5%</t>
        </is>
      </c>
      <c r="K38" s="357" t="n">
        <v>724.5</v>
      </c>
      <c r="L38" s="358" t="inlineStr"/>
    </row>
    <row r="39" ht="20" customHeight="1">
      <c r="A39" s="350" t="n">
        <v>30</v>
      </c>
      <c r="B39" s="351" t="inlineStr">
        <is>
          <t>3.20</t>
        </is>
      </c>
      <c r="C39" s="352" t="inlineStr">
        <is>
          <t>XLFBT_14366575</t>
        </is>
      </c>
      <c r="D39" s="353" t="inlineStr">
        <is>
          <t>3x240mm² Arm</t>
        </is>
      </c>
      <c r="E39" s="354" t="inlineStr">
        <is>
          <t>Low Voltage Power Cable, 3Ph Uo/U=</t>
        </is>
      </c>
      <c r="F39" s="355" t="inlineStr">
        <is>
          <t>0.6/1 kV</t>
        </is>
      </c>
      <c r="G39" s="321" t="inlineStr">
        <is>
          <t>SI</t>
        </is>
      </c>
      <c r="H39" s="356" t="n">
        <v>2550</v>
      </c>
      <c r="I39" s="323" t="n">
        <v>127.5</v>
      </c>
      <c r="J39" s="324" t="inlineStr">
        <is>
          <t>5%</t>
        </is>
      </c>
      <c r="K39" s="357" t="n">
        <v>2677.5</v>
      </c>
      <c r="L39" s="358" t="inlineStr"/>
    </row>
    <row r="40" ht="20" customHeight="1">
      <c r="A40" s="350" t="n">
        <v>31</v>
      </c>
      <c r="B40" s="351" t="inlineStr">
        <is>
          <t>3.21</t>
        </is>
      </c>
      <c r="C40" s="352" t="inlineStr">
        <is>
          <t>XLFBT_14366599</t>
        </is>
      </c>
      <c r="D40" s="353" t="inlineStr">
        <is>
          <t>3x240mm² Arm</t>
        </is>
      </c>
      <c r="E40" s="354" t="inlineStr">
        <is>
          <t>Low Voltage Power Cable, 3Ph Uo/U=</t>
        </is>
      </c>
      <c r="F40" s="355" t="inlineStr">
        <is>
          <t>0.6/1 kV</t>
        </is>
      </c>
      <c r="G40" s="321" t="inlineStr">
        <is>
          <t>SI</t>
        </is>
      </c>
      <c r="H40" s="356" t="n">
        <v>1500</v>
      </c>
      <c r="I40" s="323" t="n">
        <v>75</v>
      </c>
      <c r="J40" s="324" t="inlineStr">
        <is>
          <t>5%</t>
        </is>
      </c>
      <c r="K40" s="357" t="n">
        <v>1575</v>
      </c>
      <c r="L40" s="358" t="inlineStr"/>
    </row>
    <row r="41" ht="20" customHeight="1">
      <c r="A41" s="350" t="n">
        <v>32</v>
      </c>
      <c r="B41" s="351" t="inlineStr">
        <is>
          <t>3.22</t>
        </is>
      </c>
      <c r="C41" s="352" t="inlineStr">
        <is>
          <t>XLFBT_14372552</t>
        </is>
      </c>
      <c r="D41" s="353" t="inlineStr">
        <is>
          <t>4x4mm² Arm</t>
        </is>
      </c>
      <c r="E41" s="354" t="inlineStr">
        <is>
          <t>Low Voltage Power Cable, 3Ph+N Uo/U=</t>
        </is>
      </c>
      <c r="F41" s="355" t="inlineStr">
        <is>
          <t>0.6/1 kV</t>
        </is>
      </c>
      <c r="G41" s="321" t="inlineStr">
        <is>
          <t>SI</t>
        </is>
      </c>
      <c r="H41" s="356" t="n">
        <v>3880</v>
      </c>
      <c r="I41" s="323" t="n">
        <v>388</v>
      </c>
      <c r="J41" s="324" t="inlineStr">
        <is>
          <t>10%</t>
        </is>
      </c>
      <c r="K41" s="357" t="n">
        <v>4268</v>
      </c>
      <c r="L41" s="358" t="inlineStr"/>
    </row>
    <row r="42" ht="20" customHeight="1">
      <c r="A42" s="350" t="n">
        <v>33</v>
      </c>
      <c r="B42" s="351" t="inlineStr">
        <is>
          <t>3.23</t>
        </is>
      </c>
      <c r="C42" s="352" t="inlineStr">
        <is>
          <t>XLFBT_14373977</t>
        </is>
      </c>
      <c r="D42" s="353" t="inlineStr">
        <is>
          <t>5x4mm² Arm</t>
        </is>
      </c>
      <c r="E42" s="354" t="inlineStr">
        <is>
          <t>Low Voltage Power Cable, 3Ph+N+PE Uo/U=</t>
        </is>
      </c>
      <c r="F42" s="355" t="inlineStr">
        <is>
          <t>0.6/1 kV</t>
        </is>
      </c>
      <c r="G42" s="321" t="inlineStr">
        <is>
          <t>SI</t>
        </is>
      </c>
      <c r="H42" s="356" t="n">
        <v>1375</v>
      </c>
      <c r="I42" s="323" t="n">
        <v>137.5</v>
      </c>
      <c r="J42" s="324" t="inlineStr">
        <is>
          <t>10%</t>
        </is>
      </c>
      <c r="K42" s="357" t="n">
        <v>1512.5</v>
      </c>
      <c r="L42" s="358" t="inlineStr"/>
    </row>
    <row r="43" ht="20" customHeight="1">
      <c r="A43" s="350" t="n">
        <v>34</v>
      </c>
      <c r="B43" s="351" t="inlineStr">
        <is>
          <t>3.24</t>
        </is>
      </c>
      <c r="C43" s="352" t="inlineStr">
        <is>
          <t>XLFBT_14372533</t>
        </is>
      </c>
      <c r="D43" s="353" t="inlineStr">
        <is>
          <t>4x10mm² Arm</t>
        </is>
      </c>
      <c r="E43" s="354" t="inlineStr">
        <is>
          <t>Low Voltage Power Cable, 3Ph+N Uo/U=</t>
        </is>
      </c>
      <c r="F43" s="355" t="inlineStr">
        <is>
          <t>0.6/1 kV</t>
        </is>
      </c>
      <c r="G43" s="321" t="inlineStr">
        <is>
          <t>SI</t>
        </is>
      </c>
      <c r="H43" s="356" t="n">
        <v>940</v>
      </c>
      <c r="I43" s="323" t="n">
        <v>75.2</v>
      </c>
      <c r="J43" s="324" t="inlineStr">
        <is>
          <t>8%</t>
        </is>
      </c>
      <c r="K43" s="357" t="n">
        <v>1015.2</v>
      </c>
      <c r="L43" s="358" t="inlineStr"/>
    </row>
    <row r="44" ht="20" customHeight="1">
      <c r="A44" s="350" t="n">
        <v>35</v>
      </c>
      <c r="B44" s="351" t="inlineStr">
        <is>
          <t>3.25</t>
        </is>
      </c>
      <c r="C44" s="352" t="inlineStr">
        <is>
          <t>XLFBT_14373958</t>
        </is>
      </c>
      <c r="D44" s="353" t="inlineStr">
        <is>
          <t>5x10mm² Arm</t>
        </is>
      </c>
      <c r="E44" s="354" t="inlineStr">
        <is>
          <t>Low Voltage Power Cable, 3Ph+N+PE Uo/U=</t>
        </is>
      </c>
      <c r="F44" s="355" t="inlineStr">
        <is>
          <t>0.6/1 kV</t>
        </is>
      </c>
      <c r="G44" s="321" t="inlineStr">
        <is>
          <t>SI</t>
        </is>
      </c>
      <c r="H44" s="356" t="n">
        <v>2780</v>
      </c>
      <c r="I44" s="323" t="n">
        <v>222.4</v>
      </c>
      <c r="J44" s="324" t="inlineStr">
        <is>
          <t>8%</t>
        </is>
      </c>
      <c r="K44" s="357" t="n">
        <v>3002.4</v>
      </c>
      <c r="L44" s="358" t="inlineStr"/>
    </row>
    <row r="45" ht="20" customHeight="1">
      <c r="A45" s="350" t="n">
        <v>36</v>
      </c>
      <c r="B45" s="351" t="inlineStr">
        <is>
          <t>3.26</t>
        </is>
      </c>
      <c r="C45" s="352" t="inlineStr">
        <is>
          <t>XLFBT_14372547</t>
        </is>
      </c>
      <c r="D45" s="353" t="inlineStr">
        <is>
          <t>4x3x25/16mm² Arm</t>
        </is>
      </c>
      <c r="E45" s="354" t="inlineStr">
        <is>
          <t>Low Voltage Power Cable, 3Ph+N Uo/U=</t>
        </is>
      </c>
      <c r="F45" s="355" t="inlineStr">
        <is>
          <t>0.6/1 kV</t>
        </is>
      </c>
      <c r="G45" s="321" t="inlineStr">
        <is>
          <t>SI</t>
        </is>
      </c>
      <c r="H45" s="356" t="n">
        <v>590</v>
      </c>
      <c r="I45" s="323" t="n">
        <v>47.2</v>
      </c>
      <c r="J45" s="324" t="inlineStr">
        <is>
          <t>8%</t>
        </is>
      </c>
      <c r="K45" s="357" t="n">
        <v>637.2</v>
      </c>
      <c r="L45" s="358" t="inlineStr"/>
    </row>
    <row r="46" ht="20" customHeight="1">
      <c r="A46" s="350" t="n">
        <v>37</v>
      </c>
      <c r="B46" s="351" t="inlineStr">
        <is>
          <t>3.27</t>
        </is>
      </c>
      <c r="C46" s="352" t="inlineStr">
        <is>
          <t>XLFBT_14373972</t>
        </is>
      </c>
      <c r="D46" s="353" t="inlineStr">
        <is>
          <t>5x3x25/16mm² Arm</t>
        </is>
      </c>
      <c r="E46" s="354" t="inlineStr">
        <is>
          <t>Low Voltage Power Cable, 3Ph+N+PE Uo/U=</t>
        </is>
      </c>
      <c r="F46" s="355" t="inlineStr">
        <is>
          <t>0.6/1 kV</t>
        </is>
      </c>
      <c r="G46" s="321" t="inlineStr">
        <is>
          <t>SI</t>
        </is>
      </c>
      <c r="H46" s="356" t="n">
        <v>1200</v>
      </c>
      <c r="I46" s="323" t="n">
        <v>96</v>
      </c>
      <c r="J46" s="324" t="inlineStr">
        <is>
          <t>8%</t>
        </is>
      </c>
      <c r="K46" s="357" t="n">
        <v>1296</v>
      </c>
      <c r="L46" s="358" t="inlineStr"/>
    </row>
    <row r="47" ht="20" customHeight="1">
      <c r="A47" s="350" t="n">
        <v>38</v>
      </c>
      <c r="B47" s="351" t="inlineStr">
        <is>
          <t>3.28</t>
        </is>
      </c>
      <c r="C47" s="352" t="inlineStr">
        <is>
          <t>XLFBT_14372548</t>
        </is>
      </c>
      <c r="D47" s="353" t="inlineStr">
        <is>
          <t>4x3x35/16mm² Arm</t>
        </is>
      </c>
      <c r="E47" s="354" t="inlineStr">
        <is>
          <t>Low Voltage Power Cable, 3Ph+N Uo/U=</t>
        </is>
      </c>
      <c r="F47" s="355" t="inlineStr">
        <is>
          <t>0.6/1 kV</t>
        </is>
      </c>
      <c r="G47" s="321" t="inlineStr">
        <is>
          <t>SI</t>
        </is>
      </c>
      <c r="H47" s="356" t="n">
        <v>400</v>
      </c>
      <c r="I47" s="323" t="n">
        <v>32</v>
      </c>
      <c r="J47" s="324" t="inlineStr">
        <is>
          <t>8%</t>
        </is>
      </c>
      <c r="K47" s="357" t="n">
        <v>432</v>
      </c>
      <c r="L47" s="358" t="inlineStr"/>
    </row>
    <row r="48" ht="20" customHeight="1">
      <c r="A48" s="350" t="n">
        <v>39</v>
      </c>
      <c r="B48" s="351" t="inlineStr">
        <is>
          <t>3.29</t>
        </is>
      </c>
      <c r="C48" s="352" t="inlineStr">
        <is>
          <t>XLFBT_14372549</t>
        </is>
      </c>
      <c r="D48" s="353" t="inlineStr">
        <is>
          <t>4x3x50/25mm² Arm</t>
        </is>
      </c>
      <c r="E48" s="354" t="inlineStr">
        <is>
          <t>Low Voltage Power Cable, 3Ph+N Uo/U=</t>
        </is>
      </c>
      <c r="F48" s="355" t="inlineStr">
        <is>
          <t>0.6/1 kV</t>
        </is>
      </c>
      <c r="G48" s="321" t="inlineStr">
        <is>
          <t>SI</t>
        </is>
      </c>
      <c r="H48" s="356" t="n">
        <v>60</v>
      </c>
      <c r="I48" s="323" t="n">
        <v>6</v>
      </c>
      <c r="J48" s="324" t="inlineStr">
        <is>
          <t>10%</t>
        </is>
      </c>
      <c r="K48" s="357" t="n">
        <v>66</v>
      </c>
      <c r="L48" s="358" t="inlineStr"/>
    </row>
    <row r="49" ht="20" customHeight="1">
      <c r="A49" s="350" t="n">
        <v>40</v>
      </c>
      <c r="B49" s="351" t="inlineStr">
        <is>
          <t>3.30</t>
        </is>
      </c>
      <c r="C49" s="352" t="inlineStr">
        <is>
          <t>XLFBT_14372550</t>
        </is>
      </c>
      <c r="D49" s="353" t="inlineStr">
        <is>
          <t>4x3x70/35mm² Arm</t>
        </is>
      </c>
      <c r="E49" s="354" t="inlineStr">
        <is>
          <t>Low Voltage Power Cable, 3Ph+N Uo/U=</t>
        </is>
      </c>
      <c r="F49" s="355" t="inlineStr">
        <is>
          <t>0.6/1 kV</t>
        </is>
      </c>
      <c r="G49" s="321" t="inlineStr">
        <is>
          <t>SI</t>
        </is>
      </c>
      <c r="H49" s="356" t="n">
        <v>400</v>
      </c>
      <c r="I49" s="323" t="n">
        <v>20</v>
      </c>
      <c r="J49" s="324" t="inlineStr">
        <is>
          <t>5%</t>
        </is>
      </c>
      <c r="K49" s="357" t="n">
        <v>420</v>
      </c>
      <c r="L49" s="358" t="inlineStr"/>
    </row>
    <row r="50" ht="20" customHeight="1">
      <c r="A50" s="350" t="n">
        <v>41</v>
      </c>
      <c r="B50" s="351" t="inlineStr">
        <is>
          <t>3.31</t>
        </is>
      </c>
      <c r="C50" s="352" t="inlineStr">
        <is>
          <t>XLFBT_14372551</t>
        </is>
      </c>
      <c r="D50" s="353" t="inlineStr">
        <is>
          <t>4x3x95/50mm² Arm</t>
        </is>
      </c>
      <c r="E50" s="354" t="inlineStr">
        <is>
          <t>Low Voltage Power Cable, 3Ph+N Uo/U=</t>
        </is>
      </c>
      <c r="F50" s="355" t="inlineStr">
        <is>
          <t>0.6/1 kV</t>
        </is>
      </c>
      <c r="G50" s="321" t="inlineStr">
        <is>
          <t>SI</t>
        </is>
      </c>
      <c r="H50" s="356" t="n">
        <v>860</v>
      </c>
      <c r="I50" s="323" t="n">
        <v>43</v>
      </c>
      <c r="J50" s="324" t="inlineStr">
        <is>
          <t>5%</t>
        </is>
      </c>
      <c r="K50" s="357" t="n">
        <v>903</v>
      </c>
      <c r="L50" s="358" t="inlineStr"/>
    </row>
    <row r="51" ht="20" customHeight="1">
      <c r="A51" s="350" t="n">
        <v>42</v>
      </c>
      <c r="B51" s="351" t="inlineStr">
        <is>
          <t>3.32</t>
        </is>
      </c>
      <c r="C51" s="352" t="inlineStr">
        <is>
          <t>XLFBT_14372543</t>
        </is>
      </c>
      <c r="D51" s="353" t="inlineStr">
        <is>
          <t>4x3x120/70mm² Arm</t>
        </is>
      </c>
      <c r="E51" s="354" t="inlineStr">
        <is>
          <t>Low Voltage Power Cable, 3Ph+N Uo/U=</t>
        </is>
      </c>
      <c r="F51" s="355" t="inlineStr">
        <is>
          <t>0.6/1 kV</t>
        </is>
      </c>
      <c r="G51" s="321" t="inlineStr">
        <is>
          <t>SI</t>
        </is>
      </c>
      <c r="H51" s="356" t="n">
        <v>4000</v>
      </c>
      <c r="I51" s="323" t="n">
        <v>200</v>
      </c>
      <c r="J51" s="324" t="inlineStr">
        <is>
          <t>5%</t>
        </is>
      </c>
      <c r="K51" s="357" t="n">
        <v>4200</v>
      </c>
      <c r="L51" s="358" t="inlineStr"/>
    </row>
    <row r="52" ht="18" customHeight="1">
      <c r="A52" s="359" t="inlineStr">
        <is>
          <t>Subtotal CABLES DE BAJA TENSIÓN ARMADOS  (32 tipos)</t>
        </is>
      </c>
      <c r="H52" s="360" t="n">
        <v>52155</v>
      </c>
      <c r="I52" s="361" t="n">
        <v>4184.1</v>
      </c>
      <c r="J52" s="362" t="inlineStr">
        <is>
          <t>8%</t>
        </is>
      </c>
      <c r="K52" s="363" t="n">
        <v>56339.1</v>
      </c>
      <c r="L52" s="364" t="inlineStr"/>
    </row>
    <row r="53" ht="22" customHeight="1">
      <c r="A53" s="365" t="inlineStr">
        <is>
          <t xml:space="preserve">  CABLES DE BAJA TENSIÓN RESISTENTES AL FUEGO</t>
        </is>
      </c>
    </row>
    <row r="54" ht="20" customHeight="1">
      <c r="A54" s="366" t="n">
        <v>43</v>
      </c>
      <c r="B54" s="367" t="inlineStr">
        <is>
          <t>4.1</t>
        </is>
      </c>
      <c r="C54" s="368" t="inlineStr">
        <is>
          <t>XLFBT_14369262</t>
        </is>
      </c>
      <c r="D54" s="369" t="inlineStr">
        <is>
          <t>3x2.5mm² RF</t>
        </is>
      </c>
      <c r="E54" s="370" t="inlineStr">
        <is>
          <t>Low Voltage Power Cable, 1Ph+N+PE Uo/U=</t>
        </is>
      </c>
      <c r="F54" s="371" t="inlineStr">
        <is>
          <t>0.6/1 kV</t>
        </is>
      </c>
      <c r="G54" s="321" t="inlineStr">
        <is>
          <t>SI</t>
        </is>
      </c>
      <c r="H54" s="372" t="n">
        <v>2000</v>
      </c>
      <c r="I54" s="323" t="n">
        <v>200</v>
      </c>
      <c r="J54" s="324" t="inlineStr">
        <is>
          <t>10%</t>
        </is>
      </c>
      <c r="K54" s="373" t="n">
        <v>2200</v>
      </c>
      <c r="L54" s="374" t="inlineStr"/>
    </row>
    <row r="55" ht="20" customHeight="1">
      <c r="A55" s="366" t="n">
        <v>44</v>
      </c>
      <c r="B55" s="367" t="inlineStr">
        <is>
          <t>4.2</t>
        </is>
      </c>
      <c r="C55" s="368" t="inlineStr">
        <is>
          <t>XLFBT_14369275</t>
        </is>
      </c>
      <c r="D55" s="369" t="inlineStr">
        <is>
          <t>3x4mm² RF</t>
        </is>
      </c>
      <c r="E55" s="370" t="inlineStr">
        <is>
          <t>Low Voltage Power Cable, 1Ph+N+PE Uo/U=</t>
        </is>
      </c>
      <c r="F55" s="371" t="inlineStr">
        <is>
          <t>0.6/1 kV</t>
        </is>
      </c>
      <c r="G55" s="321" t="inlineStr">
        <is>
          <t>SI</t>
        </is>
      </c>
      <c r="H55" s="372" t="n">
        <v>1310</v>
      </c>
      <c r="I55" s="323" t="n">
        <v>131</v>
      </c>
      <c r="J55" s="324" t="inlineStr">
        <is>
          <t>10%</t>
        </is>
      </c>
      <c r="K55" s="373" t="n">
        <v>1441</v>
      </c>
      <c r="L55" s="374" t="inlineStr"/>
    </row>
    <row r="56" ht="20" customHeight="1">
      <c r="A56" s="366" t="n">
        <v>45</v>
      </c>
      <c r="B56" s="367" t="inlineStr">
        <is>
          <t>4.3</t>
        </is>
      </c>
      <c r="C56" s="368" t="inlineStr">
        <is>
          <t>XLFBT_14369158</t>
        </is>
      </c>
      <c r="D56" s="369" t="inlineStr">
        <is>
          <t>3x6mm² RF</t>
        </is>
      </c>
      <c r="E56" s="370" t="inlineStr">
        <is>
          <t>Low Voltage Power Cable, 1Ph+N+PE Uo/U=</t>
        </is>
      </c>
      <c r="F56" s="371" t="inlineStr">
        <is>
          <t>0.6/1 kV</t>
        </is>
      </c>
      <c r="G56" s="321" t="inlineStr">
        <is>
          <t>SI</t>
        </is>
      </c>
      <c r="H56" s="372" t="n">
        <v>1480</v>
      </c>
      <c r="I56" s="323" t="n">
        <v>148</v>
      </c>
      <c r="J56" s="324" t="inlineStr">
        <is>
          <t>10%</t>
        </is>
      </c>
      <c r="K56" s="373" t="n">
        <v>1628</v>
      </c>
      <c r="L56" s="374" t="inlineStr"/>
    </row>
    <row r="57" ht="20" customHeight="1">
      <c r="A57" s="366" t="n">
        <v>46</v>
      </c>
      <c r="B57" s="367" t="inlineStr">
        <is>
          <t>4.4</t>
        </is>
      </c>
      <c r="C57" s="368" t="inlineStr">
        <is>
          <t>XLFBT_14369137</t>
        </is>
      </c>
      <c r="D57" s="369" t="inlineStr">
        <is>
          <t>3x10mm² RF</t>
        </is>
      </c>
      <c r="E57" s="370" t="inlineStr">
        <is>
          <t>Low Voltage Power Cable, 1Ph+N+PE Uo/U=</t>
        </is>
      </c>
      <c r="F57" s="371" t="inlineStr">
        <is>
          <t>0.6/1 kV</t>
        </is>
      </c>
      <c r="G57" s="321" t="inlineStr">
        <is>
          <t>SI</t>
        </is>
      </c>
      <c r="H57" s="372" t="n">
        <v>550</v>
      </c>
      <c r="I57" s="323" t="n">
        <v>44</v>
      </c>
      <c r="J57" s="324" t="inlineStr">
        <is>
          <t>8%</t>
        </is>
      </c>
      <c r="K57" s="373" t="n">
        <v>594</v>
      </c>
      <c r="L57" s="374" t="inlineStr"/>
    </row>
    <row r="58" ht="20" customHeight="1">
      <c r="A58" s="366" t="n">
        <v>47</v>
      </c>
      <c r="B58" s="367" t="inlineStr">
        <is>
          <t>4.5</t>
        </is>
      </c>
      <c r="C58" s="368" t="inlineStr">
        <is>
          <t>XLFBT_14367741</t>
        </is>
      </c>
      <c r="D58" s="369" t="inlineStr">
        <is>
          <t>2x50mm² RF</t>
        </is>
      </c>
      <c r="E58" s="370" t="inlineStr">
        <is>
          <t>Low Voltage Power Cable, 1Ph+N Uo/U=</t>
        </is>
      </c>
      <c r="F58" s="371" t="inlineStr">
        <is>
          <t>0.6/1 kV</t>
        </is>
      </c>
      <c r="G58" s="321" t="inlineStr">
        <is>
          <t>SI</t>
        </is>
      </c>
      <c r="H58" s="372" t="n">
        <v>60</v>
      </c>
      <c r="I58" s="323" t="n">
        <v>6</v>
      </c>
      <c r="J58" s="324" t="inlineStr">
        <is>
          <t>10%</t>
        </is>
      </c>
      <c r="K58" s="373" t="n">
        <v>66</v>
      </c>
      <c r="L58" s="374" t="inlineStr"/>
    </row>
    <row r="59" ht="20" customHeight="1">
      <c r="A59" s="366" t="n">
        <v>48</v>
      </c>
      <c r="B59" s="367" t="inlineStr">
        <is>
          <t>4.6</t>
        </is>
      </c>
      <c r="C59" s="368" t="inlineStr">
        <is>
          <t>XLFBT_14373608</t>
        </is>
      </c>
      <c r="D59" s="369" t="inlineStr">
        <is>
          <t>5x10mm² RF</t>
        </is>
      </c>
      <c r="E59" s="370" t="inlineStr">
        <is>
          <t>Low Voltage Power Cable, 3Ph+N+PE Uo/U=</t>
        </is>
      </c>
      <c r="F59" s="371" t="inlineStr">
        <is>
          <t>0.6/1 kV</t>
        </is>
      </c>
      <c r="G59" s="321" t="inlineStr">
        <is>
          <t>SI</t>
        </is>
      </c>
      <c r="H59" s="372" t="n">
        <v>1680</v>
      </c>
      <c r="I59" s="323" t="n">
        <v>134.4</v>
      </c>
      <c r="J59" s="324" t="inlineStr">
        <is>
          <t>8%</t>
        </is>
      </c>
      <c r="K59" s="373" t="n">
        <v>1814.4</v>
      </c>
      <c r="L59" s="374" t="inlineStr"/>
    </row>
    <row r="60" ht="18" customHeight="1">
      <c r="A60" s="375" t="inlineStr">
        <is>
          <t>Subtotal CABLES DE BAJA TENSIÓN RESISTENTES AL FUEGO  (6 tipos)</t>
        </is>
      </c>
      <c r="H60" s="376" t="n">
        <v>7080</v>
      </c>
      <c r="I60" s="377" t="n">
        <v>663.4</v>
      </c>
      <c r="J60" s="378" t="inlineStr">
        <is>
          <t>9%</t>
        </is>
      </c>
      <c r="K60" s="379" t="n">
        <v>7743.4</v>
      </c>
      <c r="L60" s="380" t="inlineStr"/>
    </row>
    <row r="61" ht="22" customHeight="1">
      <c r="A61" s="381" t="inlineStr">
        <is>
          <t xml:space="preserve">  CABLES DE COMANDO Y SEÑALES</t>
        </is>
      </c>
    </row>
    <row r="62" ht="20" customHeight="1">
      <c r="A62" s="382" t="n">
        <v>49</v>
      </c>
      <c r="B62" s="383" t="inlineStr">
        <is>
          <t>5.1</t>
        </is>
      </c>
      <c r="C62" s="384" t="inlineStr">
        <is>
          <t>XLFCO_14301417</t>
        </is>
      </c>
      <c r="D62" s="385" t="inlineStr">
        <is>
          <t>2x2.5mm² Arm</t>
        </is>
      </c>
      <c r="E62" s="386" t="inlineStr">
        <is>
          <t>Low Voltage Control Cable 2 conductors Uo/U=</t>
        </is>
      </c>
      <c r="F62" s="387" t="inlineStr">
        <is>
          <t>0.6/1 kV</t>
        </is>
      </c>
      <c r="G62" s="321" t="inlineStr">
        <is>
          <t>SI</t>
        </is>
      </c>
      <c r="H62" s="388" t="n">
        <v>6590</v>
      </c>
      <c r="I62" s="323" t="n">
        <v>527.2</v>
      </c>
      <c r="J62" s="324" t="inlineStr">
        <is>
          <t>8%</t>
        </is>
      </c>
      <c r="K62" s="389" t="n">
        <v>7117.2</v>
      </c>
      <c r="L62" s="390" t="inlineStr"/>
    </row>
    <row r="63" ht="20" customHeight="1">
      <c r="A63" s="382" t="n">
        <v>50</v>
      </c>
      <c r="B63" s="383" t="inlineStr">
        <is>
          <t>5.2</t>
        </is>
      </c>
      <c r="C63" s="384" t="inlineStr">
        <is>
          <t>C515500IGELMCAN001</t>
        </is>
      </c>
      <c r="D63" s="385" t="inlineStr">
        <is>
          <t>2x2.5mm² Arm</t>
        </is>
      </c>
      <c r="E63" s="386" t="inlineStr">
        <is>
          <t>Low Voltage Control Cable 2 conductors+PE Uo/U=</t>
        </is>
      </c>
      <c r="F63" s="387" t="inlineStr">
        <is>
          <t>0.6/1 kV</t>
        </is>
      </c>
      <c r="G63" s="321" t="inlineStr">
        <is>
          <t>SI</t>
        </is>
      </c>
      <c r="H63" s="388" t="n">
        <v>1050</v>
      </c>
      <c r="I63" s="323" t="n">
        <v>84</v>
      </c>
      <c r="J63" s="324" t="inlineStr">
        <is>
          <t>8%</t>
        </is>
      </c>
      <c r="K63" s="389" t="n">
        <v>1134</v>
      </c>
      <c r="L63" s="390" t="inlineStr"/>
    </row>
    <row r="64" ht="20" customHeight="1">
      <c r="A64" s="382" t="n">
        <v>51</v>
      </c>
      <c r="B64" s="383" t="inlineStr">
        <is>
          <t>5.3</t>
        </is>
      </c>
      <c r="C64" s="384" t="inlineStr">
        <is>
          <t>XLFCO_14301736</t>
        </is>
      </c>
      <c r="D64" s="385" t="inlineStr">
        <is>
          <t>3x2.5mm² Arm</t>
        </is>
      </c>
      <c r="E64" s="386" t="inlineStr">
        <is>
          <t>Low Voltage Control Cable 3 conductors Uo/U=</t>
        </is>
      </c>
      <c r="F64" s="387" t="inlineStr">
        <is>
          <t>0.6/1 kV</t>
        </is>
      </c>
      <c r="G64" s="321" t="inlineStr">
        <is>
          <t>SI</t>
        </is>
      </c>
      <c r="H64" s="388" t="n">
        <v>160</v>
      </c>
      <c r="I64" s="323" t="n">
        <v>16</v>
      </c>
      <c r="J64" s="324" t="inlineStr">
        <is>
          <t>10%</t>
        </is>
      </c>
      <c r="K64" s="389" t="n">
        <v>176</v>
      </c>
      <c r="L64" s="390" t="inlineStr"/>
    </row>
    <row r="65" ht="20" customHeight="1">
      <c r="A65" s="382" t="n">
        <v>52</v>
      </c>
      <c r="B65" s="383" t="inlineStr">
        <is>
          <t>5.4</t>
        </is>
      </c>
      <c r="C65" s="384" t="inlineStr">
        <is>
          <t>C515500IGELMCAN002</t>
        </is>
      </c>
      <c r="D65" s="385" t="inlineStr">
        <is>
          <t>3x2.5mm² Arm</t>
        </is>
      </c>
      <c r="E65" s="386" t="inlineStr">
        <is>
          <t>Low Voltage Control Cable 3 conductors+PE Uo/U=</t>
        </is>
      </c>
      <c r="F65" s="387" t="inlineStr">
        <is>
          <t>0.6/1 kV</t>
        </is>
      </c>
      <c r="G65" s="321" t="inlineStr">
        <is>
          <t>SI</t>
        </is>
      </c>
      <c r="H65" s="388" t="n">
        <v>40</v>
      </c>
      <c r="I65" s="323" t="n">
        <v>6</v>
      </c>
      <c r="J65" s="324" t="inlineStr">
        <is>
          <t>15%</t>
        </is>
      </c>
      <c r="K65" s="389" t="n">
        <v>46</v>
      </c>
      <c r="L65" s="390" t="inlineStr"/>
    </row>
    <row r="66" ht="20" customHeight="1">
      <c r="A66" s="382" t="n">
        <v>53</v>
      </c>
      <c r="B66" s="383" t="inlineStr">
        <is>
          <t>5.5</t>
        </is>
      </c>
      <c r="C66" s="384" t="inlineStr">
        <is>
          <t>XLFCO_14301129</t>
        </is>
      </c>
      <c r="D66" s="385" t="inlineStr">
        <is>
          <t>7x2.5mm² Arm</t>
        </is>
      </c>
      <c r="E66" s="386" t="inlineStr">
        <is>
          <t>Low Voltage Control Cable 7 conductors Uo/U=</t>
        </is>
      </c>
      <c r="F66" s="387" t="inlineStr">
        <is>
          <t>0.6/1 kV</t>
        </is>
      </c>
      <c r="G66" s="321" t="inlineStr">
        <is>
          <t>SI</t>
        </is>
      </c>
      <c r="H66" s="388" t="n">
        <v>19820</v>
      </c>
      <c r="I66" s="323" t="n">
        <v>1585.6</v>
      </c>
      <c r="J66" s="324" t="inlineStr">
        <is>
          <t>8%</t>
        </is>
      </c>
      <c r="K66" s="389" t="n">
        <v>21405.6</v>
      </c>
      <c r="L66" s="390" t="inlineStr"/>
    </row>
    <row r="67" ht="20" customHeight="1">
      <c r="A67" s="382" t="n">
        <v>54</v>
      </c>
      <c r="B67" s="383" t="inlineStr">
        <is>
          <t>5.6</t>
        </is>
      </c>
      <c r="C67" s="384" t="inlineStr">
        <is>
          <t>XLFCO_14301235</t>
        </is>
      </c>
      <c r="D67" s="385" t="inlineStr">
        <is>
          <t>12x2.5mm² Arm</t>
        </is>
      </c>
      <c r="E67" s="386" t="inlineStr">
        <is>
          <t>Low Voltage Control Cable 12 conductors Uo/U=</t>
        </is>
      </c>
      <c r="F67" s="387" t="inlineStr">
        <is>
          <t>0.6/1 kV</t>
        </is>
      </c>
      <c r="G67" s="321" t="inlineStr">
        <is>
          <t>SI</t>
        </is>
      </c>
      <c r="H67" s="388" t="n">
        <v>600</v>
      </c>
      <c r="I67" s="323" t="n">
        <v>48</v>
      </c>
      <c r="J67" s="324" t="inlineStr">
        <is>
          <t>8%</t>
        </is>
      </c>
      <c r="K67" s="389" t="n">
        <v>648</v>
      </c>
      <c r="L67" s="390" t="inlineStr"/>
    </row>
    <row r="68" ht="20" customHeight="1">
      <c r="A68" s="382" t="n">
        <v>55</v>
      </c>
      <c r="B68" s="383" t="inlineStr">
        <is>
          <t>5.7</t>
        </is>
      </c>
      <c r="C68" s="384" t="inlineStr">
        <is>
          <t>C515500IGELMCAN003</t>
        </is>
      </c>
      <c r="D68" s="385" t="inlineStr">
        <is>
          <t>2x0.52mm² Arm</t>
        </is>
      </c>
      <c r="E68" s="386" t="inlineStr">
        <is>
          <t xml:space="preserve">Instrument Cable Digital , No Intrinsically Safe , Ø 0,52mm2 / 20 AWG , Overall </t>
        </is>
      </c>
      <c r="F68" s="387" t="inlineStr">
        <is>
          <t>0.6/1kV</t>
        </is>
      </c>
      <c r="G68" s="321" t="inlineStr">
        <is>
          <t>SI</t>
        </is>
      </c>
      <c r="H68" s="388" t="n">
        <v>30</v>
      </c>
      <c r="I68" s="323" t="n">
        <v>4.5</v>
      </c>
      <c r="J68" s="324" t="inlineStr">
        <is>
          <t>15%</t>
        </is>
      </c>
      <c r="K68" s="389" t="n">
        <v>34.5</v>
      </c>
      <c r="L68" s="390" t="inlineStr"/>
    </row>
    <row r="69" ht="20" customHeight="1">
      <c r="A69" s="382" t="n">
        <v>56</v>
      </c>
      <c r="B69" s="383" t="inlineStr">
        <is>
          <t>5.8</t>
        </is>
      </c>
      <c r="C69" s="384" t="inlineStr">
        <is>
          <t>XICAN_11335776</t>
        </is>
      </c>
      <c r="D69" s="385" t="inlineStr">
        <is>
          <t>4x0.52mm² Arm</t>
        </is>
      </c>
      <c r="E69" s="386" t="inlineStr">
        <is>
          <t>Instrument Cable - Analog - , Ø 0,52mm2 / 20 AWG - , Individual &amp; Overall Shield</t>
        </is>
      </c>
      <c r="F69" s="387" t="inlineStr">
        <is>
          <t>0.6/1kV</t>
        </is>
      </c>
      <c r="G69" s="321" t="inlineStr">
        <is>
          <t>SI</t>
        </is>
      </c>
      <c r="H69" s="388" t="n">
        <v>600</v>
      </c>
      <c r="I69" s="323" t="n">
        <v>48</v>
      </c>
      <c r="J69" s="324" t="inlineStr">
        <is>
          <t>8%</t>
        </is>
      </c>
      <c r="K69" s="389" t="n">
        <v>648</v>
      </c>
      <c r="L69" s="390" t="inlineStr"/>
    </row>
    <row r="70" ht="20" customHeight="1">
      <c r="A70" s="382" t="n">
        <v>57</v>
      </c>
      <c r="B70" s="383" t="inlineStr">
        <is>
          <t>5.9</t>
        </is>
      </c>
      <c r="C70" s="384" t="inlineStr">
        <is>
          <t>C515500IGELMCAN004</t>
        </is>
      </c>
      <c r="D70" s="385" t="inlineStr">
        <is>
          <t>12x0.52mm² Arm</t>
        </is>
      </c>
      <c r="E70" s="386" t="inlineStr">
        <is>
          <t xml:space="preserve">Instrument Cable Digital , No Intrinsically Safe , Ø 0,52mm2 / 20 AWG , Overall </t>
        </is>
      </c>
      <c r="F70" s="387" t="inlineStr">
        <is>
          <t>0.6/1kV</t>
        </is>
      </c>
      <c r="G70" s="321" t="inlineStr">
        <is>
          <t>SI</t>
        </is>
      </c>
      <c r="H70" s="388" t="n">
        <v>370</v>
      </c>
      <c r="I70" s="323" t="n">
        <v>29.6</v>
      </c>
      <c r="J70" s="324" t="inlineStr">
        <is>
          <t>8%</t>
        </is>
      </c>
      <c r="K70" s="389" t="n">
        <v>399.6</v>
      </c>
      <c r="L70" s="390" t="inlineStr"/>
    </row>
    <row r="71" ht="20" customHeight="1">
      <c r="A71" s="382" t="n">
        <v>58</v>
      </c>
      <c r="B71" s="383" t="inlineStr">
        <is>
          <t>5.10</t>
        </is>
      </c>
      <c r="C71" s="384" t="inlineStr">
        <is>
          <t>XICAN_11335631</t>
        </is>
      </c>
      <c r="D71" s="385" t="inlineStr">
        <is>
          <t>24x1.31mm² Arm</t>
        </is>
      </c>
      <c r="E71" s="386" t="inlineStr">
        <is>
          <t>Instrument Cable - Analog - , Ø 1,31mm2 / 16 AWG - , Individual &amp; Overall Shield</t>
        </is>
      </c>
      <c r="F71" s="387" t="inlineStr">
        <is>
          <t>0.6/1kV</t>
        </is>
      </c>
      <c r="G71" s="321" t="inlineStr">
        <is>
          <t>SI</t>
        </is>
      </c>
      <c r="H71" s="388" t="n">
        <v>4430</v>
      </c>
      <c r="I71" s="323" t="n">
        <v>354.4</v>
      </c>
      <c r="J71" s="324" t="inlineStr">
        <is>
          <t>8%</t>
        </is>
      </c>
      <c r="K71" s="389" t="n">
        <v>4784.4</v>
      </c>
      <c r="L71" s="390" t="inlineStr"/>
    </row>
    <row r="72" ht="18" customHeight="1">
      <c r="A72" s="391" t="inlineStr">
        <is>
          <t>Subtotal CABLES DE COMANDO Y SEÑALES  (10 tipos)</t>
        </is>
      </c>
      <c r="H72" s="392" t="n">
        <v>33690</v>
      </c>
      <c r="I72" s="393" t="n">
        <v>2703.3</v>
      </c>
      <c r="J72" s="394" t="inlineStr">
        <is>
          <t>8%</t>
        </is>
      </c>
      <c r="K72" s="395" t="n">
        <v>36393.3</v>
      </c>
      <c r="L72" s="396" t="inlineStr"/>
    </row>
    <row r="74" ht="22" customHeight="1">
      <c r="A74" s="397" t="inlineStr">
        <is>
          <t>★  GRAN TOTAL — TODOS LOS TIPOS  (58 ítems)  — Rev 0 del LM emitida 11-JUN-2026</t>
        </is>
      </c>
      <c r="L74" s="348" t="inlineStr"/>
    </row>
    <row r="75">
      <c r="A75" s="330" t="inlineStr"/>
      <c r="B75" s="330" t="inlineStr">
        <is>
          <t>Item</t>
        </is>
      </c>
      <c r="C75" s="330" t="inlineStr">
        <is>
          <t>Código</t>
        </is>
      </c>
      <c r="D75" s="330" t="inlineStr">
        <is>
          <t>Formación</t>
        </is>
      </c>
      <c r="E75" s="330" t="inlineStr">
        <is>
          <t>Descripción</t>
        </is>
      </c>
      <c r="F75" s="330" t="inlineStr">
        <is>
          <t>Tensión</t>
        </is>
      </c>
      <c r="G75" s="330" t="inlineStr">
        <is>
          <t>Armado</t>
        </is>
      </c>
      <c r="H75" s="330" t="inlineStr">
        <is>
          <t>Base (m)</t>
        </is>
      </c>
      <c r="I75" s="330" t="inlineStr">
        <is>
          <t>Surplus (m)</t>
        </is>
      </c>
      <c r="J75" s="330" t="inlineStr">
        <is>
          <t>Sur%</t>
        </is>
      </c>
      <c r="K75" s="330" t="inlineStr">
        <is>
          <t>TOTAL (m)</t>
        </is>
      </c>
      <c r="L75" s="330" t="inlineStr"/>
    </row>
    <row r="76" ht="18" customHeight="1">
      <c r="A76" s="318" t="inlineStr">
        <is>
          <t>CABLES DE MEDIA TENSIÓN</t>
        </is>
      </c>
      <c r="H76" s="398" t="n">
        <v>2394</v>
      </c>
      <c r="I76" s="399" t="n">
        <v>128.7</v>
      </c>
      <c r="J76" s="320" t="inlineStr">
        <is>
          <t>5%</t>
        </is>
      </c>
      <c r="K76" s="325" t="n">
        <v>2522.7</v>
      </c>
      <c r="L76" s="400" t="inlineStr"/>
    </row>
    <row r="77" ht="18" customHeight="1">
      <c r="A77" s="337" t="inlineStr">
        <is>
          <t>CABLES DE BAJA TENSIÓN SIN ARMAR</t>
        </is>
      </c>
      <c r="H77" s="401" t="n">
        <v>475</v>
      </c>
      <c r="I77" s="402" t="n">
        <v>54.5</v>
      </c>
      <c r="J77" s="339" t="inlineStr">
        <is>
          <t>11%</t>
        </is>
      </c>
      <c r="K77" s="341" t="n">
        <v>529.5</v>
      </c>
      <c r="L77" s="403" t="inlineStr"/>
    </row>
    <row r="78" ht="18" customHeight="1">
      <c r="A78" s="353" t="inlineStr">
        <is>
          <t>CABLES DE BAJA TENSIÓN ARMADOS</t>
        </is>
      </c>
      <c r="H78" s="404" t="n">
        <v>52155</v>
      </c>
      <c r="I78" s="405" t="n">
        <v>4184.1</v>
      </c>
      <c r="J78" s="355" t="inlineStr">
        <is>
          <t>8%</t>
        </is>
      </c>
      <c r="K78" s="357" t="n">
        <v>56339.1</v>
      </c>
      <c r="L78" s="406" t="inlineStr"/>
    </row>
    <row r="79" ht="18" customHeight="1">
      <c r="A79" s="369" t="inlineStr">
        <is>
          <t>CABLES DE BAJA TENSIÓN RESISTENTES AL FUEGO</t>
        </is>
      </c>
      <c r="H79" s="407" t="n">
        <v>7080</v>
      </c>
      <c r="I79" s="408" t="n">
        <v>663.4</v>
      </c>
      <c r="J79" s="371" t="inlineStr">
        <is>
          <t>9%</t>
        </is>
      </c>
      <c r="K79" s="373" t="n">
        <v>7743.4</v>
      </c>
      <c r="L79" s="409" t="inlineStr"/>
    </row>
    <row r="80" ht="18" customHeight="1">
      <c r="A80" s="385" t="inlineStr">
        <is>
          <t>CABLES DE COMANDO Y SEÑALES</t>
        </is>
      </c>
      <c r="H80" s="410" t="n">
        <v>33690</v>
      </c>
      <c r="I80" s="411" t="n">
        <v>2703.3</v>
      </c>
      <c r="J80" s="387" t="inlineStr">
        <is>
          <t>8%</t>
        </is>
      </c>
      <c r="K80" s="389" t="n">
        <v>36393.3</v>
      </c>
      <c r="L80" s="412" t="inlineStr"/>
    </row>
    <row r="81" ht="24" customHeight="1">
      <c r="A81" s="413" t="inlineStr">
        <is>
          <t>TOTAL GENERAL — TODOS LOS CABLES CPF-2</t>
        </is>
      </c>
      <c r="H81" s="414" t="n">
        <v>95794</v>
      </c>
      <c r="I81" s="347" t="n">
        <v>7733.999999999999</v>
      </c>
      <c r="J81" s="415" t="inlineStr">
        <is>
          <t>8%</t>
        </is>
      </c>
      <c r="K81" s="416" t="n">
        <v>103528</v>
      </c>
      <c r="L81" s="348" t="inlineStr"/>
    </row>
    <row r="83" ht="22" customHeight="1">
      <c r="A83" s="417" t="inlineStr">
        <is>
          <t xml:space="preserve">  NOTAS Y METODOLOGÍA</t>
        </is>
      </c>
    </row>
    <row r="84" ht="32" customHeight="1">
      <c r="A84" s="418" t="inlineStr">
        <is>
          <t>Documento de referencia</t>
        </is>
      </c>
      <c r="D84" s="419" t="inlineStr">
        <is>
          <t>ACAL-00102-LM-E-0012-0 — Listado de Materiales Cables — Rev 0, emitida 11-JUN-2026. Código AESA de referencia: 5155-00-0000-IG-EL-LM-001.</t>
        </is>
      </c>
    </row>
    <row r="85" ht="32" customHeight="1">
      <c r="A85" s="418" t="inlineStr">
        <is>
          <t>¿Qué es el LM?</t>
        </is>
      </c>
      <c r="D85" s="419" t="inlineStr">
        <is>
          <t>El Listado de Materiales (LM) es el documento oficial de ingeniería que especifica los tipos y cantidades de cables a adquirir para el proyecto CPF-2. Incluye el surplus aprobado por cada tipo de formación para cubrir errores de medición, reparaciones y remanentes en obra.</t>
        </is>
      </c>
    </row>
    <row r="86" ht="32" customHeight="1">
      <c r="A86" s="418" t="inlineStr">
        <is>
          <t>Cant. Base vs Total</t>
        </is>
      </c>
      <c r="D86" s="419" t="inlineStr">
        <is>
          <t>Cant. Base = metros netos según planilla de cómputo de cables. Surplus = margen adicional por formación (entre 5% y 20% según tipo y sección). Total = Cant. Base + Surplus → cantidad a comprar/fabricar.</t>
        </is>
      </c>
    </row>
    <row r="87" ht="32" customHeight="1">
      <c r="A87" s="418" t="inlineStr">
        <is>
          <t>Formación normalizada</t>
        </is>
      </c>
      <c r="D87" s="419" t="inlineStr">
        <is>
          <t>La columna FORMACIÓN traduce la especificación técnica del LM al formato NxSección usado en la hoja 1_Cables_Completo. Permite cruzar código de material con cada tramo del cable schedule. Ej: 3Ph+N 6mm² armado → '4x6mm² Arm' | 7 cond 2.5mm² armado → '7x2.5mm² Arm'.</t>
        </is>
      </c>
    </row>
    <row r="88" ht="32" customHeight="1">
      <c r="A88" s="418" t="inlineStr">
        <is>
          <t>5 Secciones del LM</t>
        </is>
      </c>
      <c r="D88" s="419" t="inlineStr">
        <is>
          <t>1) MT: Media Tensión 6.6kV y 13.2kV  |  2) BT Sin Arm: Baja Tensión no armados  |  3) BT Armados: Baja Tensión con armadura de acero  |  4) BT RF: Baja Tensión resistentes al fuego  |  5) Control/Señal: cables de comando e instrumentación.</t>
        </is>
      </c>
    </row>
    <row r="89" ht="32" customHeight="1">
      <c r="A89" s="418" t="inlineStr">
        <is>
          <t>Versión del documento</t>
        </is>
      </c>
      <c r="D89" s="419" t="inlineStr">
        <is>
          <t>Análisis Rev 3 | 13-JUN-2026. Incorpora LM ACAL-00102-LM-E-0012-0 Rev 0 como referencia. La columna Dif. del LM = 0 en todos los ítems → esta es la primera emisión.</t>
        </is>
      </c>
    </row>
  </sheetData>
  <mergeCells count="32">
    <mergeCell ref="D86:L86"/>
    <mergeCell ref="A84:C84"/>
    <mergeCell ref="A89:C89"/>
    <mergeCell ref="A72:G72"/>
    <mergeCell ref="A52:G52"/>
    <mergeCell ref="A81:G81"/>
    <mergeCell ref="A12:L12"/>
    <mergeCell ref="A86:C86"/>
    <mergeCell ref="D87:L87"/>
    <mergeCell ref="A2:L2"/>
    <mergeCell ref="A85:C85"/>
    <mergeCell ref="A77:G77"/>
    <mergeCell ref="A5:L5"/>
    <mergeCell ref="A60:G60"/>
    <mergeCell ref="A53:L53"/>
    <mergeCell ref="A11:G11"/>
    <mergeCell ref="A74:K74"/>
    <mergeCell ref="A79:G79"/>
    <mergeCell ref="A19:L19"/>
    <mergeCell ref="D89:L89"/>
    <mergeCell ref="D85:L85"/>
    <mergeCell ref="A78:G78"/>
    <mergeCell ref="D88:L88"/>
    <mergeCell ref="A83:L83"/>
    <mergeCell ref="A80:G80"/>
    <mergeCell ref="A18:G18"/>
    <mergeCell ref="A1:L1"/>
    <mergeCell ref="D84:L84"/>
    <mergeCell ref="A88:C88"/>
    <mergeCell ref="A61:L61"/>
    <mergeCell ref="A87:C87"/>
    <mergeCell ref="A76:G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2026-06-05T23:11:38Z</dcterms:created>
  <dcterms:modified xsi:type="dcterms:W3CDTF">2026-06-13T00:23:09Z</dcterms:modified>
</cp:coreProperties>
</file>