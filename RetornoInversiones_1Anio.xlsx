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ciones" sheetId="1" state="visible" r:id="rId1"/>
    <sheet name="Proyección 1 Año" sheetId="2" state="visible" r:id="rId2"/>
    <sheet name="Resumen Ejecutivo" sheetId="3" state="visible" r:id="rId3"/>
    <sheet name="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000000"/>
      <sz val="9"/>
    </font>
    <font>
      <b val="1"/>
      <color rgb="00000000"/>
      <sz val="9"/>
    </font>
    <font>
      <b val="1"/>
      <color rgb="00FFFFFF"/>
      <sz val="11"/>
    </font>
    <font>
      <b val="1"/>
      <color rgb="00FFFFFF"/>
      <sz val="14"/>
    </font>
    <font>
      <i val="1"/>
      <color rgb="00FFFFFF"/>
      <sz val="10"/>
    </font>
    <font>
      <b val="1"/>
      <color rgb="00000000"/>
      <sz val="10"/>
    </font>
    <font>
      <b val="1"/>
      <color rgb="00000000"/>
      <sz val="11"/>
    </font>
    <font>
      <b val="1"/>
      <color rgb="00FFFFFF"/>
      <sz val="9"/>
    </font>
    <font>
      <i val="1"/>
      <color rgb="007F7F7F"/>
      <sz val="8"/>
    </font>
  </fonts>
  <fills count="13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E6DA4"/>
      </patternFill>
    </fill>
    <fill>
      <patternFill patternType="solid">
        <fgColor rgb="00D6E8F7"/>
      </patternFill>
    </fill>
    <fill>
      <patternFill patternType="solid">
        <fgColor rgb="00D5F0DC"/>
      </patternFill>
    </fill>
    <fill>
      <patternFill patternType="solid">
        <fgColor rgb="00FFF0CC"/>
      </patternFill>
    </fill>
    <fill>
      <patternFill patternType="solid">
        <fgColor rgb="00EDD8F5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8F5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4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4" fontId="3" fillId="7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1" pivotButton="0" quotePrefix="0" xfId="0"/>
    <xf numFmtId="4" fontId="2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center" vertical="center"/>
    </xf>
    <xf numFmtId="10" fontId="3" fillId="9" borderId="1" applyAlignment="1" pivotButton="0" quotePrefix="0" xfId="0">
      <alignment horizontal="center" vertical="center"/>
    </xf>
    <xf numFmtId="10" fontId="3" fillId="1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  <xf numFmtId="10" fontId="3" fillId="6" borderId="1" applyAlignment="1" pivotButton="0" quotePrefix="0" xfId="0">
      <alignment horizontal="center" vertical="center"/>
    </xf>
    <xf numFmtId="10" fontId="3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0" fontId="2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4" fontId="9" fillId="12" borderId="1" applyAlignment="1" pivotButton="0" quotePrefix="0" xfId="0">
      <alignment horizontal="center" vertical="center"/>
    </xf>
    <xf numFmtId="4" fontId="9" fillId="9" borderId="1" applyAlignment="1" pivotButton="0" quotePrefix="0" xfId="0">
      <alignment horizontal="center" vertical="center"/>
    </xf>
    <xf numFmtId="10" fontId="9" fillId="9" borderId="1" applyAlignment="1" pivotButton="0" quotePrefix="0" xfId="0">
      <alignment horizontal="center" vertical="center"/>
    </xf>
    <xf numFmtId="10" fontId="9" fillId="8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4" fontId="10" fillId="2" borderId="1" applyAlignment="1" pivotButton="0" quotePrefix="0" xfId="0">
      <alignment horizontal="center" vertical="center"/>
    </xf>
    <xf numFmtId="10" fontId="10" fillId="2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4" fontId="4" fillId="9" borderId="1" applyAlignment="1" pivotButton="0" quotePrefix="0" xfId="0">
      <alignment horizontal="center" vertical="center"/>
    </xf>
    <xf numFmtId="10" fontId="4" fillId="9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4" fontId="4" fillId="8" borderId="1" applyAlignment="1" pivotButton="0" quotePrefix="0" xfId="0">
      <alignment horizontal="center" vertical="center"/>
    </xf>
    <xf numFmtId="10" fontId="4" fillId="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4" fontId="4" fillId="10" borderId="1" applyAlignment="1" pivotButton="0" quotePrefix="0" xfId="0">
      <alignment horizontal="center" vertical="center"/>
    </xf>
    <xf numFmtId="1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Invertido vs. Valor Proyectado (AR$)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'Gráficos'!R3</f>
            </strRef>
          </tx>
          <spPr>
            <a:solidFill>
              <a:srgbClr val="2E6DA4"/>
            </a:solidFill>
            <a:ln>
              <a:prstDash val="solid"/>
            </a:ln>
          </spPr>
          <cat>
            <numRef>
              <f>'Gráficos'!$Q$4:$Q$16</f>
            </numRef>
          </cat>
          <val>
            <numRef>
              <f>'Gráficos'!$R$4:$R$16</f>
            </numRef>
          </val>
        </ser>
        <ser>
          <idx val="1"/>
          <order val="1"/>
          <tx>
            <strRef>
              <f>'Gráficos'!S3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'Gráficos'!$Q$4:$Q$16</f>
            </numRef>
          </cat>
          <val>
            <numRef>
              <f>'Gráficos'!$S$4:$S$16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Símbolo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Nominal Esperado por Instrumento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'Gráficos'!T3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'Gráficos'!$Q$4:$Q$16</f>
            </numRef>
          </cat>
          <val>
            <numRef>
              <f>'Gráficos'!$T$4:$T$16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Símbolo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Rendimiento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Composición del Portafolio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'Gráficos'!W3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6DA4"/>
              </a:solidFill>
              <a:ln>
                <a:prstDash val="solid"/>
              </a:ln>
            </spPr>
          </dPt>
          <dPt>
            <idx val="1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3"/>
            <spPr>
              <a:solidFill>
                <a:srgbClr val="9B59B6"/>
              </a:solidFill>
              <a:ln>
                <a:prstDash val="solid"/>
              </a:ln>
            </spPr>
          </dPt>
          <dPt>
            <idx val="4"/>
            <spPr>
              <a:solidFill>
                <a:srgbClr val="E74C3C"/>
              </a:solidFill>
              <a:ln>
                <a:prstDash val="solid"/>
              </a:ln>
            </spPr>
          </dPt>
          <cat>
            <numRef>
              <f>'Gráficos'!$V$4:$V$12</f>
            </numRef>
          </cat>
          <val>
            <numRef>
              <f>'Gráficos'!$W$4:$W$12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2</row>
      <rowOff>0</rowOff>
    </from>
    <ext cx="64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8" customWidth="1" min="3" max="3"/>
    <col width="9" customWidth="1" min="4" max="4"/>
    <col width="8" customWidth="1" min="5" max="5"/>
    <col width="14" customWidth="1" min="6" max="6"/>
    <col width="14" customWidth="1" min="7" max="7"/>
    <col width="14" customWidth="1" min="8" max="8"/>
    <col width="10" customWidth="1" min="9" max="9"/>
    <col width="14" customWidth="1" min="10" max="10"/>
  </cols>
  <sheetData>
    <row r="1" ht="28" customHeight="1">
      <c r="A1" s="1" t="inlineStr">
        <is>
          <t>OPERACIONES FINALIZADAS  —  01/05/2026 al 22/05/2026</t>
        </is>
      </c>
    </row>
    <row r="2" ht="22" customHeight="1">
      <c r="A2" s="2" t="inlineStr">
        <is>
          <t>Fecha Transacción</t>
        </is>
      </c>
      <c r="B2" s="2" t="inlineStr">
        <is>
          <t>Boleto</t>
        </is>
      </c>
      <c r="C2" s="2" t="inlineStr">
        <is>
          <t>Descripción</t>
        </is>
      </c>
      <c r="D2" s="2" t="inlineStr">
        <is>
          <t>Símbolo</t>
        </is>
      </c>
      <c r="E2" s="2" t="inlineStr">
        <is>
          <t>Cant.</t>
        </is>
      </c>
      <c r="F2" s="2" t="inlineStr">
        <is>
          <t>Precio Pond.</t>
        </is>
      </c>
      <c r="G2" s="2" t="inlineStr">
        <is>
          <t>Monto AR$</t>
        </is>
      </c>
      <c r="H2" s="2" t="inlineStr">
        <is>
          <t>Comisión AR$</t>
        </is>
      </c>
      <c r="I2" s="2" t="inlineStr">
        <is>
          <t>IVA AR$</t>
        </is>
      </c>
      <c r="J2" s="2" t="inlineStr">
        <is>
          <t>Total AR$</t>
        </is>
      </c>
    </row>
    <row r="3" ht="18" customHeight="1">
      <c r="A3" s="3" t="inlineStr">
        <is>
          <t>07/05/2026</t>
        </is>
      </c>
      <c r="B3" s="3" t="inlineStr">
        <is>
          <t>10421828</t>
        </is>
      </c>
      <c r="C3" s="4" t="inlineStr">
        <is>
          <t>Bonos Rep. Arg. U$S Step Up V.09/07/41</t>
        </is>
      </c>
      <c r="D3" s="3" t="inlineStr">
        <is>
          <t>GD41</t>
        </is>
      </c>
      <c r="E3" s="3" t="n">
        <v>18</v>
      </c>
      <c r="F3" s="5" t="n">
        <v>107180</v>
      </c>
      <c r="G3" s="5" t="n">
        <v>19292.4</v>
      </c>
      <c r="H3" s="5" t="n">
        <v>98.39</v>
      </c>
      <c r="I3" s="5" t="n">
        <v>0</v>
      </c>
      <c r="J3" s="5" t="n">
        <v>19390.79</v>
      </c>
    </row>
    <row r="4" ht="18" customHeight="1">
      <c r="A4" s="3" t="inlineStr">
        <is>
          <t>07/05/2026</t>
        </is>
      </c>
      <c r="B4" s="3" t="inlineStr">
        <is>
          <t>10422632</t>
        </is>
      </c>
      <c r="C4" s="4" t="inlineStr">
        <is>
          <t>BONO TESORO NACIONAL 6% 29/10/27 USD</t>
        </is>
      </c>
      <c r="D4" s="3" t="inlineStr">
        <is>
          <t>AO27</t>
        </is>
      </c>
      <c r="E4" s="3" t="n">
        <v>13</v>
      </c>
      <c r="F4" s="5" t="n">
        <v>145300</v>
      </c>
      <c r="G4" s="5" t="n">
        <v>18889</v>
      </c>
      <c r="H4" s="5" t="n">
        <v>96.34</v>
      </c>
      <c r="I4" s="5" t="n">
        <v>0</v>
      </c>
      <c r="J4" s="5" t="n">
        <v>18985.34</v>
      </c>
    </row>
    <row r="5" ht="18" customHeight="1">
      <c r="A5" s="6" t="inlineStr">
        <is>
          <t>07/05/2026</t>
        </is>
      </c>
      <c r="B5" s="6" t="inlineStr">
        <is>
          <t>10426581</t>
        </is>
      </c>
      <c r="C5" s="7" t="inlineStr">
        <is>
          <t>Banco Macro</t>
        </is>
      </c>
      <c r="D5" s="6" t="inlineStr">
        <is>
          <t>BMA</t>
        </is>
      </c>
      <c r="E5" s="6" t="n">
        <v>5</v>
      </c>
      <c r="F5" s="8" t="n">
        <v>11550</v>
      </c>
      <c r="G5" s="8" t="n">
        <v>57750</v>
      </c>
      <c r="H5" s="8" t="n">
        <v>329.18</v>
      </c>
      <c r="I5" s="8" t="n">
        <v>69.13</v>
      </c>
      <c r="J5" s="8" t="n">
        <v>58148.31</v>
      </c>
    </row>
    <row r="6" ht="18" customHeight="1">
      <c r="A6" s="9" t="inlineStr">
        <is>
          <t>07/05/2026</t>
        </is>
      </c>
      <c r="B6" s="9" t="inlineStr">
        <is>
          <t>10427488</t>
        </is>
      </c>
      <c r="C6" s="10" t="inlineStr">
        <is>
          <t>Cedear Alphabet Inc. Cl. A</t>
        </is>
      </c>
      <c r="D6" s="9" t="inlineStr">
        <is>
          <t>GOOGL</t>
        </is>
      </c>
      <c r="E6" s="9" t="n">
        <v>1</v>
      </c>
      <c r="F6" s="11" t="n">
        <v>10120</v>
      </c>
      <c r="G6" s="11" t="n">
        <v>10120</v>
      </c>
      <c r="H6" s="11" t="n">
        <v>57.68</v>
      </c>
      <c r="I6" s="11" t="n">
        <v>12.12</v>
      </c>
      <c r="J6" s="11" t="n">
        <v>10189.8</v>
      </c>
    </row>
    <row r="7" ht="18" customHeight="1">
      <c r="A7" s="9" t="inlineStr">
        <is>
          <t>07/05/2026</t>
        </is>
      </c>
      <c r="B7" s="9" t="inlineStr">
        <is>
          <t>10428909</t>
        </is>
      </c>
      <c r="C7" s="10" t="inlineStr">
        <is>
          <t>Cedear Vista Oil &amp; Gas Sab De</t>
        </is>
      </c>
      <c r="D7" s="9" t="inlineStr">
        <is>
          <t>VIST</t>
        </is>
      </c>
      <c r="E7" s="9" t="n">
        <v>1</v>
      </c>
      <c r="F7" s="11" t="n">
        <v>32200</v>
      </c>
      <c r="G7" s="11" t="n">
        <v>32200</v>
      </c>
      <c r="H7" s="11" t="n">
        <v>183.54</v>
      </c>
      <c r="I7" s="11" t="n">
        <v>38.54</v>
      </c>
      <c r="J7" s="11" t="n">
        <v>32422.08</v>
      </c>
    </row>
    <row r="8" ht="18" customHeight="1">
      <c r="A8" s="3" t="inlineStr">
        <is>
          <t>07/05/2026</t>
        </is>
      </c>
      <c r="B8" s="3" t="inlineStr">
        <is>
          <t>10432693</t>
        </is>
      </c>
      <c r="C8" s="4" t="inlineStr">
        <is>
          <t>BONO REP ARG AJ CER V30/06/26 $ CG</t>
        </is>
      </c>
      <c r="D8" s="3" t="inlineStr">
        <is>
          <t>TZX26</t>
        </is>
      </c>
      <c r="E8" s="3" t="n">
        <v>5163</v>
      </c>
      <c r="F8" s="5" t="n">
        <v>385.12</v>
      </c>
      <c r="G8" s="5" t="n">
        <v>19883.77</v>
      </c>
      <c r="H8" s="5" t="n">
        <v>101.41</v>
      </c>
      <c r="I8" s="5" t="n">
        <v>0</v>
      </c>
      <c r="J8" s="5" t="n">
        <v>19985.17</v>
      </c>
    </row>
    <row r="9" ht="18" customHeight="1">
      <c r="A9" s="3" t="inlineStr">
        <is>
          <t>07/05/2026</t>
        </is>
      </c>
      <c r="B9" s="3" t="inlineStr">
        <is>
          <t>10469705</t>
        </is>
      </c>
      <c r="C9" s="4" t="inlineStr">
        <is>
          <t>BONO TESORO NACIONAL 6% 29/10/27 USD</t>
        </is>
      </c>
      <c r="D9" s="3" t="inlineStr">
        <is>
          <t>AO27</t>
        </is>
      </c>
      <c r="E9" s="3" t="n">
        <v>15</v>
      </c>
      <c r="F9" s="5" t="n">
        <v>145590</v>
      </c>
      <c r="G9" s="5" t="n">
        <v>21838.5</v>
      </c>
      <c r="H9" s="5" t="n">
        <v>111.37</v>
      </c>
      <c r="I9" s="5" t="n">
        <v>0</v>
      </c>
      <c r="J9" s="5" t="n">
        <v>21949.87</v>
      </c>
    </row>
    <row r="10" ht="18" customHeight="1">
      <c r="A10" s="12" t="inlineStr">
        <is>
          <t>07/05/2026</t>
        </is>
      </c>
      <c r="B10" s="12" t="inlineStr">
        <is>
          <t>10514634</t>
        </is>
      </c>
      <c r="C10" s="13" t="inlineStr">
        <is>
          <t>IOL Portafolio Potenciado</t>
        </is>
      </c>
      <c r="D10" s="12" t="inlineStr">
        <is>
          <t>IOLPORA</t>
        </is>
      </c>
      <c r="E10" s="12" t="n">
        <v>13861.0512</v>
      </c>
      <c r="F10" s="14" t="n">
        <v>1.44</v>
      </c>
      <c r="G10" s="14" t="n">
        <v>20000</v>
      </c>
      <c r="H10" s="14" t="n">
        <v>0</v>
      </c>
      <c r="I10" s="14" t="n">
        <v>0</v>
      </c>
      <c r="J10" s="14" t="n">
        <v>20000</v>
      </c>
    </row>
    <row r="11" ht="18" customHeight="1">
      <c r="A11" s="6" t="inlineStr">
        <is>
          <t>11/05/2026</t>
        </is>
      </c>
      <c r="B11" s="6" t="inlineStr">
        <is>
          <t>10749423</t>
        </is>
      </c>
      <c r="C11" s="7" t="inlineStr">
        <is>
          <t>Pampa Energía</t>
        </is>
      </c>
      <c r="D11" s="6" t="inlineStr">
        <is>
          <t>PAMP</t>
        </is>
      </c>
      <c r="E11" s="6" t="n">
        <v>3</v>
      </c>
      <c r="F11" s="8" t="n">
        <v>4825</v>
      </c>
      <c r="G11" s="8" t="n">
        <v>14475</v>
      </c>
      <c r="H11" s="8" t="n">
        <v>82.51000000000001</v>
      </c>
      <c r="I11" s="8" t="n">
        <v>17.33</v>
      </c>
      <c r="J11" s="8" t="n">
        <v>14574.84</v>
      </c>
    </row>
    <row r="12" ht="18" customHeight="1">
      <c r="A12" s="6" t="inlineStr">
        <is>
          <t>11/05/2026</t>
        </is>
      </c>
      <c r="B12" s="6" t="inlineStr">
        <is>
          <t>10749616</t>
        </is>
      </c>
      <c r="C12" s="7" t="inlineStr">
        <is>
          <t>Transportadora Gas del Sur</t>
        </is>
      </c>
      <c r="D12" s="6" t="inlineStr">
        <is>
          <t>TGSU2</t>
        </is>
      </c>
      <c r="E12" s="6" t="n">
        <v>1</v>
      </c>
      <c r="F12" s="8" t="n">
        <v>9000</v>
      </c>
      <c r="G12" s="8" t="n">
        <v>9000</v>
      </c>
      <c r="H12" s="8" t="n">
        <v>51.3</v>
      </c>
      <c r="I12" s="8" t="n">
        <v>10.77</v>
      </c>
      <c r="J12" s="8" t="n">
        <v>9062.07</v>
      </c>
    </row>
    <row r="13" ht="18" customHeight="1">
      <c r="A13" s="9" t="inlineStr">
        <is>
          <t>11/05/2026</t>
        </is>
      </c>
      <c r="B13" s="9" t="inlineStr">
        <is>
          <t>10750584</t>
        </is>
      </c>
      <c r="C13" s="10" t="inlineStr">
        <is>
          <t>CEDEAR GLOBAL X COPPER MINERS ETF</t>
        </is>
      </c>
      <c r="D13" s="9" t="inlineStr">
        <is>
          <t>COPX</t>
        </is>
      </c>
      <c r="E13" s="9" t="n">
        <v>2</v>
      </c>
      <c r="F13" s="11" t="n">
        <v>9250</v>
      </c>
      <c r="G13" s="11" t="n">
        <v>18500</v>
      </c>
      <c r="H13" s="11" t="n">
        <v>105.45</v>
      </c>
      <c r="I13" s="11" t="n">
        <v>22.15</v>
      </c>
      <c r="J13" s="11" t="n">
        <v>18627.6</v>
      </c>
    </row>
    <row r="14" ht="18" customHeight="1">
      <c r="A14" s="6" t="inlineStr">
        <is>
          <t>11/05/2026</t>
        </is>
      </c>
      <c r="B14" s="6" t="inlineStr">
        <is>
          <t>10750731</t>
        </is>
      </c>
      <c r="C14" s="7" t="inlineStr">
        <is>
          <t>Edenor</t>
        </is>
      </c>
      <c r="D14" s="6" t="inlineStr">
        <is>
          <t>EDN</t>
        </is>
      </c>
      <c r="E14" s="6" t="n">
        <v>4</v>
      </c>
      <c r="F14" s="8" t="n">
        <v>1820</v>
      </c>
      <c r="G14" s="8" t="n">
        <v>7280</v>
      </c>
      <c r="H14" s="8" t="n">
        <v>41.5</v>
      </c>
      <c r="I14" s="8" t="n">
        <v>8.710000000000001</v>
      </c>
      <c r="J14" s="8" t="n">
        <v>7330.21</v>
      </c>
    </row>
    <row r="15" ht="18" customHeight="1">
      <c r="A15" s="6" t="inlineStr">
        <is>
          <t>11/05/2026</t>
        </is>
      </c>
      <c r="B15" s="6" t="inlineStr">
        <is>
          <t>10750849</t>
        </is>
      </c>
      <c r="C15" s="7" t="inlineStr">
        <is>
          <t>Ternium Argentina Sa</t>
        </is>
      </c>
      <c r="D15" s="6" t="inlineStr">
        <is>
          <t>TXAR</t>
        </is>
      </c>
      <c r="E15" s="6" t="n">
        <v>10</v>
      </c>
      <c r="F15" s="8" t="n">
        <v>654</v>
      </c>
      <c r="G15" s="8" t="n">
        <v>6540</v>
      </c>
      <c r="H15" s="8" t="n">
        <v>37.28</v>
      </c>
      <c r="I15" s="8" t="n">
        <v>7.83</v>
      </c>
      <c r="J15" s="8" t="n">
        <v>6585.11</v>
      </c>
    </row>
    <row r="16" ht="18" customHeight="1">
      <c r="A16" s="3" t="inlineStr">
        <is>
          <t>11/05/2026</t>
        </is>
      </c>
      <c r="B16" s="3" t="inlineStr">
        <is>
          <t>10752249</t>
        </is>
      </c>
      <c r="C16" s="4" t="inlineStr">
        <is>
          <t>BOPREAL Serie 1C Vto 31/10/27</t>
        </is>
      </c>
      <c r="D16" s="3" t="inlineStr">
        <is>
          <t>BPOC7</t>
        </is>
      </c>
      <c r="E16" s="3" t="n">
        <v>20</v>
      </c>
      <c r="F16" s="5" t="n">
        <v>143540</v>
      </c>
      <c r="G16" s="5" t="n">
        <v>28708</v>
      </c>
      <c r="H16" s="5" t="n">
        <v>146.41</v>
      </c>
      <c r="I16" s="5" t="n">
        <v>0</v>
      </c>
      <c r="J16" s="5" t="n">
        <v>28854.41</v>
      </c>
    </row>
    <row r="17" ht="18" customHeight="1">
      <c r="A17" s="6" t="inlineStr">
        <is>
          <t>12/05/2026</t>
        </is>
      </c>
      <c r="B17" s="6" t="inlineStr">
        <is>
          <t>10781678</t>
        </is>
      </c>
      <c r="C17" s="7" t="inlineStr">
        <is>
          <t>Transportadora Gas del Sur</t>
        </is>
      </c>
      <c r="D17" s="6" t="inlineStr">
        <is>
          <t>TGSU2</t>
        </is>
      </c>
      <c r="E17" s="6" t="n">
        <v>1</v>
      </c>
      <c r="F17" s="8" t="n">
        <v>9095</v>
      </c>
      <c r="G17" s="8" t="n">
        <v>9095</v>
      </c>
      <c r="H17" s="8" t="n">
        <v>50.03</v>
      </c>
      <c r="I17" s="8" t="n">
        <v>10.5</v>
      </c>
      <c r="J17" s="8" t="n">
        <v>9155.530000000001</v>
      </c>
    </row>
    <row r="18" ht="20" customHeight="1">
      <c r="A18" s="15" t="inlineStr">
        <is>
          <t>TOTAL INVERTIDO</t>
        </is>
      </c>
      <c r="G18" s="16" t="n"/>
      <c r="H18" s="16" t="n"/>
      <c r="I18" s="16" t="n"/>
      <c r="J18" s="17" t="n">
        <v>295261.13</v>
      </c>
    </row>
    <row r="20">
      <c r="A20" s="18" t="inlineStr">
        <is>
          <t>Leyenda de categorías</t>
        </is>
      </c>
    </row>
    <row r="21">
      <c r="A21" s="19" t="inlineStr">
        <is>
          <t>  </t>
        </is>
      </c>
      <c r="B21" s="20" t="inlineStr">
        <is>
          <t>Renta Fija (Bonos)</t>
        </is>
      </c>
    </row>
    <row r="22">
      <c r="A22" s="21" t="inlineStr">
        <is>
          <t>  </t>
        </is>
      </c>
      <c r="B22" s="20" t="inlineStr">
        <is>
          <t>Acciones</t>
        </is>
      </c>
    </row>
    <row r="23">
      <c r="A23" s="22" t="inlineStr">
        <is>
          <t>  </t>
        </is>
      </c>
      <c r="B23" s="20" t="inlineStr">
        <is>
          <t>CEDEARs</t>
        </is>
      </c>
    </row>
    <row r="24">
      <c r="A24" s="23" t="inlineStr">
        <is>
          <t>  </t>
        </is>
      </c>
      <c r="B24" s="20" t="inlineStr">
        <is>
          <t>FCI</t>
        </is>
      </c>
    </row>
  </sheetData>
  <mergeCells count="3">
    <mergeCell ref="A1:J1"/>
    <mergeCell ref="A20:B20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22" customWidth="1" min="3" max="3"/>
    <col width="10" customWidth="1" min="4" max="4"/>
    <col width="14" customWidth="1" min="5" max="5"/>
    <col width="15" customWidth="1" min="6" max="6"/>
    <col width="16" customWidth="1" min="7" max="7"/>
    <col width="15" customWidth="1" min="8" max="8"/>
    <col width="14" customWidth="1" min="9" max="9"/>
    <col width="14" customWidth="1" min="10" max="10"/>
    <col width="13" customWidth="1" min="11" max="11"/>
  </cols>
  <sheetData>
    <row r="1" ht="28" customHeight="1">
      <c r="A1" s="1" t="inlineStr">
        <is>
          <t>PROYECCIÓN DE RENDIMIENTO — 21/05/2026  →  21/05/2027  (Inflación estimada: 50% anual)</t>
        </is>
      </c>
    </row>
    <row r="2" ht="30" customHeight="1">
      <c r="A2" s="24" t="inlineStr">
        <is>
          <t>Símbolo</t>
        </is>
      </c>
      <c r="B2" s="24" t="inlineStr">
        <is>
          <t>Descripción</t>
        </is>
      </c>
      <c r="C2" s="24" t="inlineStr">
        <is>
          <t>Categoría</t>
        </is>
      </c>
      <c r="D2" s="24" t="inlineStr">
        <is>
          <t>Riesgo</t>
        </is>
      </c>
      <c r="E2" s="24" t="inlineStr">
        <is>
          <t>Fecha Compra</t>
        </is>
      </c>
      <c r="F2" s="24" t="inlineStr">
        <is>
          <t>Invertido AR$</t>
        </is>
      </c>
      <c r="G2" s="24" t="inlineStr">
        <is>
          <t>Rend. Esperado %</t>
        </is>
      </c>
      <c r="H2" s="24" t="inlineStr">
        <is>
          <t>Valor Proy. AR$</t>
        </is>
      </c>
      <c r="I2" s="24" t="inlineStr">
        <is>
          <t>Ganancia AR$</t>
        </is>
      </c>
      <c r="J2" s="24" t="inlineStr">
        <is>
          <t>Gan. Nominal %</t>
        </is>
      </c>
      <c r="K2" s="24" t="inlineStr">
        <is>
          <t>Gan. Real %</t>
        </is>
      </c>
    </row>
    <row r="3" ht="18" customHeight="1">
      <c r="A3" s="3" t="inlineStr">
        <is>
          <t>GD41</t>
        </is>
      </c>
      <c r="B3" s="4" t="inlineStr">
        <is>
          <t>Bonos Rep. Arg. U$S Step Up V.09/07/41</t>
        </is>
      </c>
      <c r="C3" s="3" t="inlineStr">
        <is>
          <t>Bono Soberano USD</t>
        </is>
      </c>
      <c r="D3" s="25" t="inlineStr">
        <is>
          <t>Medio</t>
        </is>
      </c>
      <c r="E3" s="3" t="inlineStr">
        <is>
          <t>07/05/2026</t>
        </is>
      </c>
      <c r="F3" s="5" t="n">
        <v>19390.79</v>
      </c>
      <c r="G3" s="26" t="n">
        <v>0.4</v>
      </c>
      <c r="H3" s="5" t="n">
        <v>27147.11</v>
      </c>
      <c r="I3" s="27" t="n">
        <v>7756.32</v>
      </c>
      <c r="J3" s="28" t="n">
        <v>0.4</v>
      </c>
      <c r="K3" s="29" t="n">
        <v>-0.06666666666666676</v>
      </c>
    </row>
    <row r="4" ht="18" customHeight="1">
      <c r="A4" s="3" t="inlineStr">
        <is>
          <t>AO27</t>
        </is>
      </c>
      <c r="B4" s="4" t="inlineStr">
        <is>
          <t>BONO TESORO NACIONAL 6% 29/10/27 USD</t>
        </is>
      </c>
      <c r="C4" s="3" t="inlineStr">
        <is>
          <t>Bono Tesoro USD</t>
        </is>
      </c>
      <c r="D4" s="30" t="inlineStr">
        <is>
          <t>Bajo</t>
        </is>
      </c>
      <c r="E4" s="3" t="inlineStr">
        <is>
          <t>07/05/2026</t>
        </is>
      </c>
      <c r="F4" s="5" t="n">
        <v>18985.34</v>
      </c>
      <c r="G4" s="26" t="n">
        <v>0.35</v>
      </c>
      <c r="H4" s="5" t="n">
        <v>25630.21</v>
      </c>
      <c r="I4" s="27" t="n">
        <v>6644.87</v>
      </c>
      <c r="J4" s="28" t="n">
        <v>0.35</v>
      </c>
      <c r="K4" s="29" t="n">
        <v>-0.09999999999999998</v>
      </c>
    </row>
    <row r="5" ht="18" customHeight="1">
      <c r="A5" s="6" t="inlineStr">
        <is>
          <t>BMA</t>
        </is>
      </c>
      <c r="B5" s="7" t="inlineStr">
        <is>
          <t>Banco Macro</t>
        </is>
      </c>
      <c r="C5" s="6" t="inlineStr">
        <is>
          <t>Acción Panel Líder</t>
        </is>
      </c>
      <c r="D5" s="31" t="inlineStr">
        <is>
          <t>Alto</t>
        </is>
      </c>
      <c r="E5" s="6" t="inlineStr">
        <is>
          <t>07/05/2026</t>
        </is>
      </c>
      <c r="F5" s="8" t="n">
        <v>58148.31</v>
      </c>
      <c r="G5" s="32" t="n">
        <v>0.65</v>
      </c>
      <c r="H5" s="8" t="n">
        <v>95944.71000000001</v>
      </c>
      <c r="I5" s="27" t="n">
        <v>37796.4</v>
      </c>
      <c r="J5" s="28" t="n">
        <v>0.65</v>
      </c>
      <c r="K5" s="28" t="n">
        <v>0.09999999999999987</v>
      </c>
    </row>
    <row r="6" ht="18" customHeight="1">
      <c r="A6" s="9" t="inlineStr">
        <is>
          <t>GOOGL</t>
        </is>
      </c>
      <c r="B6" s="10" t="inlineStr">
        <is>
          <t>Cedear Alphabet Inc. Cl. A</t>
        </is>
      </c>
      <c r="C6" s="9" t="inlineStr">
        <is>
          <t>CEDEAR Tecnología</t>
        </is>
      </c>
      <c r="D6" s="31" t="inlineStr">
        <is>
          <t>Alto</t>
        </is>
      </c>
      <c r="E6" s="9" t="inlineStr">
        <is>
          <t>07/05/2026</t>
        </is>
      </c>
      <c r="F6" s="11" t="n">
        <v>10189.8</v>
      </c>
      <c r="G6" s="33" t="n">
        <v>0.48</v>
      </c>
      <c r="H6" s="11" t="n">
        <v>15080.9</v>
      </c>
      <c r="I6" s="27" t="n">
        <v>4891.1</v>
      </c>
      <c r="J6" s="28" t="n">
        <v>0.48</v>
      </c>
      <c r="K6" s="29" t="n">
        <v>-0.01333333333333331</v>
      </c>
    </row>
    <row r="7" ht="18" customHeight="1">
      <c r="A7" s="9" t="inlineStr">
        <is>
          <t>VIST</t>
        </is>
      </c>
      <c r="B7" s="10" t="inlineStr">
        <is>
          <t>Cedear Vista Oil &amp; Gas Sab De</t>
        </is>
      </c>
      <c r="C7" s="9" t="inlineStr">
        <is>
          <t>CEDEAR Energía</t>
        </is>
      </c>
      <c r="D7" s="31" t="inlineStr">
        <is>
          <t>Alto</t>
        </is>
      </c>
      <c r="E7" s="9" t="inlineStr">
        <is>
          <t>07/05/2026</t>
        </is>
      </c>
      <c r="F7" s="11" t="n">
        <v>32422.08</v>
      </c>
      <c r="G7" s="33" t="n">
        <v>0.7</v>
      </c>
      <c r="H7" s="11" t="n">
        <v>55117.54</v>
      </c>
      <c r="I7" s="27" t="n">
        <v>22695.46</v>
      </c>
      <c r="J7" s="28" t="n">
        <v>0.7</v>
      </c>
      <c r="K7" s="28" t="n">
        <v>0.1333333333333333</v>
      </c>
    </row>
    <row r="8" ht="18" customHeight="1">
      <c r="A8" s="3" t="inlineStr">
        <is>
          <t>TZX26</t>
        </is>
      </c>
      <c r="B8" s="4" t="inlineStr">
        <is>
          <t>BONO REP ARG AJ CER V30/06/26 $ CG</t>
        </is>
      </c>
      <c r="C8" s="3" t="inlineStr">
        <is>
          <t>Bono CER (ajustable)</t>
        </is>
      </c>
      <c r="D8" s="30" t="inlineStr">
        <is>
          <t>Bajo</t>
        </is>
      </c>
      <c r="E8" s="3" t="inlineStr">
        <is>
          <t>07/05/2026</t>
        </is>
      </c>
      <c r="F8" s="5" t="n">
        <v>19985.17</v>
      </c>
      <c r="G8" s="26" t="n">
        <v>0.5</v>
      </c>
      <c r="H8" s="5" t="n">
        <v>29977.75</v>
      </c>
      <c r="I8" s="27" t="n">
        <v>9992.58</v>
      </c>
      <c r="J8" s="28" t="n">
        <v>0.5</v>
      </c>
      <c r="K8" s="28" t="n">
        <v>0</v>
      </c>
    </row>
    <row r="9" ht="18" customHeight="1">
      <c r="A9" s="3" t="inlineStr">
        <is>
          <t>AO27</t>
        </is>
      </c>
      <c r="B9" s="4" t="inlineStr">
        <is>
          <t>BONO TESORO NACIONAL 6% 29/10/27 USD</t>
        </is>
      </c>
      <c r="C9" s="3" t="inlineStr">
        <is>
          <t>Bono Tesoro USD</t>
        </is>
      </c>
      <c r="D9" s="30" t="inlineStr">
        <is>
          <t>Bajo</t>
        </is>
      </c>
      <c r="E9" s="3" t="inlineStr">
        <is>
          <t>07/05/2026</t>
        </is>
      </c>
      <c r="F9" s="5" t="n">
        <v>21949.87</v>
      </c>
      <c r="G9" s="26" t="n">
        <v>0.35</v>
      </c>
      <c r="H9" s="5" t="n">
        <v>29632.32</v>
      </c>
      <c r="I9" s="27" t="n">
        <v>7682.45</v>
      </c>
      <c r="J9" s="28" t="n">
        <v>0.35</v>
      </c>
      <c r="K9" s="29" t="n">
        <v>-0.09999999999999998</v>
      </c>
    </row>
    <row r="10" ht="18" customHeight="1">
      <c r="A10" s="12" t="inlineStr">
        <is>
          <t>IOLPORA</t>
        </is>
      </c>
      <c r="B10" s="13" t="inlineStr">
        <is>
          <t>IOL Portafolio Potenciado</t>
        </is>
      </c>
      <c r="C10" s="12" t="inlineStr">
        <is>
          <t>FCI Portafolio Mixto</t>
        </is>
      </c>
      <c r="D10" s="25" t="inlineStr">
        <is>
          <t>Medio</t>
        </is>
      </c>
      <c r="E10" s="12" t="inlineStr">
        <is>
          <t>07/05/2026</t>
        </is>
      </c>
      <c r="F10" s="14" t="n">
        <v>20000</v>
      </c>
      <c r="G10" s="34" t="n">
        <v>0.55</v>
      </c>
      <c r="H10" s="14" t="n">
        <v>31000</v>
      </c>
      <c r="I10" s="27" t="n">
        <v>11000</v>
      </c>
      <c r="J10" s="28" t="n">
        <v>0.55</v>
      </c>
      <c r="K10" s="28" t="n">
        <v>0.03333333333333344</v>
      </c>
    </row>
    <row r="11" ht="18" customHeight="1">
      <c r="A11" s="6" t="inlineStr">
        <is>
          <t>PAMP</t>
        </is>
      </c>
      <c r="B11" s="7" t="inlineStr">
        <is>
          <t>Pampa Energía</t>
        </is>
      </c>
      <c r="C11" s="6" t="inlineStr">
        <is>
          <t>Acción Panel Líder</t>
        </is>
      </c>
      <c r="D11" s="31" t="inlineStr">
        <is>
          <t>Alto</t>
        </is>
      </c>
      <c r="E11" s="6" t="inlineStr">
        <is>
          <t>11/05/2026</t>
        </is>
      </c>
      <c r="F11" s="8" t="n">
        <v>14574.84</v>
      </c>
      <c r="G11" s="32" t="n">
        <v>0.7</v>
      </c>
      <c r="H11" s="8" t="n">
        <v>24777.23</v>
      </c>
      <c r="I11" s="27" t="n">
        <v>10202.39</v>
      </c>
      <c r="J11" s="28" t="n">
        <v>0.7</v>
      </c>
      <c r="K11" s="28" t="n">
        <v>0.1333333333333333</v>
      </c>
    </row>
    <row r="12" ht="18" customHeight="1">
      <c r="A12" s="6" t="inlineStr">
        <is>
          <t>TGSU2</t>
        </is>
      </c>
      <c r="B12" s="7" t="inlineStr">
        <is>
          <t>Transportadora Gas del Sur</t>
        </is>
      </c>
      <c r="C12" s="6" t="inlineStr">
        <is>
          <t>Acción Panel Líder</t>
        </is>
      </c>
      <c r="D12" s="31" t="inlineStr">
        <is>
          <t>Alto</t>
        </is>
      </c>
      <c r="E12" s="6" t="inlineStr">
        <is>
          <t>11/05/2026</t>
        </is>
      </c>
      <c r="F12" s="8" t="n">
        <v>9062.07</v>
      </c>
      <c r="G12" s="32" t="n">
        <v>0.55</v>
      </c>
      <c r="H12" s="8" t="n">
        <v>14046.21</v>
      </c>
      <c r="I12" s="27" t="n">
        <v>4984.14</v>
      </c>
      <c r="J12" s="28" t="n">
        <v>0.55</v>
      </c>
      <c r="K12" s="28" t="n">
        <v>0.03333333333333344</v>
      </c>
    </row>
    <row r="13" ht="18" customHeight="1">
      <c r="A13" s="9" t="inlineStr">
        <is>
          <t>COPX</t>
        </is>
      </c>
      <c r="B13" s="10" t="inlineStr">
        <is>
          <t>CEDEAR GLOBAL X COPPER MINERS ETF</t>
        </is>
      </c>
      <c r="C13" s="9" t="inlineStr">
        <is>
          <t>CEDEAR ETF Materiales</t>
        </is>
      </c>
      <c r="D13" s="31" t="inlineStr">
        <is>
          <t>Alto</t>
        </is>
      </c>
      <c r="E13" s="9" t="inlineStr">
        <is>
          <t>11/05/2026</t>
        </is>
      </c>
      <c r="F13" s="11" t="n">
        <v>18627.6</v>
      </c>
      <c r="G13" s="33" t="n">
        <v>0.5</v>
      </c>
      <c r="H13" s="11" t="n">
        <v>27941.4</v>
      </c>
      <c r="I13" s="27" t="n">
        <v>9313.799999999999</v>
      </c>
      <c r="J13" s="28" t="n">
        <v>0.5</v>
      </c>
      <c r="K13" s="28" t="n">
        <v>0</v>
      </c>
    </row>
    <row r="14" ht="18" customHeight="1">
      <c r="A14" s="6" t="inlineStr">
        <is>
          <t>EDN</t>
        </is>
      </c>
      <c r="B14" s="7" t="inlineStr">
        <is>
          <t>Edenor</t>
        </is>
      </c>
      <c r="C14" s="6" t="inlineStr">
        <is>
          <t>Acción Panel Líder</t>
        </is>
      </c>
      <c r="D14" s="31" t="inlineStr">
        <is>
          <t>Alto</t>
        </is>
      </c>
      <c r="E14" s="6" t="inlineStr">
        <is>
          <t>11/05/2026</t>
        </is>
      </c>
      <c r="F14" s="8" t="n">
        <v>7330.21</v>
      </c>
      <c r="G14" s="32" t="n">
        <v>0.45</v>
      </c>
      <c r="H14" s="8" t="n">
        <v>10628.8</v>
      </c>
      <c r="I14" s="27" t="n">
        <v>3298.59</v>
      </c>
      <c r="J14" s="28" t="n">
        <v>0.45</v>
      </c>
      <c r="K14" s="29" t="n">
        <v>-0.03333333333333333</v>
      </c>
    </row>
    <row r="15" ht="18" customHeight="1">
      <c r="A15" s="6" t="inlineStr">
        <is>
          <t>TXAR</t>
        </is>
      </c>
      <c r="B15" s="7" t="inlineStr">
        <is>
          <t>Ternium Argentina Sa</t>
        </is>
      </c>
      <c r="C15" s="6" t="inlineStr">
        <is>
          <t>Acción Panel Líder</t>
        </is>
      </c>
      <c r="D15" s="31" t="inlineStr">
        <is>
          <t>Alto</t>
        </is>
      </c>
      <c r="E15" s="6" t="inlineStr">
        <is>
          <t>11/05/2026</t>
        </is>
      </c>
      <c r="F15" s="8" t="n">
        <v>6585.11</v>
      </c>
      <c r="G15" s="32" t="n">
        <v>0.42</v>
      </c>
      <c r="H15" s="8" t="n">
        <v>9350.860000000001</v>
      </c>
      <c r="I15" s="27" t="n">
        <v>2765.75</v>
      </c>
      <c r="J15" s="28" t="n">
        <v>0.42</v>
      </c>
      <c r="K15" s="29" t="n">
        <v>-0.05333333333333334</v>
      </c>
    </row>
    <row r="16" ht="18" customHeight="1">
      <c r="A16" s="3" t="inlineStr">
        <is>
          <t>BPOC7</t>
        </is>
      </c>
      <c r="B16" s="4" t="inlineStr">
        <is>
          <t>BOPREAL Serie 1C Vto 31/10/27</t>
        </is>
      </c>
      <c r="C16" s="3" t="inlineStr">
        <is>
          <t>Bono BOPREAL USD</t>
        </is>
      </c>
      <c r="D16" s="30" t="inlineStr">
        <is>
          <t>Bajo</t>
        </is>
      </c>
      <c r="E16" s="3" t="inlineStr">
        <is>
          <t>11/05/2026</t>
        </is>
      </c>
      <c r="F16" s="5" t="n">
        <v>28854.41</v>
      </c>
      <c r="G16" s="26" t="n">
        <v>0.35</v>
      </c>
      <c r="H16" s="5" t="n">
        <v>38953.45</v>
      </c>
      <c r="I16" s="27" t="n">
        <v>10099.04</v>
      </c>
      <c r="J16" s="28" t="n">
        <v>0.35</v>
      </c>
      <c r="K16" s="29" t="n">
        <v>-0.09999999999999998</v>
      </c>
    </row>
    <row r="17" ht="18" customHeight="1">
      <c r="A17" s="6" t="inlineStr">
        <is>
          <t>TGSU2</t>
        </is>
      </c>
      <c r="B17" s="7" t="inlineStr">
        <is>
          <t>Transportadora Gas del Sur</t>
        </is>
      </c>
      <c r="C17" s="6" t="inlineStr">
        <is>
          <t>Acción Panel Líder</t>
        </is>
      </c>
      <c r="D17" s="31" t="inlineStr">
        <is>
          <t>Alto</t>
        </is>
      </c>
      <c r="E17" s="6" t="inlineStr">
        <is>
          <t>12/05/2026</t>
        </is>
      </c>
      <c r="F17" s="8" t="n">
        <v>9155.530000000001</v>
      </c>
      <c r="G17" s="32" t="n">
        <v>0.55</v>
      </c>
      <c r="H17" s="8" t="n">
        <v>14191.07</v>
      </c>
      <c r="I17" s="27" t="n">
        <v>5035.54</v>
      </c>
      <c r="J17" s="28" t="n">
        <v>0.55</v>
      </c>
      <c r="K17" s="28" t="n">
        <v>0.03333333333333344</v>
      </c>
    </row>
    <row r="18" ht="22" customHeight="1">
      <c r="A18" s="35" t="inlineStr">
        <is>
          <t>TOTALES DEL PORTAFOLIO</t>
        </is>
      </c>
      <c r="F18" s="17" t="n">
        <v>295261.13</v>
      </c>
      <c r="G18" s="36" t="n"/>
      <c r="H18" s="17" t="n">
        <v>449419.56</v>
      </c>
      <c r="I18" s="17" t="n">
        <v>154158.43</v>
      </c>
      <c r="J18" s="37" t="n">
        <v>0.5221087855350279</v>
      </c>
      <c r="K18" s="37" t="n">
        <v>0.01473919035668536</v>
      </c>
    </row>
  </sheetData>
  <mergeCells count="2">
    <mergeCell ref="A1:K1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38" t="inlineStr">
        <is>
          <t>RESUMEN EJECUTIVO — PROYECCIÓN PORTAFOLIO 1 AÑO</t>
        </is>
      </c>
    </row>
    <row r="2" ht="18" customHeight="1">
      <c r="A2" s="39" t="inlineStr">
        <is>
          <t>Análisis al 21/05/2026  —  Proyección al 21/05/2027</t>
        </is>
      </c>
    </row>
    <row r="4" ht="20" customHeight="1">
      <c r="A4" s="40" t="inlineStr">
        <is>
          <t>■  MÉTRICAS GLOBALES DEL PORTAFOLIO</t>
        </is>
      </c>
    </row>
    <row r="5" ht="22" customHeight="1">
      <c r="A5" s="41" t="inlineStr">
        <is>
          <t>Capital total invertido (AR$)</t>
        </is>
      </c>
      <c r="C5" s="42" t="n">
        <v>295261.13</v>
      </c>
    </row>
    <row r="6" ht="22" customHeight="1">
      <c r="A6" s="41" t="inlineStr">
        <is>
          <t>Valor proyectado total (AR$)</t>
        </is>
      </c>
      <c r="C6" s="43" t="n">
        <v>449419.56</v>
      </c>
    </row>
    <row r="7" ht="22" customHeight="1">
      <c r="A7" s="41" t="inlineStr">
        <is>
          <t>Ganancia bruta esperada (AR$)</t>
        </is>
      </c>
      <c r="C7" s="43" t="n">
        <v>154158.43</v>
      </c>
    </row>
    <row r="8" ht="22" customHeight="1">
      <c r="A8" s="41" t="inlineStr">
        <is>
          <t>Rendimiento nominal anual (%)</t>
        </is>
      </c>
      <c r="C8" s="44" t="n">
        <v>0.5221087855350279</v>
      </c>
    </row>
    <row r="9" ht="22" customHeight="1">
      <c r="A9" s="41" t="inlineStr">
        <is>
          <t>Inflación proyectada anual (%)</t>
        </is>
      </c>
      <c r="C9" s="45" t="n">
        <v>0.5</v>
      </c>
    </row>
    <row r="10" ht="22" customHeight="1">
      <c r="A10" s="41" t="inlineStr">
        <is>
          <t>Rendimiento REAL anual (%)</t>
        </is>
      </c>
      <c r="C10" s="44" t="n">
        <v>0.01473919035668536</v>
      </c>
    </row>
    <row r="11" ht="22" customHeight="1">
      <c r="A11" s="41" t="inlineStr">
        <is>
          <t>Fecha inicio proyección</t>
        </is>
      </c>
      <c r="C11" s="46" t="inlineStr">
        <is>
          <t>21/05/2026</t>
        </is>
      </c>
    </row>
    <row r="12" ht="22" customHeight="1">
      <c r="A12" s="41" t="inlineStr">
        <is>
          <t>Fecha fin proyección</t>
        </is>
      </c>
      <c r="C12" s="46" t="inlineStr">
        <is>
          <t>21/05/2027</t>
        </is>
      </c>
    </row>
    <row r="14" ht="20" customHeight="1">
      <c r="A14" s="40" t="inlineStr">
        <is>
          <t>■  DESGLOSE POR CATEGORÍA</t>
        </is>
      </c>
    </row>
    <row r="15" ht="18" customHeight="1">
      <c r="A15" s="47" t="inlineStr">
        <is>
          <t>Categoría</t>
        </is>
      </c>
      <c r="B15" s="47" t="inlineStr">
        <is>
          <t>Ops.</t>
        </is>
      </c>
      <c r="C15" s="47" t="inlineStr">
        <is>
          <t>Invertido AR$</t>
        </is>
      </c>
      <c r="D15" s="47" t="inlineStr">
        <is>
          <t>Valor Proy. AR$</t>
        </is>
      </c>
      <c r="E15" s="47" t="inlineStr">
        <is>
          <t>Rend. %</t>
        </is>
      </c>
    </row>
    <row r="16" ht="18" customHeight="1">
      <c r="A16" s="48" t="inlineStr">
        <is>
          <t>Acción Panel Líder</t>
        </is>
      </c>
      <c r="B16" s="6" t="n">
        <v>6</v>
      </c>
      <c r="C16" s="8" t="n">
        <v>104856.07</v>
      </c>
      <c r="D16" s="8" t="n">
        <v>168938.88</v>
      </c>
      <c r="E16" s="32" t="n">
        <v>0.611150217626886</v>
      </c>
    </row>
    <row r="17" ht="18" customHeight="1">
      <c r="A17" s="49" t="inlineStr">
        <is>
          <t>Bono BOPREAL USD</t>
        </is>
      </c>
      <c r="B17" s="3" t="n">
        <v>1</v>
      </c>
      <c r="C17" s="5" t="n">
        <v>28854.41</v>
      </c>
      <c r="D17" s="5" t="n">
        <v>38953.45</v>
      </c>
      <c r="E17" s="26" t="n">
        <v>0.3499998787013838</v>
      </c>
    </row>
    <row r="18" ht="18" customHeight="1">
      <c r="A18" s="49" t="inlineStr">
        <is>
          <t>Bono CER (ajustable)</t>
        </is>
      </c>
      <c r="B18" s="3" t="n">
        <v>1</v>
      </c>
      <c r="C18" s="5" t="n">
        <v>19985.17</v>
      </c>
      <c r="D18" s="5" t="n">
        <v>29977.75</v>
      </c>
      <c r="E18" s="26" t="n">
        <v>0.4999997498144876</v>
      </c>
    </row>
    <row r="19" ht="18" customHeight="1">
      <c r="A19" s="49" t="inlineStr">
        <is>
          <t>Bono Soberano USD</t>
        </is>
      </c>
      <c r="B19" s="3" t="n">
        <v>1</v>
      </c>
      <c r="C19" s="5" t="n">
        <v>19390.79</v>
      </c>
      <c r="D19" s="5" t="n">
        <v>27147.11</v>
      </c>
      <c r="E19" s="26" t="n">
        <v>0.4000002062834985</v>
      </c>
    </row>
    <row r="20" ht="18" customHeight="1">
      <c r="A20" s="49" t="inlineStr">
        <is>
          <t>Bono Tesoro USD</t>
        </is>
      </c>
      <c r="B20" s="3" t="n">
        <v>2</v>
      </c>
      <c r="C20" s="5" t="n">
        <v>40935.21</v>
      </c>
      <c r="D20" s="5" t="n">
        <v>55262.53</v>
      </c>
      <c r="E20" s="26" t="n">
        <v>0.3499999144990339</v>
      </c>
    </row>
    <row r="21" ht="18" customHeight="1">
      <c r="A21" s="50" t="inlineStr">
        <is>
          <t>CEDEAR ETF Materiales</t>
        </is>
      </c>
      <c r="B21" s="9" t="n">
        <v>1</v>
      </c>
      <c r="C21" s="11" t="n">
        <v>18627.6</v>
      </c>
      <c r="D21" s="11" t="n">
        <v>27941.4</v>
      </c>
      <c r="E21" s="33" t="n">
        <v>0.5000000000000002</v>
      </c>
    </row>
    <row r="22" ht="18" customHeight="1">
      <c r="A22" s="50" t="inlineStr">
        <is>
          <t>CEDEAR Energía</t>
        </is>
      </c>
      <c r="B22" s="9" t="n">
        <v>1</v>
      </c>
      <c r="C22" s="11" t="n">
        <v>32422.08</v>
      </c>
      <c r="D22" s="11" t="n">
        <v>55117.54</v>
      </c>
      <c r="E22" s="33" t="n">
        <v>0.7000001233727139</v>
      </c>
    </row>
    <row r="23" ht="18" customHeight="1">
      <c r="A23" s="50" t="inlineStr">
        <is>
          <t>CEDEAR Tecnología</t>
        </is>
      </c>
      <c r="B23" s="9" t="n">
        <v>1</v>
      </c>
      <c r="C23" s="11" t="n">
        <v>10189.8</v>
      </c>
      <c r="D23" s="11" t="n">
        <v>15080.9</v>
      </c>
      <c r="E23" s="33" t="n">
        <v>0.4799996074505879</v>
      </c>
    </row>
    <row r="24" ht="18" customHeight="1">
      <c r="A24" s="51" t="inlineStr">
        <is>
          <t>FCI Portafolio Mixto</t>
        </is>
      </c>
      <c r="B24" s="12" t="n">
        <v>1</v>
      </c>
      <c r="C24" s="14" t="n">
        <v>20000</v>
      </c>
      <c r="D24" s="14" t="n">
        <v>31000</v>
      </c>
      <c r="E24" s="34" t="n">
        <v>0.55</v>
      </c>
    </row>
    <row r="25" ht="18" customHeight="1">
      <c r="A25" s="47" t="inlineStr">
        <is>
          <t>TOTAL</t>
        </is>
      </c>
      <c r="C25" s="52" t="n">
        <v>295261.13</v>
      </c>
      <c r="D25" s="52" t="n">
        <v>449419.56</v>
      </c>
      <c r="E25" s="53" t="n">
        <v>0.5221087855350279</v>
      </c>
    </row>
    <row r="27" ht="20" customHeight="1">
      <c r="A27" s="40" t="inlineStr">
        <is>
          <t>■  DESGLOSE POR NIVEL DE RIESGO</t>
        </is>
      </c>
    </row>
    <row r="28" ht="18" customHeight="1">
      <c r="A28" s="47" t="inlineStr">
        <is>
          <t>Riesgo</t>
        </is>
      </c>
      <c r="B28" s="47" t="inlineStr">
        <is>
          <t>Ops.</t>
        </is>
      </c>
      <c r="C28" s="47" t="inlineStr">
        <is>
          <t>Invertido AR$</t>
        </is>
      </c>
      <c r="D28" s="47" t="inlineStr">
        <is>
          <t>Valor Proy. AR$</t>
        </is>
      </c>
      <c r="E28" s="47" t="inlineStr">
        <is>
          <t>Rend. %</t>
        </is>
      </c>
    </row>
    <row r="29" ht="18" customHeight="1">
      <c r="A29" s="54" t="inlineStr">
        <is>
          <t>Bajo</t>
        </is>
      </c>
      <c r="B29" s="55" t="n">
        <v>4</v>
      </c>
      <c r="C29" s="56" t="n">
        <v>89774.78999999999</v>
      </c>
      <c r="D29" s="56" t="n">
        <v>124193.73</v>
      </c>
      <c r="E29" s="57" t="n">
        <v>0.3833920413514753</v>
      </c>
    </row>
    <row r="30" ht="18" customHeight="1">
      <c r="A30" s="58" t="inlineStr">
        <is>
          <t>Medio</t>
        </is>
      </c>
      <c r="B30" s="59" t="n">
        <v>2</v>
      </c>
      <c r="C30" s="60" t="n">
        <v>39390.79</v>
      </c>
      <c r="D30" s="60" t="n">
        <v>58147.11</v>
      </c>
      <c r="E30" s="61" t="n">
        <v>0.4761600363942942</v>
      </c>
    </row>
    <row r="31" ht="18" customHeight="1">
      <c r="A31" s="62" t="inlineStr">
        <is>
          <t>Alto</t>
        </is>
      </c>
      <c r="B31" s="63" t="n">
        <v>9</v>
      </c>
      <c r="C31" s="64" t="n">
        <v>166095.55</v>
      </c>
      <c r="D31" s="64" t="n">
        <v>267078.72</v>
      </c>
      <c r="E31" s="65" t="n">
        <v>0.607982393267008</v>
      </c>
    </row>
    <row r="33" ht="20" customHeight="1">
      <c r="A33" s="40" t="inlineStr">
        <is>
          <t>■  RANKING DE RENDIMIENTO ESPERADO (mayor a menor)</t>
        </is>
      </c>
    </row>
    <row r="34" ht="18" customHeight="1">
      <c r="A34" s="47" t="inlineStr">
        <is>
          <t>#</t>
        </is>
      </c>
      <c r="B34" s="47" t="inlineStr">
        <is>
          <t>Símbolo</t>
        </is>
      </c>
      <c r="C34" s="47" t="inlineStr">
        <is>
          <t>Descripción corta</t>
        </is>
      </c>
      <c r="D34" s="47" t="inlineStr">
        <is>
          <t>Rend. Nominal %</t>
        </is>
      </c>
      <c r="E34" s="47" t="inlineStr">
        <is>
          <t>Rend. Real %</t>
        </is>
      </c>
    </row>
    <row r="35" ht="17" customHeight="1">
      <c r="A35" s="66" t="n">
        <v>1</v>
      </c>
      <c r="B35" s="6" t="inlineStr">
        <is>
          <t>PAMP</t>
        </is>
      </c>
      <c r="C35" s="48" t="inlineStr">
        <is>
          <t>Pampa Energía</t>
        </is>
      </c>
      <c r="D35" s="57" t="n">
        <v>0.7000001372227757</v>
      </c>
      <c r="E35" s="57" t="n">
        <v>0.1333334248151836</v>
      </c>
    </row>
    <row r="36" ht="17" customHeight="1">
      <c r="A36" s="66" t="n">
        <v>2</v>
      </c>
      <c r="B36" s="9" t="inlineStr">
        <is>
          <t>VIST</t>
        </is>
      </c>
      <c r="C36" s="50" t="inlineStr">
        <is>
          <t>Cedear Vista Oil &amp; Gas Sab De</t>
        </is>
      </c>
      <c r="D36" s="57" t="n">
        <v>0.7000001233727139</v>
      </c>
      <c r="E36" s="57" t="n">
        <v>0.1333334155818093</v>
      </c>
    </row>
    <row r="37" ht="17" customHeight="1">
      <c r="A37" s="66" t="n">
        <v>3</v>
      </c>
      <c r="B37" s="6" t="inlineStr">
        <is>
          <t>BMA</t>
        </is>
      </c>
      <c r="C37" s="48" t="inlineStr">
        <is>
          <t>Banco Macro</t>
        </is>
      </c>
      <c r="D37" s="57" t="n">
        <v>0.6499999742038937</v>
      </c>
      <c r="E37" s="57" t="n">
        <v>0.09999998280259592</v>
      </c>
    </row>
    <row r="38" ht="17" customHeight="1">
      <c r="A38" s="66" t="n">
        <v>4</v>
      </c>
      <c r="B38" s="12" t="inlineStr">
        <is>
          <t>IOLPORA</t>
        </is>
      </c>
      <c r="C38" s="51" t="inlineStr">
        <is>
          <t>IOL Portafolio Potenciado</t>
        </is>
      </c>
      <c r="D38" s="57" t="n">
        <v>0.55</v>
      </c>
      <c r="E38" s="57" t="n">
        <v>0.03333333333333344</v>
      </c>
    </row>
    <row r="39" ht="17" customHeight="1">
      <c r="A39" s="66" t="n">
        <v>5</v>
      </c>
      <c r="B39" s="6" t="inlineStr">
        <is>
          <t>TGSU2</t>
        </is>
      </c>
      <c r="C39" s="48" t="inlineStr">
        <is>
          <t>Transportadora Gas del Sur</t>
        </is>
      </c>
      <c r="D39" s="57" t="n">
        <v>0.55</v>
      </c>
      <c r="E39" s="57" t="n">
        <v>0.03333333333333344</v>
      </c>
    </row>
    <row r="40" ht="17" customHeight="1">
      <c r="A40" s="66" t="n">
        <v>6</v>
      </c>
      <c r="B40" s="9" t="inlineStr">
        <is>
          <t>COPX</t>
        </is>
      </c>
      <c r="C40" s="50" t="inlineStr">
        <is>
          <t xml:space="preserve">CEDEAR GLOBAL X COPPER MINERS </t>
        </is>
      </c>
      <c r="D40" s="57" t="n">
        <v>0.5000000000000002</v>
      </c>
      <c r="E40" s="57" t="n">
        <v>2.220446049250313e-16</v>
      </c>
    </row>
    <row r="41" ht="17" customHeight="1">
      <c r="A41" s="66" t="n">
        <v>7</v>
      </c>
      <c r="B41" s="3" t="inlineStr">
        <is>
          <t>TZX26</t>
        </is>
      </c>
      <c r="C41" s="49" t="inlineStr">
        <is>
          <t xml:space="preserve">BONO REP ARG AJ CER V30/06/26 </t>
        </is>
      </c>
      <c r="D41" s="57" t="n">
        <v>0.4999997498144876</v>
      </c>
      <c r="E41" s="65" t="n">
        <v>-1.667903415381033e-07</v>
      </c>
    </row>
    <row r="42" ht="17" customHeight="1">
      <c r="A42" s="66" t="n">
        <v>8</v>
      </c>
      <c r="B42" s="9" t="inlineStr">
        <is>
          <t>GOOGL</t>
        </is>
      </c>
      <c r="C42" s="50" t="inlineStr">
        <is>
          <t>Cedear Alphabet Inc. Cl. A</t>
        </is>
      </c>
      <c r="D42" s="57" t="n">
        <v>0.4799996074505879</v>
      </c>
      <c r="E42" s="65" t="n">
        <v>-0.0133335950329414</v>
      </c>
    </row>
    <row r="43" ht="17" customHeight="1">
      <c r="A43" s="66" t="n">
        <v>9</v>
      </c>
      <c r="B43" s="6" t="inlineStr">
        <is>
          <t>EDN</t>
        </is>
      </c>
      <c r="C43" s="48" t="inlineStr">
        <is>
          <t>Edenor</t>
        </is>
      </c>
      <c r="D43" s="57" t="n">
        <v>0.4499993861021716</v>
      </c>
      <c r="E43" s="65" t="n">
        <v>-0.03333374259855226</v>
      </c>
    </row>
    <row r="44" ht="17" customHeight="1">
      <c r="A44" s="66" t="n">
        <v>10</v>
      </c>
      <c r="B44" s="6" t="inlineStr">
        <is>
          <t>TXAR</t>
        </is>
      </c>
      <c r="C44" s="48" t="inlineStr">
        <is>
          <t>Ternium Argentina Sa</t>
        </is>
      </c>
      <c r="D44" s="57" t="n">
        <v>0.420000577059457</v>
      </c>
      <c r="E44" s="65" t="n">
        <v>-0.05333294862702864</v>
      </c>
    </row>
    <row r="45" ht="17" customHeight="1">
      <c r="A45" s="66" t="n">
        <v>11</v>
      </c>
      <c r="B45" s="3" t="inlineStr">
        <is>
          <t>GD41</t>
        </is>
      </c>
      <c r="C45" s="49" t="inlineStr">
        <is>
          <t>Bonos Rep. Arg. U$S Step Up V.</t>
        </is>
      </c>
      <c r="D45" s="57" t="n">
        <v>0.4000002062834985</v>
      </c>
      <c r="E45" s="65" t="n">
        <v>-0.06666652914433435</v>
      </c>
    </row>
    <row r="46" ht="17" customHeight="1">
      <c r="A46" s="66" t="n">
        <v>12</v>
      </c>
      <c r="B46" s="3" t="inlineStr">
        <is>
          <t>AO27</t>
        </is>
      </c>
      <c r="C46" s="49" t="inlineStr">
        <is>
          <t>BONO TESORO NACIONAL 6% 29/10/</t>
        </is>
      </c>
      <c r="D46" s="57" t="n">
        <v>0.3499999144990339</v>
      </c>
      <c r="E46" s="65" t="n">
        <v>-0.100000057000644</v>
      </c>
    </row>
    <row r="47" ht="17" customHeight="1">
      <c r="A47" s="66" t="n">
        <v>13</v>
      </c>
      <c r="B47" s="3" t="inlineStr">
        <is>
          <t>BPOC7</t>
        </is>
      </c>
      <c r="C47" s="49" t="inlineStr">
        <is>
          <t>BOPREAL Serie 1C Vto 31/10/27</t>
        </is>
      </c>
      <c r="D47" s="57" t="n">
        <v>0.3499998787013838</v>
      </c>
      <c r="E47" s="65" t="n">
        <v>-0.1000000808657441</v>
      </c>
    </row>
    <row r="49" ht="30" customHeight="1">
      <c r="A49" s="67" t="inlineStr">
        <is>
          <t>⚠  NOTA: Las proyecciones son estimaciones basadas en análisis fundamental y técnico. No constituyen asesoramiento financiero ni garantía de retorno.</t>
        </is>
      </c>
    </row>
  </sheetData>
  <mergeCells count="24">
    <mergeCell ref="A11:B11"/>
    <mergeCell ref="C9:E9"/>
    <mergeCell ref="A49:E49"/>
    <mergeCell ref="A1:E1"/>
    <mergeCell ref="C12:E12"/>
    <mergeCell ref="A6:B6"/>
    <mergeCell ref="C11:E11"/>
    <mergeCell ref="A7:B7"/>
    <mergeCell ref="A25:B25"/>
    <mergeCell ref="C8:E8"/>
    <mergeCell ref="C7:E7"/>
    <mergeCell ref="A27:E27"/>
    <mergeCell ref="A12:B12"/>
    <mergeCell ref="A2:E2"/>
    <mergeCell ref="A5:B5"/>
    <mergeCell ref="A33:E33"/>
    <mergeCell ref="A14:E14"/>
    <mergeCell ref="A8:B8"/>
    <mergeCell ref="C6:E6"/>
    <mergeCell ref="A4:E4"/>
    <mergeCell ref="C5:E5"/>
    <mergeCell ref="A10:B10"/>
    <mergeCell ref="A9:B9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38" t="inlineStr">
        <is>
          <t>ANÁLISIS VISUAL — PORTAFOLIO DE INVERSIONES</t>
        </is>
      </c>
    </row>
    <row r="3">
      <c r="Q3" t="inlineStr">
        <is>
          <t>Símbolo</t>
        </is>
      </c>
      <c r="R3" t="inlineStr">
        <is>
          <t>Invertido AR$</t>
        </is>
      </c>
      <c r="S3" t="inlineStr">
        <is>
          <t>Valor Proy AR$</t>
        </is>
      </c>
      <c r="T3" t="inlineStr">
        <is>
          <t>Rend. %</t>
        </is>
      </c>
      <c r="V3" t="inlineStr">
        <is>
          <t>Categoría</t>
        </is>
      </c>
      <c r="W3" t="inlineStr">
        <is>
          <t>Invertido AR$</t>
        </is>
      </c>
    </row>
    <row r="4">
      <c r="Q4" t="inlineStr">
        <is>
          <t>GD41</t>
        </is>
      </c>
      <c r="R4" t="n">
        <v>19390.79</v>
      </c>
      <c r="S4" t="n">
        <v>27147.11</v>
      </c>
      <c r="T4" t="n">
        <v>0.4000002062834985</v>
      </c>
      <c r="V4" t="inlineStr">
        <is>
          <t>Bono Soberano USD</t>
        </is>
      </c>
      <c r="W4" t="n">
        <v>19390.79</v>
      </c>
    </row>
    <row r="5">
      <c r="Q5" t="inlineStr">
        <is>
          <t>AO27</t>
        </is>
      </c>
      <c r="R5" t="n">
        <v>40935.21</v>
      </c>
      <c r="S5" t="n">
        <v>55262.53</v>
      </c>
      <c r="T5" t="n">
        <v>0.3499999144990339</v>
      </c>
      <c r="V5" t="inlineStr">
        <is>
          <t>Bono Tesoro USD</t>
        </is>
      </c>
      <c r="W5" t="n">
        <v>40935.21</v>
      </c>
    </row>
    <row r="6">
      <c r="Q6" t="inlineStr">
        <is>
          <t>BMA</t>
        </is>
      </c>
      <c r="R6" t="n">
        <v>58148.31</v>
      </c>
      <c r="S6" t="n">
        <v>95944.71000000001</v>
      </c>
      <c r="T6" t="n">
        <v>0.6499999742038937</v>
      </c>
      <c r="V6" t="inlineStr">
        <is>
          <t>Acción Panel Líder</t>
        </is>
      </c>
      <c r="W6" t="n">
        <v>104856.07</v>
      </c>
    </row>
    <row r="7">
      <c r="Q7" t="inlineStr">
        <is>
          <t>GOOGL</t>
        </is>
      </c>
      <c r="R7" t="n">
        <v>10189.8</v>
      </c>
      <c r="S7" t="n">
        <v>15080.9</v>
      </c>
      <c r="T7" t="n">
        <v>0.4799996074505879</v>
      </c>
      <c r="V7" t="inlineStr">
        <is>
          <t>CEDEAR Tecnología</t>
        </is>
      </c>
      <c r="W7" t="n">
        <v>10189.8</v>
      </c>
    </row>
    <row r="8">
      <c r="Q8" t="inlineStr">
        <is>
          <t>VIST</t>
        </is>
      </c>
      <c r="R8" t="n">
        <v>32422.08</v>
      </c>
      <c r="S8" t="n">
        <v>55117.54</v>
      </c>
      <c r="T8" t="n">
        <v>0.7000001233727139</v>
      </c>
      <c r="V8" t="inlineStr">
        <is>
          <t>CEDEAR Energía</t>
        </is>
      </c>
      <c r="W8" t="n">
        <v>32422.08</v>
      </c>
    </row>
    <row r="9">
      <c r="Q9" t="inlineStr">
        <is>
          <t>TZX26</t>
        </is>
      </c>
      <c r="R9" t="n">
        <v>19985.17</v>
      </c>
      <c r="S9" t="n">
        <v>29977.75</v>
      </c>
      <c r="T9" t="n">
        <v>0.4999997498144876</v>
      </c>
      <c r="V9" t="inlineStr">
        <is>
          <t>Bono CER (ajustable)</t>
        </is>
      </c>
      <c r="W9" t="n">
        <v>19985.17</v>
      </c>
    </row>
    <row r="10">
      <c r="Q10" t="inlineStr">
        <is>
          <t>IOLPORA</t>
        </is>
      </c>
      <c r="R10" t="n">
        <v>20000</v>
      </c>
      <c r="S10" t="n">
        <v>31000</v>
      </c>
      <c r="T10" t="n">
        <v>0.55</v>
      </c>
      <c r="V10" t="inlineStr">
        <is>
          <t>FCI Portafolio Mixto</t>
        </is>
      </c>
      <c r="W10" t="n">
        <v>20000</v>
      </c>
    </row>
    <row r="11">
      <c r="Q11" t="inlineStr">
        <is>
          <t>PAMP</t>
        </is>
      </c>
      <c r="R11" t="n">
        <v>14574.84</v>
      </c>
      <c r="S11" t="n">
        <v>24777.23</v>
      </c>
      <c r="T11" t="n">
        <v>0.7000001372227757</v>
      </c>
      <c r="V11" t="inlineStr">
        <is>
          <t>CEDEAR ETF Materiales</t>
        </is>
      </c>
      <c r="W11" t="n">
        <v>18627.6</v>
      </c>
    </row>
    <row r="12">
      <c r="Q12" t="inlineStr">
        <is>
          <t>TGSU2</t>
        </is>
      </c>
      <c r="R12" t="n">
        <v>18217.6</v>
      </c>
      <c r="S12" t="n">
        <v>28237.28</v>
      </c>
      <c r="T12" t="n">
        <v>0.55</v>
      </c>
      <c r="V12" t="inlineStr">
        <is>
          <t>Bono BOPREAL USD</t>
        </is>
      </c>
      <c r="W12" t="n">
        <v>28854.41</v>
      </c>
    </row>
    <row r="13">
      <c r="Q13" t="inlineStr">
        <is>
          <t>COPX</t>
        </is>
      </c>
      <c r="R13" t="n">
        <v>18627.6</v>
      </c>
      <c r="S13" t="n">
        <v>27941.4</v>
      </c>
      <c r="T13" t="n">
        <v>0.5000000000000002</v>
      </c>
    </row>
    <row r="14">
      <c r="Q14" t="inlineStr">
        <is>
          <t>EDN</t>
        </is>
      </c>
      <c r="R14" t="n">
        <v>7330.21</v>
      </c>
      <c r="S14" t="n">
        <v>10628.8</v>
      </c>
      <c r="T14" t="n">
        <v>0.4499993861021716</v>
      </c>
    </row>
    <row r="15">
      <c r="Q15" t="inlineStr">
        <is>
          <t>TXAR</t>
        </is>
      </c>
      <c r="R15" t="n">
        <v>6585.11</v>
      </c>
      <c r="S15" t="n">
        <v>9350.860000000001</v>
      </c>
      <c r="T15" t="n">
        <v>0.420000577059457</v>
      </c>
    </row>
    <row r="16">
      <c r="Q16" t="inlineStr">
        <is>
          <t>BPOC7</t>
        </is>
      </c>
      <c r="R16" t="n">
        <v>28854.41</v>
      </c>
      <c r="S16" t="n">
        <v>38953.45</v>
      </c>
      <c r="T16" t="n">
        <v>0.3499998787013838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2026-05-21T16:59:31Z</dcterms:created>
  <dcterms:modified xsi:type="dcterms:W3CDTF">2026-05-21T16:59:31Z</dcterms:modified>
</cp:coreProperties>
</file>