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ypf-my.sharepoint.com/personal/ae03372_grupo_ypf_com/Documents/Escritorio/Resumenes IA/IA Analisis suministros E+I/"/>
    </mc:Choice>
  </mc:AlternateContent>
  <xr:revisionPtr revIDLastSave="19" documentId="11_C65001BB37663D41C7095ED0E4FE0E156ED8267D" xr6:coauthVersionLast="47" xr6:coauthVersionMax="47" xr10:uidLastSave="{31A53218-34CA-47B0-8A16-7176B0B440C1}"/>
  <bookViews>
    <workbookView xWindow="33345" yWindow="1785" windowWidth="21765" windowHeight="13395" tabRatio="500" firstSheet="1" activeTab="2" xr2:uid="{00000000-000D-0000-FFFF-FFFF00000000}"/>
  </bookViews>
  <sheets>
    <sheet name="PORTADA" sheetId="1" r:id="rId1"/>
    <sheet name="DASHBOARD" sheetId="2" r:id="rId2"/>
    <sheet name="IN – Instrumentación" sheetId="3" r:id="rId3"/>
    <sheet name="EL – Electricidad" sheetId="4" r:id="rId4"/>
  </sheets>
  <definedNames>
    <definedName name="_xlnm.Print_Area" localSheetId="3">'EL – Electricidad'!$A$1:$AT$14</definedName>
    <definedName name="_xlnm.Print_Area" localSheetId="2">'IN – Instrumentación'!$A$1:$AT$19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T14" i="4" l="1"/>
  <c r="AL14" i="4"/>
  <c r="I14" i="4"/>
  <c r="AT13" i="4"/>
  <c r="AL13" i="4"/>
  <c r="I13" i="4"/>
  <c r="AT12" i="4"/>
  <c r="AL12" i="4"/>
  <c r="I12" i="4"/>
  <c r="AT11" i="4"/>
  <c r="AL11" i="4"/>
  <c r="I11" i="4"/>
  <c r="AT10" i="4"/>
  <c r="AL10" i="4"/>
  <c r="I10" i="4"/>
  <c r="AT9" i="4"/>
  <c r="AL9" i="4"/>
  <c r="I9" i="4"/>
  <c r="AT8" i="4"/>
  <c r="AL8" i="4"/>
  <c r="I8" i="4"/>
  <c r="AT7" i="4"/>
  <c r="AL7" i="4"/>
  <c r="I7" i="4"/>
  <c r="AT6" i="4"/>
  <c r="AL6" i="4"/>
  <c r="I6" i="4"/>
  <c r="AT5" i="4"/>
  <c r="AL5" i="4"/>
  <c r="I5" i="4"/>
  <c r="AT19" i="3"/>
  <c r="AL19" i="3"/>
  <c r="I19" i="3"/>
  <c r="AT18" i="3"/>
  <c r="AL18" i="3"/>
  <c r="I18" i="3"/>
  <c r="AT17" i="3"/>
  <c r="AL17" i="3"/>
  <c r="I17" i="3"/>
  <c r="AT16" i="3"/>
  <c r="AL16" i="3"/>
  <c r="I16" i="3"/>
  <c r="AT15" i="3"/>
  <c r="AL15" i="3"/>
  <c r="I15" i="3"/>
  <c r="AT14" i="3"/>
  <c r="AL14" i="3"/>
  <c r="I14" i="3"/>
  <c r="AT13" i="3"/>
  <c r="AL13" i="3"/>
  <c r="I13" i="3"/>
  <c r="AT12" i="3"/>
  <c r="AL12" i="3"/>
  <c r="I12" i="3"/>
  <c r="AT11" i="3"/>
  <c r="AL11" i="3"/>
  <c r="I11" i="3"/>
  <c r="AT10" i="3"/>
  <c r="AL10" i="3"/>
  <c r="I10" i="3"/>
  <c r="AT9" i="3"/>
  <c r="AL9" i="3"/>
  <c r="I9" i="3"/>
  <c r="AT8" i="3"/>
  <c r="AL8" i="3"/>
  <c r="I8" i="3"/>
  <c r="AT7" i="3"/>
  <c r="AL7" i="3"/>
  <c r="I7" i="3"/>
  <c r="AT6" i="3"/>
  <c r="AL6" i="3"/>
  <c r="I6" i="3"/>
  <c r="AT5" i="3"/>
  <c r="AL5" i="3"/>
  <c r="I5" i="3"/>
  <c r="J41" i="2"/>
  <c r="I41" i="2"/>
  <c r="H41" i="2"/>
  <c r="G41" i="2"/>
  <c r="F41" i="2"/>
  <c r="E41" i="2"/>
  <c r="D41" i="2"/>
  <c r="C41" i="2"/>
  <c r="B41" i="2"/>
  <c r="A41" i="2"/>
  <c r="J40" i="2"/>
  <c r="I40" i="2"/>
  <c r="H40" i="2"/>
  <c r="G40" i="2"/>
  <c r="F40" i="2"/>
  <c r="E40" i="2"/>
  <c r="D40" i="2"/>
  <c r="C40" i="2"/>
  <c r="B40" i="2"/>
  <c r="A40" i="2"/>
  <c r="J39" i="2"/>
  <c r="I39" i="2"/>
  <c r="H39" i="2"/>
  <c r="G39" i="2"/>
  <c r="F39" i="2"/>
  <c r="E39" i="2"/>
  <c r="D39" i="2"/>
  <c r="C39" i="2"/>
  <c r="B39" i="2"/>
  <c r="A39" i="2"/>
  <c r="J38" i="2"/>
  <c r="I38" i="2"/>
  <c r="H38" i="2"/>
  <c r="G38" i="2"/>
  <c r="F38" i="2"/>
  <c r="E38" i="2"/>
  <c r="D38" i="2"/>
  <c r="C38" i="2"/>
  <c r="B38" i="2"/>
  <c r="A38" i="2"/>
  <c r="J37" i="2"/>
  <c r="I37" i="2"/>
  <c r="H37" i="2"/>
  <c r="G37" i="2"/>
  <c r="F37" i="2"/>
  <c r="E37" i="2"/>
  <c r="D37" i="2"/>
  <c r="C37" i="2"/>
  <c r="B37" i="2"/>
  <c r="A37" i="2"/>
  <c r="J36" i="2"/>
  <c r="I36" i="2"/>
  <c r="H36" i="2"/>
  <c r="G36" i="2"/>
  <c r="F36" i="2"/>
  <c r="E36" i="2"/>
  <c r="D36" i="2"/>
  <c r="C36" i="2"/>
  <c r="B36" i="2"/>
  <c r="A36" i="2"/>
  <c r="J35" i="2"/>
  <c r="I35" i="2"/>
  <c r="H35" i="2"/>
  <c r="G35" i="2"/>
  <c r="F35" i="2"/>
  <c r="E35" i="2"/>
  <c r="D35" i="2"/>
  <c r="C35" i="2"/>
  <c r="B35" i="2"/>
  <c r="A35" i="2"/>
  <c r="J34" i="2"/>
  <c r="I34" i="2"/>
  <c r="H34" i="2"/>
  <c r="G34" i="2"/>
  <c r="F34" i="2"/>
  <c r="E34" i="2"/>
  <c r="D34" i="2"/>
  <c r="C34" i="2"/>
  <c r="B34" i="2"/>
  <c r="A34" i="2"/>
  <c r="J33" i="2"/>
  <c r="I33" i="2"/>
  <c r="H33" i="2"/>
  <c r="G33" i="2"/>
  <c r="F33" i="2"/>
  <c r="E33" i="2"/>
  <c r="D33" i="2"/>
  <c r="C33" i="2"/>
  <c r="B33" i="2"/>
  <c r="A33" i="2"/>
  <c r="J32" i="2"/>
  <c r="I32" i="2"/>
  <c r="H32" i="2"/>
  <c r="G32" i="2"/>
  <c r="F32" i="2"/>
  <c r="E32" i="2"/>
  <c r="D32" i="2"/>
  <c r="C32" i="2"/>
  <c r="B32" i="2"/>
  <c r="A32" i="2"/>
  <c r="J27" i="2"/>
  <c r="I27" i="2"/>
  <c r="H27" i="2"/>
  <c r="G27" i="2"/>
  <c r="F27" i="2"/>
  <c r="E27" i="2"/>
  <c r="D27" i="2"/>
  <c r="C27" i="2"/>
  <c r="B27" i="2"/>
  <c r="A27" i="2"/>
  <c r="J26" i="2"/>
  <c r="I26" i="2"/>
  <c r="H26" i="2"/>
  <c r="G26" i="2"/>
  <c r="F26" i="2"/>
  <c r="E26" i="2"/>
  <c r="D26" i="2"/>
  <c r="C26" i="2"/>
  <c r="B26" i="2"/>
  <c r="A26" i="2"/>
  <c r="J25" i="2"/>
  <c r="I25" i="2"/>
  <c r="H25" i="2"/>
  <c r="G25" i="2"/>
  <c r="F25" i="2"/>
  <c r="E25" i="2"/>
  <c r="D25" i="2"/>
  <c r="C25" i="2"/>
  <c r="B25" i="2"/>
  <c r="A25" i="2"/>
  <c r="J24" i="2"/>
  <c r="I24" i="2"/>
  <c r="H24" i="2"/>
  <c r="G24" i="2"/>
  <c r="F24" i="2"/>
  <c r="E24" i="2"/>
  <c r="D24" i="2"/>
  <c r="C24" i="2"/>
  <c r="B24" i="2"/>
  <c r="A24" i="2"/>
  <c r="J23" i="2"/>
  <c r="I23" i="2"/>
  <c r="H23" i="2"/>
  <c r="G23" i="2"/>
  <c r="F23" i="2"/>
  <c r="E23" i="2"/>
  <c r="D23" i="2"/>
  <c r="C23" i="2"/>
  <c r="B23" i="2"/>
  <c r="A23" i="2"/>
  <c r="J22" i="2"/>
  <c r="I22" i="2"/>
  <c r="H22" i="2"/>
  <c r="G22" i="2"/>
  <c r="F22" i="2"/>
  <c r="E22" i="2"/>
  <c r="D22" i="2"/>
  <c r="C22" i="2"/>
  <c r="B22" i="2"/>
  <c r="A22" i="2"/>
  <c r="J21" i="2"/>
  <c r="I21" i="2"/>
  <c r="H21" i="2"/>
  <c r="G21" i="2"/>
  <c r="F21" i="2"/>
  <c r="E21" i="2"/>
  <c r="D21" i="2"/>
  <c r="C21" i="2"/>
  <c r="B21" i="2"/>
  <c r="A21" i="2"/>
  <c r="J20" i="2"/>
  <c r="I20" i="2"/>
  <c r="H20" i="2"/>
  <c r="G20" i="2"/>
  <c r="F20" i="2"/>
  <c r="E20" i="2"/>
  <c r="D20" i="2"/>
  <c r="C20" i="2"/>
  <c r="B20" i="2"/>
  <c r="A20" i="2"/>
  <c r="J19" i="2"/>
  <c r="I19" i="2"/>
  <c r="H19" i="2"/>
  <c r="G19" i="2"/>
  <c r="F19" i="2"/>
  <c r="E19" i="2"/>
  <c r="D19" i="2"/>
  <c r="C19" i="2"/>
  <c r="B19" i="2"/>
  <c r="A19" i="2"/>
  <c r="J18" i="2"/>
  <c r="I18" i="2"/>
  <c r="H18" i="2"/>
  <c r="G18" i="2"/>
  <c r="F18" i="2"/>
  <c r="E18" i="2"/>
  <c r="D18" i="2"/>
  <c r="C18" i="2"/>
  <c r="B18" i="2"/>
  <c r="A18" i="2"/>
  <c r="J17" i="2"/>
  <c r="I17" i="2"/>
  <c r="H17" i="2"/>
  <c r="G17" i="2"/>
  <c r="F17" i="2"/>
  <c r="E17" i="2"/>
  <c r="D17" i="2"/>
  <c r="C17" i="2"/>
  <c r="B17" i="2"/>
  <c r="A17" i="2"/>
  <c r="J16" i="2"/>
  <c r="I16" i="2"/>
  <c r="H16" i="2"/>
  <c r="G16" i="2"/>
  <c r="F16" i="2"/>
  <c r="E16" i="2"/>
  <c r="D16" i="2"/>
  <c r="C16" i="2"/>
  <c r="B16" i="2"/>
  <c r="A16" i="2"/>
  <c r="J15" i="2"/>
  <c r="I15" i="2"/>
  <c r="H15" i="2"/>
  <c r="G15" i="2"/>
  <c r="F15" i="2"/>
  <c r="E15" i="2"/>
  <c r="D15" i="2"/>
  <c r="C15" i="2"/>
  <c r="B15" i="2"/>
  <c r="A15" i="2"/>
  <c r="J14" i="2"/>
  <c r="I14" i="2"/>
  <c r="H14" i="2"/>
  <c r="G14" i="2"/>
  <c r="F14" i="2"/>
  <c r="E14" i="2"/>
  <c r="D14" i="2"/>
  <c r="C14" i="2"/>
  <c r="B14" i="2"/>
  <c r="A14" i="2"/>
  <c r="J13" i="2"/>
  <c r="I13" i="2"/>
  <c r="H13" i="2"/>
  <c r="G13" i="2"/>
  <c r="F13" i="2"/>
  <c r="E13" i="2"/>
  <c r="D13" i="2"/>
  <c r="C13" i="2"/>
  <c r="B13" i="2"/>
  <c r="A13" i="2"/>
  <c r="S8" i="2"/>
  <c r="N8" i="2"/>
  <c r="I8" i="2"/>
  <c r="D8" i="2"/>
  <c r="S7" i="2"/>
  <c r="N7" i="2"/>
  <c r="I7" i="2"/>
  <c r="D7" i="2"/>
  <c r="S6" i="2"/>
  <c r="N6" i="2"/>
  <c r="I6" i="2"/>
  <c r="D6" i="2"/>
</calcChain>
</file>

<file path=xl/sharedStrings.xml><?xml version="1.0" encoding="utf-8"?>
<sst xmlns="http://schemas.openxmlformats.org/spreadsheetml/2006/main" count="541" uniqueCount="201">
  <si>
    <t>PROYECTO LA CALERA II</t>
  </si>
  <si>
    <t>TRACKER DE SEGUIMIENTO DE SUMINISTROS</t>
  </si>
  <si>
    <t>ESPECIALIDADES: INSTRUMENTACIÓN &amp; CONTROL  ·  ELECTRICIDAD</t>
  </si>
  <si>
    <t>Fecha de emisión del Plan</t>
  </si>
  <si>
    <t>06-May-2026</t>
  </si>
  <si>
    <t>Revisión</t>
  </si>
  <si>
    <t>Rev. 0</t>
  </si>
  <si>
    <t>Proyecto</t>
  </si>
  <si>
    <t>La Calera II – CPF2</t>
  </si>
  <si>
    <t>RFSU Planificado</t>
  </si>
  <si>
    <t>03-Feb-2027</t>
  </si>
  <si>
    <t>Actualizado por</t>
  </si>
  <si>
    <t>Fecha de actualización</t>
  </si>
  <si>
    <t>LEYENDA – ESTADO GENERAL</t>
  </si>
  <si>
    <t>🟢  COMPLETADO</t>
  </si>
  <si>
    <t>Hito/etapa finalizada en tiempo o antes</t>
  </si>
  <si>
    <t>🟡  EN PROCESO</t>
  </si>
  <si>
    <t>Actividad en curso dentro de plazo</t>
  </si>
  <si>
    <t>🔴  ATRASADO</t>
  </si>
  <si>
    <t>Fecha prog. superada sin completar</t>
  </si>
  <si>
    <t>⚪  PENDIENTE</t>
  </si>
  <si>
    <t>No iniciado, dentro de plazo programado</t>
  </si>
  <si>
    <t>🔵  NO APLICA</t>
  </si>
  <si>
    <t>Ítem no requiere esta etapa</t>
  </si>
  <si>
    <t>DASHBOARD  ·  SEGUIMIENTO DE SUMINISTROS  ·  PROYECTO LA CALERA II</t>
  </si>
  <si>
    <t>Fecha de referencia: 19 May 2026</t>
  </si>
  <si>
    <t>RFSU Planificado: 03-Feb-2027   |   Hito Ing. 80%: 01-Jun-2026</t>
  </si>
  <si>
    <t>IN – Estado General</t>
  </si>
  <si>
    <t>IN – OC Emitidas</t>
  </si>
  <si>
    <t>EL – Estado General</t>
  </si>
  <si>
    <t>EL – OC Emitidas</t>
  </si>
  <si>
    <t>Total ítems</t>
  </si>
  <si>
    <t>🟢 Completados</t>
  </si>
  <si>
    <t>🔴 Atrasados</t>
  </si>
  <si>
    <t>RESUMEN ETAPAS – IN  INSTRUMENTACIÓN &amp; CONTROL</t>
  </si>
  <si>
    <t>N°</t>
  </si>
  <si>
    <t>Descripción</t>
  </si>
  <si>
    <t>Estado RI</t>
  </si>
  <si>
    <t>Estado SOLP</t>
  </si>
  <si>
    <t>Estado Rec.Of</t>
  </si>
  <si>
    <t>Estado AT</t>
  </si>
  <si>
    <t>Estado OC</t>
  </si>
  <si>
    <t>Estado Entrega</t>
  </si>
  <si>
    <t>Estado General</t>
  </si>
  <si>
    <t>Observaciones</t>
  </si>
  <si>
    <t>RESUMEN ETAPAS – EL  ELECTRICIDAD</t>
  </si>
  <si>
    <t>TRACKER DE SUMINISTROS  ·  INSTRUMENTACIÓN &amp; CONTROL  ·  PROYECTO LA CALERA II  ·  Rev. 0  ·  Actualizado: 19-May-2026</t>
  </si>
  <si>
    <t>IDENTIFICACIÓN</t>
  </si>
  <si>
    <t>RI  –  REQUISICIÓN DE INGENIERÍA</t>
  </si>
  <si>
    <t>SOLP  /  CESTA</t>
  </si>
  <si>
    <t>RECEPCIÓN DE OFERTAS</t>
  </si>
  <si>
    <t>ANÁLISIS TÉCNICO (AT)</t>
  </si>
  <si>
    <t>ORDEN DE COMPRA (OC)</t>
  </si>
  <si>
    <t>ENTREGA  /  DISPONIBILIDAD</t>
  </si>
  <si>
    <t>GESTIÓN Y SEGUIMIENTO</t>
  </si>
  <si>
    <t>N° REQ.</t>
  </si>
  <si>
    <t>DESCRIPCIÓN</t>
  </si>
  <si>
    <t>TAG N°</t>
  </si>
  <si>
    <t>Fecha Prog.</t>
  </si>
  <si>
    <t>Forecast</t>
  </si>
  <si>
    <t>Fecha Real</t>
  </si>
  <si>
    <t>Estado</t>
  </si>
  <si>
    <t>Desvío (d)</t>
  </si>
  <si>
    <t>N° SOLP/Cesta</t>
  </si>
  <si>
    <t>Emis. Ini Prog</t>
  </si>
  <si>
    <t>Emis. Fin Prog</t>
  </si>
  <si>
    <t>Real</t>
  </si>
  <si>
    <t>Ini Prog</t>
  </si>
  <si>
    <t>Fin Prog</t>
  </si>
  <si>
    <t>RevA – Prog</t>
  </si>
  <si>
    <t>RevA – Real</t>
  </si>
  <si>
    <t>Rev0 Ini Prog</t>
  </si>
  <si>
    <t>Rev0 Fin Prog</t>
  </si>
  <si>
    <t>Rev0 Real</t>
  </si>
  <si>
    <t>N° OC</t>
  </si>
  <si>
    <t>Proveedor</t>
  </si>
  <si>
    <t>Posición</t>
  </si>
  <si>
    <t>OC Prog.</t>
  </si>
  <si>
    <t>OC Forecast</t>
  </si>
  <si>
    <t>OC Real</t>
  </si>
  <si>
    <t>F. Entrega Prog</t>
  </si>
  <si>
    <t>F. Entrega Forecast</t>
  </si>
  <si>
    <t>F. Entrega Real</t>
  </si>
  <si>
    <t>Fecha Necesidad</t>
  </si>
  <si>
    <t>Desvío vs Nec (d)</t>
  </si>
  <si>
    <t>Prioridad</t>
  </si>
  <si>
    <t>Responsable</t>
  </si>
  <si>
    <t>Próxima Acción</t>
  </si>
  <si>
    <t>F. Prox. Acción</t>
  </si>
  <si>
    <t>Última Actualiz.</t>
  </si>
  <si>
    <t>Completar</t>
  </si>
  <si>
    <t>Plan de Suministros</t>
  </si>
  <si>
    <t>De plano</t>
  </si>
  <si>
    <t>Del cronograma</t>
  </si>
  <si>
    <t>Estimación actual</t>
  </si>
  <si>
    <t>Fecha cierre</t>
  </si>
  <si>
    <t>▼ Lista</t>
  </si>
  <si>
    <t>Auto (Real - Prog)</t>
  </si>
  <si>
    <t>Ingresar N°</t>
  </si>
  <si>
    <t>Estimación</t>
  </si>
  <si>
    <t>Ingresar N° OC</t>
  </si>
  <si>
    <t>Nombre proveedor</t>
  </si>
  <si>
    <t>Posición SAP</t>
  </si>
  <si>
    <t>Fecha firma</t>
  </si>
  <si>
    <t>Del contrato OC</t>
  </si>
  <si>
    <t>Fecha recepción</t>
  </si>
  <si>
    <t>Fecha crítica</t>
  </si>
  <si>
    <t>Auto (Real - Nec)</t>
  </si>
  <si>
    <t>Ingresar nombre</t>
  </si>
  <si>
    <t>Describir acción</t>
  </si>
  <si>
    <t>Fecha límite</t>
  </si>
  <si>
    <t>Notas/riesgos/acciones</t>
  </si>
  <si>
    <t>Auto</t>
  </si>
  <si>
    <t>Válvulas de control, shutdown y motorizadas</t>
  </si>
  <si>
    <t>COMPLETADO</t>
  </si>
  <si>
    <t>RI-001/003</t>
  </si>
  <si>
    <t>EN PROCESO</t>
  </si>
  <si>
    <t>PENDIENTE</t>
  </si>
  <si>
    <t>🟡 EN PROCESO</t>
  </si>
  <si>
    <t>ALTO</t>
  </si>
  <si>
    <t>RI-001 (Val.Control/Autoreg.) emitida 23-Abr. RI-003 (Blowdown/Shutdown) emitida 19-Mar. Rec.Ofertas en curso fc May-26. AT fc Ago-26.</t>
  </si>
  <si>
    <t>Válvulas de seguridad (PSV)</t>
  </si>
  <si>
    <t>RI-002</t>
  </si>
  <si>
    <t>EMITIDA</t>
  </si>
  <si>
    <t>COMPLETADA</t>
  </si>
  <si>
    <t>RI emitida 30-Mar. Rec.Ofertas completada 30-Abr. AT pendiente fc Jul. OC fc Ene-27.</t>
  </si>
  <si>
    <t>Instrumentos comunes</t>
  </si>
  <si>
    <t>RI-005/006/008/010/011/012</t>
  </si>
  <si>
    <t>RIs emitidas 10-24 Abr (T.Pres, T.Pres.Dif, T.Nivel, T.Temp, Manóm, Ind.Nivel). SOLP en proceso. Rec.Of fc May-Jun 26.</t>
  </si>
  <si>
    <t>Transmisores (P, DP, T, N)</t>
  </si>
  <si>
    <t>RI-005/006/008/010/024/025/026</t>
  </si>
  <si>
    <t>RIs completadas (P, DP, T, Nivel Radar, Caudal Mag/Coriolis/Ultrasónico). SOLP/Rec.Ofertas fc May-Jun.</t>
  </si>
  <si>
    <t>Medidores de caudal (MV, Coriolis, DP)</t>
  </si>
  <si>
    <t>RI-024/025/026</t>
  </si>
  <si>
    <t>RI y Rec.Ofertas completadas 22-Abr (Caudal Magnético, Coriolis, Ultrasónico). AT fc Jun. OC Oct-Nov. Entrega Dic-26.</t>
  </si>
  <si>
    <t>Analizadores</t>
  </si>
  <si>
    <t>RI-028/029</t>
  </si>
  <si>
    <t>RI y Rec.Ofertas completadas 17-Abr (Analizador RVP y Corte de Agua). AT fc Jun. OC/Entrega 2do sem 2026.</t>
  </si>
  <si>
    <t>Tomamuestras</t>
  </si>
  <si>
    <t>RI-015</t>
  </si>
  <si>
    <t>MEDIO</t>
  </si>
  <si>
    <t>RI emitida 30-Mar (antes del prog). SOLP en proceso fc May. Entrega fc Nov-26. Holgura ok.</t>
  </si>
  <si>
    <t>Materiales para montaje de instrumentos</t>
  </si>
  <si>
    <t>ATRASADO</t>
  </si>
  <si>
    <t>RI-039/040</t>
  </si>
  <si>
    <t>🔴 ATRASADO</t>
  </si>
  <si>
    <t>CRÍTICO</t>
  </si>
  <si>
    <t>⚠ CRÍTICO: RI prog Jun-25. Tendencia actual Oct-26 (+16 meses). Revisar alcance y estrategia de compra urgente.</t>
  </si>
  <si>
    <t>Cajas de conexionado (J-Box)</t>
  </si>
  <si>
    <t>RI-033</t>
  </si>
  <si>
    <t>RI prog Jul-25, desvío importante. Tendencia fc May-26. Emisión pendiente. Entrega fc Nov-26.</t>
  </si>
  <si>
    <t>Bandejas portacables</t>
  </si>
  <si>
    <t>⚠ RI prog Ago-25 sin emisión registrada. Sin RI activa en el plan. Requiere verificación y emisión urgente.</t>
  </si>
  <si>
    <t>Cables de inst. Rev. 0 – Ing. Inicial</t>
  </si>
  <si>
    <t>RI-032</t>
  </si>
  <si>
    <t>⚠ RI prog Sep-25, tendencia May-26 (+8 meses). Dependiente plano de cables Rev.0. Requiere aceleración de ingeniería.</t>
  </si>
  <si>
    <t>Cables de inst. Rev. 1 – Ing. 80%</t>
  </si>
  <si>
    <t>RI-032 Rev.1</t>
  </si>
  <si>
    <t>⚪ PENDIENTE</t>
  </si>
  <si>
    <t>Fase Rev.1 sujeta a Ing.80% (hito Jun-26). Tendencia RI May-26. OC prevista Ago-26. Entrega Dic-26.</t>
  </si>
  <si>
    <t>Sistema de control (HW + SW / DCS/RTU/PLC)</t>
  </si>
  <si>
    <t>RI-035 (PCS) / RI-036 (SIS)</t>
  </si>
  <si>
    <t>PCS (Inauco) y SIS (HIMA): RI 03-Feb, Rec.Of 25-Mar completadas. AT fc Jul-26. OC fc Feb-27. Lead time crítico para RFSU Feb-27.</t>
  </si>
  <si>
    <t>Sistema Fire &amp; Gas (FGS)</t>
  </si>
  <si>
    <t>RI-017 / RI-031</t>
  </si>
  <si>
    <t>RI F&amp;G y Det.Térmico Lineal completadas. Rec.Ofertas 30-Abr. AT fc Jul. OC/Entrega Dic-26.</t>
  </si>
  <si>
    <t>Sistema Contra Incendio (Detección/Diluvio)</t>
  </si>
  <si>
    <t>RI-013</t>
  </si>
  <si>
    <t>RI y Rec.Ofertas (Val.Diluvio) completadas 06-May. AT fc Jul. OC/Entrega Ene-27.</t>
  </si>
  <si>
    <t>TRACKER DE SUMINISTROS  ·  ELECTRICIDAD  ·  PROYECTO LA CALERA II  ·  Rev. 0  ·  Actualizado: 19-May-2026</t>
  </si>
  <si>
    <t>Shelter eléctrico y banco de carga</t>
  </si>
  <si>
    <t>RI-004/005/006</t>
  </si>
  <si>
    <t>APROBADO</t>
  </si>
  <si>
    <t>En gestión</t>
  </si>
  <si>
    <t>SE#3 y SE#4: RI, Rec.Of y OC/Adj. completadas (May-26). SE#5 sin RI localizada. Fabricación en curso. Entrega fc May-27.</t>
  </si>
  <si>
    <t>Tableros y celdas media tensión (MT)</t>
  </si>
  <si>
    <t>RI-007/008/RI-002</t>
  </si>
  <si>
    <t>RI Transf.Secos/Aceite y Eq.Maniobra MT completadas y Rec.Of 30-Abr. AT pendiente. Lead time crítico ~12 meses. OC fc Ene-27.</t>
  </si>
  <si>
    <t>Tableros BT y Centros de Control de Motores (CCM)</t>
  </si>
  <si>
    <t>⚠ RI prog Jul-25 sin emisión confirmada al 6-May. Requiere verificación urgente. Lead time CCM ~10-12 meses.</t>
  </si>
  <si>
    <t>Canalizaciones eléctricas (conduits/acces.)</t>
  </si>
  <si>
    <t>RI-007 Canalizaciones</t>
  </si>
  <si>
    <t>⚠ RI prog Feb-26, tendencia Jun-26 (+4 meses). Entrega fc Ene-27 vs necesidad Oct-26. Desvío ~90 días.</t>
  </si>
  <si>
    <t>Cables eléctricos Rev. 0 – Ing. Inicial</t>
  </si>
  <si>
    <t>RI-006 Cables EL Rev.0</t>
  </si>
  <si>
    <t>⚠ RI prog Mar-26, tendencia Jun-26. Entrega fc Feb-27 vs necesidad Dic-26. Desvío ~60 días. Dependiente plano Rev.0.</t>
  </si>
  <si>
    <t>Cables eléctricos Rev. 1 – Ing. 80%</t>
  </si>
  <si>
    <t>RI-006 Cables EL Rev.1</t>
  </si>
  <si>
    <t>Fase Rev.1 sujeta a Ing.80% (hito Jun-26). OC fc Ago-26. Entrega Dic-26.</t>
  </si>
  <si>
    <t>Materiales PAT (Puesta a tierra y SPCDA)</t>
  </si>
  <si>
    <t>RI-002 PAT/SPCDA</t>
  </si>
  <si>
    <t>Por confirmar</t>
  </si>
  <si>
    <t>EN TRÁNSITO</t>
  </si>
  <si>
    <t>✅ Ítem más avanzado EL: RI, Rec.Of, AT y OC completadas (Abr-26). Entrega contractual Abr-26. FC entrega Jun-26. Confirmar estado físico.</t>
  </si>
  <si>
    <t>Sistema UPS y Rectificadores</t>
  </si>
  <si>
    <t>⚠ RI prog Nov-25 sin real confirmada. Equipo de largo lead time (~10 meses). Requiere RI y adjudicación urgente.</t>
  </si>
  <si>
    <t>Tracing eléctrico</t>
  </si>
  <si>
    <t>RI-004 Tracing</t>
  </si>
  <si>
    <t>RI prog Abr-26, tendencia Ago-26. Entrega fc Mar-27 vs necesidad Dic-26. Desvío ~3 meses. Alinear con Ing. de detalle.</t>
  </si>
  <si>
    <t>Ducto de barras</t>
  </si>
  <si>
    <t>⚠ 'No se encuentra' en cronograma. Sin RI emitida. Lead time ducto de barras 8-10 meses. Acción inmediata requerida.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</si>
</sst>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26" x14ac:knownFonts="1">
    <font>
      <sz val="11"/>
      <color theme="1"/>
      <name val="Calibri"/>
      <family val="2"/>
      <charset val="1"/>
    </font>
    <font>
      <b/>
      <sz val="28"/>
      <color rgb="FFFFFFFF"/>
      <name val="Arial"/>
      <charset val="1"/>
    </font>
    <font>
      <b/>
      <sz val="20"/>
      <color rgb="FFFFD966"/>
      <name val="Arial"/>
      <charset val="1"/>
    </font>
    <font>
      <sz val="14"/>
      <color rgb="FF9DC3E6"/>
      <name val="Arial"/>
      <charset val="1"/>
    </font>
    <font>
      <b/>
      <sz val="11"/>
      <color rgb="FF9DC3E6"/>
      <name val="Arial"/>
      <charset val="1"/>
    </font>
    <font>
      <b/>
      <sz val="11"/>
      <color rgb="FFFFFFFF"/>
      <name val="Arial"/>
      <charset val="1"/>
    </font>
    <font>
      <b/>
      <sz val="12"/>
      <color rgb="FFFFD966"/>
      <name val="Arial"/>
      <charset val="1"/>
    </font>
    <font>
      <sz val="10"/>
      <color rgb="FFFFFFFF"/>
      <name val="Arial"/>
      <charset val="1"/>
    </font>
    <font>
      <b/>
      <sz val="11"/>
      <color rgb="FF000000"/>
      <name val="Arial"/>
      <charset val="1"/>
    </font>
    <font>
      <b/>
      <sz val="16"/>
      <color rgb="FFFFFFFF"/>
      <name val="Arial"/>
      <charset val="1"/>
    </font>
    <font>
      <i/>
      <sz val="10"/>
      <color rgb="FF595959"/>
      <name val="Arial"/>
      <charset val="1"/>
    </font>
    <font>
      <b/>
      <sz val="9"/>
      <name val="Arial"/>
      <charset val="1"/>
    </font>
    <font>
      <b/>
      <sz val="14"/>
      <color rgb="FF1F3864"/>
      <name val="Arial"/>
      <charset val="1"/>
    </font>
    <font>
      <sz val="9"/>
      <name val="Arial"/>
      <charset val="1"/>
    </font>
    <font>
      <b/>
      <sz val="12"/>
      <color rgb="FF276221"/>
      <name val="Arial"/>
      <charset val="1"/>
    </font>
    <font>
      <b/>
      <sz val="12"/>
      <color rgb="FF9C0006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8"/>
      <color rgb="FFFFFFFF"/>
      <name val="Arial"/>
      <charset val="1"/>
    </font>
    <font>
      <b/>
      <sz val="8"/>
      <color rgb="FF000000"/>
      <name val="Arial"/>
      <charset val="1"/>
    </font>
    <font>
      <i/>
      <sz val="7"/>
      <color rgb="FF595959"/>
      <name val="Arial"/>
      <charset val="1"/>
    </font>
    <font>
      <sz val="9"/>
      <color rgb="FF000000"/>
      <name val="Arial"/>
      <charset val="1"/>
    </font>
    <font>
      <b/>
      <sz val="9"/>
      <color rgb="FF276221"/>
      <name val="Arial"/>
      <charset val="1"/>
    </font>
    <font>
      <b/>
      <sz val="9"/>
      <color rgb="FF7D5A00"/>
      <name val="Arial"/>
      <charset val="1"/>
    </font>
    <font>
      <sz val="9"/>
      <color rgb="FF595959"/>
      <name val="Arial"/>
      <charset val="1"/>
    </font>
    <font>
      <b/>
      <sz val="9"/>
      <color rgb="FF9C0006"/>
      <name val="Arial"/>
      <charset val="1"/>
    </font>
  </fonts>
  <fills count="37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70AD47"/>
        <bgColor rgb="FF808080"/>
      </patternFill>
    </fill>
    <fill>
      <patternFill patternType="solid">
        <fgColor rgb="FFFFC000"/>
        <bgColor rgb="FFFFD966"/>
      </patternFill>
    </fill>
    <fill>
      <patternFill patternType="solid">
        <fgColor rgb="FFC00000"/>
        <bgColor rgb="FF9C0006"/>
      </patternFill>
    </fill>
    <fill>
      <patternFill patternType="solid">
        <fgColor rgb="FFB0B0B0"/>
        <bgColor rgb="FFBFBFBF"/>
      </patternFill>
    </fill>
    <fill>
      <patternFill patternType="solid">
        <fgColor rgb="FF4472C4"/>
        <bgColor rgb="FF2E75B6"/>
      </patternFill>
    </fill>
    <fill>
      <patternFill patternType="solid">
        <fgColor rgb="FF2E4057"/>
        <bgColor rgb="FF1F3864"/>
      </patternFill>
    </fill>
    <fill>
      <patternFill patternType="solid">
        <fgColor rgb="FFF0F4F8"/>
        <bgColor rgb="FFF2F2F2"/>
      </patternFill>
    </fill>
    <fill>
      <patternFill patternType="solid">
        <fgColor rgb="FF0070C0"/>
        <bgColor rgb="FF2B6CB0"/>
      </patternFill>
    </fill>
    <fill>
      <patternFill patternType="solid">
        <fgColor rgb="FFFF6600"/>
        <bgColor rgb="FFC05000"/>
      </patternFill>
    </fill>
    <fill>
      <patternFill patternType="solid">
        <fgColor rgb="FFEBF4FF"/>
        <bgColor rgb="FFF0F4F8"/>
      </patternFill>
    </fill>
    <fill>
      <patternFill patternType="solid">
        <fgColor rgb="FFFFFFFF"/>
        <bgColor rgb="FFF5F8FF"/>
      </patternFill>
    </fill>
    <fill>
      <patternFill patternType="solid">
        <fgColor rgb="FFFFF3EB"/>
        <bgColor rgb="FFF2F2F2"/>
      </patternFill>
    </fill>
    <fill>
      <patternFill patternType="solid">
        <fgColor rgb="FFC6EFCE"/>
        <bgColor rgb="FFBDD7EE"/>
      </patternFill>
    </fill>
    <fill>
      <patternFill patternType="solid">
        <fgColor rgb="FFFFC7CE"/>
        <bgColor rgb="FFF4B183"/>
      </patternFill>
    </fill>
    <fill>
      <patternFill patternType="solid">
        <fgColor rgb="FF2B6CB0"/>
        <bgColor rgb="FF2E75B6"/>
      </patternFill>
    </fill>
    <fill>
      <patternFill patternType="solid">
        <fgColor rgb="FFC05000"/>
        <bgColor rgb="FF843C0C"/>
      </patternFill>
    </fill>
    <fill>
      <patternFill patternType="solid">
        <fgColor rgb="FF2E75B6"/>
        <bgColor rgb="FF2B6CB0"/>
      </patternFill>
    </fill>
    <fill>
      <patternFill patternType="solid">
        <fgColor rgb="FF375623"/>
        <bgColor rgb="FF276221"/>
      </patternFill>
    </fill>
    <fill>
      <patternFill patternType="solid">
        <fgColor rgb="FF843C0C"/>
        <bgColor rgb="FF7D5A00"/>
      </patternFill>
    </fill>
    <fill>
      <patternFill patternType="solid">
        <fgColor rgb="FF7F6000"/>
        <bgColor rgb="FF7D5A00"/>
      </patternFill>
    </fill>
    <fill>
      <patternFill patternType="solid">
        <fgColor rgb="FF3F1F5A"/>
        <bgColor rgb="FF1F3864"/>
      </patternFill>
    </fill>
    <fill>
      <patternFill patternType="solid">
        <fgColor rgb="FF820000"/>
        <bgColor rgb="FF9C0006"/>
      </patternFill>
    </fill>
    <fill>
      <patternFill patternType="solid">
        <fgColor rgb="FF1F4E79"/>
        <bgColor rgb="FF2E4057"/>
      </patternFill>
    </fill>
    <fill>
      <patternFill patternType="solid">
        <fgColor rgb="FF9DC3E6"/>
        <bgColor rgb="FFBFBFBF"/>
      </patternFill>
    </fill>
    <fill>
      <patternFill patternType="solid">
        <fgColor rgb="FFA9D18E"/>
        <bgColor rgb="FFBFBFBF"/>
      </patternFill>
    </fill>
    <fill>
      <patternFill patternType="solid">
        <fgColor rgb="FFF4B183"/>
        <bgColor rgb="FFFF9999"/>
      </patternFill>
    </fill>
    <fill>
      <patternFill patternType="solid">
        <fgColor rgb="FFFFD966"/>
        <bgColor rgb="FFFFEB9C"/>
      </patternFill>
    </fill>
    <fill>
      <patternFill patternType="solid">
        <fgColor rgb="FFC9B8E8"/>
        <bgColor rgb="FFBFBFBF"/>
      </patternFill>
    </fill>
    <fill>
      <patternFill patternType="solid">
        <fgColor rgb="FFFF9999"/>
        <bgColor rgb="FFF4B183"/>
      </patternFill>
    </fill>
    <fill>
      <patternFill patternType="solid">
        <fgColor rgb="FFBDD7EE"/>
        <bgColor rgb="FFC6EFCE"/>
      </patternFill>
    </fill>
    <fill>
      <patternFill patternType="solid">
        <fgColor rgb="FFF2F2F2"/>
        <bgColor rgb="FFF0F4F8"/>
      </patternFill>
    </fill>
    <fill>
      <patternFill patternType="solid">
        <fgColor rgb="FFFFEB9C"/>
        <bgColor rgb="FFFFD966"/>
      </patternFill>
    </fill>
    <fill>
      <patternFill patternType="solid">
        <fgColor rgb="FFEDEDED"/>
        <bgColor rgb="FFF2F2F2"/>
      </patternFill>
    </fill>
    <fill>
      <patternFill patternType="solid">
        <fgColor rgb="FFF5F8FF"/>
        <bgColor rgb="FFF0F4F8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9" borderId="0" xfId="0" applyFill="1"/>
    <xf numFmtId="0" fontId="12" fillId="13" borderId="2" xfId="0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left" vertical="center"/>
    </xf>
    <xf numFmtId="0" fontId="13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left" vertical="center"/>
    </xf>
    <xf numFmtId="0" fontId="16" fillId="18" borderId="2" xfId="0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center" vertical="center" wrapText="1"/>
    </xf>
    <xf numFmtId="0" fontId="19" fillId="26" borderId="2" xfId="0" applyFont="1" applyFill="1" applyBorder="1" applyAlignment="1">
      <alignment horizontal="center" vertical="center" wrapText="1"/>
    </xf>
    <xf numFmtId="0" fontId="18" fillId="19" borderId="2" xfId="0" applyFont="1" applyFill="1" applyBorder="1" applyAlignment="1">
      <alignment horizontal="center" vertical="center" wrapText="1"/>
    </xf>
    <xf numFmtId="0" fontId="19" fillId="27" borderId="2" xfId="0" applyFont="1" applyFill="1" applyBorder="1" applyAlignment="1">
      <alignment horizontal="center" vertical="center" wrapText="1"/>
    </xf>
    <xf numFmtId="0" fontId="18" fillId="20" borderId="2" xfId="0" applyFont="1" applyFill="1" applyBorder="1" applyAlignment="1">
      <alignment horizontal="center" vertical="center" wrapText="1"/>
    </xf>
    <xf numFmtId="0" fontId="19" fillId="28" borderId="2" xfId="0" applyFont="1" applyFill="1" applyBorder="1" applyAlignment="1">
      <alignment horizontal="center" vertical="center" wrapText="1"/>
    </xf>
    <xf numFmtId="0" fontId="18" fillId="21" borderId="2" xfId="0" applyFont="1" applyFill="1" applyBorder="1" applyAlignment="1">
      <alignment horizontal="center" vertical="center" wrapText="1"/>
    </xf>
    <xf numFmtId="0" fontId="19" fillId="29" borderId="2" xfId="0" applyFont="1" applyFill="1" applyBorder="1" applyAlignment="1">
      <alignment horizontal="center" vertical="center" wrapText="1"/>
    </xf>
    <xf numFmtId="0" fontId="19" fillId="22" borderId="2" xfId="0" applyFont="1" applyFill="1" applyBorder="1" applyAlignment="1">
      <alignment horizontal="center" vertical="center" wrapText="1"/>
    </xf>
    <xf numFmtId="0" fontId="19" fillId="30" borderId="2" xfId="0" applyFont="1" applyFill="1" applyBorder="1" applyAlignment="1">
      <alignment horizontal="center" vertical="center" wrapText="1"/>
    </xf>
    <xf numFmtId="0" fontId="18" fillId="23" borderId="2" xfId="0" applyFont="1" applyFill="1" applyBorder="1" applyAlignment="1">
      <alignment horizontal="center" vertical="center" wrapText="1"/>
    </xf>
    <xf numFmtId="0" fontId="19" fillId="31" borderId="2" xfId="0" applyFont="1" applyFill="1" applyBorder="1" applyAlignment="1">
      <alignment horizontal="center" vertical="center" wrapText="1"/>
    </xf>
    <xf numFmtId="0" fontId="18" fillId="24" borderId="2" xfId="0" applyFont="1" applyFill="1" applyBorder="1" applyAlignment="1">
      <alignment horizontal="center" vertical="center" wrapText="1"/>
    </xf>
    <xf numFmtId="0" fontId="18" fillId="25" borderId="2" xfId="0" applyFont="1" applyFill="1" applyBorder="1" applyAlignment="1">
      <alignment horizontal="center" vertical="center" wrapText="1"/>
    </xf>
    <xf numFmtId="0" fontId="19" fillId="32" borderId="2" xfId="0" applyFont="1" applyFill="1" applyBorder="1" applyAlignment="1">
      <alignment horizontal="center" vertical="center" wrapText="1"/>
    </xf>
    <xf numFmtId="0" fontId="20" fillId="33" borderId="2" xfId="0" applyFont="1" applyFill="1" applyBorder="1" applyAlignment="1">
      <alignment horizontal="center" vertical="center" wrapText="1"/>
    </xf>
    <xf numFmtId="0" fontId="21" fillId="13" borderId="2" xfId="0" applyFont="1" applyFill="1" applyBorder="1" applyAlignment="1">
      <alignment horizontal="center" vertical="center"/>
    </xf>
    <xf numFmtId="0" fontId="21" fillId="13" borderId="2" xfId="0" applyFont="1" applyFill="1" applyBorder="1" applyAlignment="1">
      <alignment horizontal="left" vertical="center"/>
    </xf>
    <xf numFmtId="164" fontId="21" fillId="13" borderId="2" xfId="0" applyNumberFormat="1" applyFont="1" applyFill="1" applyBorder="1" applyAlignment="1">
      <alignment horizontal="center" vertical="center"/>
    </xf>
    <xf numFmtId="164" fontId="13" fillId="13" borderId="2" xfId="0" applyNumberFormat="1" applyFont="1" applyFill="1" applyBorder="1" applyAlignment="1">
      <alignment horizontal="center" vertical="center"/>
    </xf>
    <xf numFmtId="0" fontId="22" fillId="15" borderId="2" xfId="0" applyFont="1" applyFill="1" applyBorder="1" applyAlignment="1">
      <alignment horizontal="center" vertical="center"/>
    </xf>
    <xf numFmtId="1" fontId="21" fillId="13" borderId="2" xfId="0" applyNumberFormat="1" applyFont="1" applyFill="1" applyBorder="1" applyAlignment="1">
      <alignment horizontal="center" vertical="center"/>
    </xf>
    <xf numFmtId="0" fontId="23" fillId="34" borderId="2" xfId="0" applyFont="1" applyFill="1" applyBorder="1" applyAlignment="1">
      <alignment horizontal="center" vertical="center"/>
    </xf>
    <xf numFmtId="0" fontId="24" fillId="35" borderId="2" xfId="0" applyFont="1" applyFill="1" applyBorder="1" applyAlignment="1">
      <alignment horizontal="center" vertical="center"/>
    </xf>
    <xf numFmtId="0" fontId="21" fillId="13" borderId="2" xfId="0" applyFont="1" applyFill="1" applyBorder="1" applyAlignment="1">
      <alignment horizontal="left" vertical="center" wrapText="1"/>
    </xf>
    <xf numFmtId="0" fontId="13" fillId="13" borderId="2" xfId="0" applyFont="1" applyFill="1" applyBorder="1" applyAlignment="1">
      <alignment horizontal="left" vertical="center" wrapText="1"/>
    </xf>
    <xf numFmtId="0" fontId="21" fillId="36" borderId="2" xfId="0" applyFont="1" applyFill="1" applyBorder="1" applyAlignment="1">
      <alignment horizontal="center" vertical="center"/>
    </xf>
    <xf numFmtId="0" fontId="21" fillId="36" borderId="2" xfId="0" applyFont="1" applyFill="1" applyBorder="1" applyAlignment="1">
      <alignment horizontal="left" vertical="center"/>
    </xf>
    <xf numFmtId="164" fontId="21" fillId="36" borderId="2" xfId="0" applyNumberFormat="1" applyFont="1" applyFill="1" applyBorder="1" applyAlignment="1">
      <alignment horizontal="center" vertical="center"/>
    </xf>
    <xf numFmtId="164" fontId="13" fillId="36" borderId="2" xfId="0" applyNumberFormat="1" applyFont="1" applyFill="1" applyBorder="1" applyAlignment="1">
      <alignment horizontal="center" vertical="center"/>
    </xf>
    <xf numFmtId="1" fontId="21" fillId="36" borderId="2" xfId="0" applyNumberFormat="1" applyFont="1" applyFill="1" applyBorder="1" applyAlignment="1">
      <alignment horizontal="center" vertical="center"/>
    </xf>
    <xf numFmtId="0" fontId="13" fillId="36" borderId="2" xfId="0" applyFont="1" applyFill="1" applyBorder="1" applyAlignment="1">
      <alignment horizontal="center" vertical="center"/>
    </xf>
    <xf numFmtId="0" fontId="21" fillId="36" borderId="2" xfId="0" applyFont="1" applyFill="1" applyBorder="1" applyAlignment="1">
      <alignment horizontal="left" vertical="center" wrapText="1"/>
    </xf>
    <xf numFmtId="0" fontId="13" fillId="36" borderId="2" xfId="0" applyFont="1" applyFill="1" applyBorder="1" applyAlignment="1">
      <alignment horizontal="left" vertical="center" wrapText="1"/>
    </xf>
    <xf numFmtId="0" fontId="25" fillId="16" borderId="2" xfId="0" applyFont="1" applyFill="1" applyBorder="1" applyAlignment="1">
      <alignment horizontal="center" vertical="center"/>
    </xf>
    <xf numFmtId="0" fontId="0" fillId="9" borderId="0" xfId="0" applyFill="1" applyAlignment="1">
      <alignment horizontal="left"/>
    </xf>
    <xf numFmtId="0" fontId="16" fillId="17" borderId="2" xfId="0" applyFont="1" applyFill="1" applyBorder="1" applyAlignment="1">
      <alignment horizontal="left" vertical="center" wrapText="1"/>
    </xf>
    <xf numFmtId="0" fontId="16" fillId="18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5" fillId="6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5" fillId="7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13" fillId="12" borderId="0" xfId="0" applyFont="1" applyFill="1"/>
    <xf numFmtId="0" fontId="13" fillId="14" borderId="0" xfId="0" applyFont="1" applyFill="1"/>
    <xf numFmtId="0" fontId="5" fillId="10" borderId="1" xfId="0" applyFont="1" applyFill="1" applyBorder="1" applyAlignment="1">
      <alignment horizontal="center" vertical="center"/>
    </xf>
    <xf numFmtId="0" fontId="11" fillId="12" borderId="0" xfId="0" applyFont="1" applyFill="1"/>
    <xf numFmtId="0" fontId="11" fillId="14" borderId="0" xfId="0" applyFont="1" applyFill="1"/>
    <xf numFmtId="0" fontId="9" fillId="8" borderId="0" xfId="0" applyFont="1" applyFill="1" applyAlignment="1">
      <alignment horizontal="center" vertical="center"/>
    </xf>
    <xf numFmtId="0" fontId="10" fillId="9" borderId="0" xfId="0" applyFont="1" applyFill="1"/>
    <xf numFmtId="0" fontId="5" fillId="2" borderId="0" xfId="0" applyFont="1" applyFill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20" borderId="1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center" vertical="center"/>
    </xf>
    <xf numFmtId="0" fontId="17" fillId="22" borderId="1" xfId="0" applyFont="1" applyFill="1" applyBorder="1" applyAlignment="1">
      <alignment horizontal="center" vertical="center"/>
    </xf>
    <xf numFmtId="0" fontId="17" fillId="23" borderId="1" xfId="0" applyFont="1" applyFill="1" applyBorder="1" applyAlignment="1">
      <alignment horizontal="center" vertical="center"/>
    </xf>
    <xf numFmtId="0" fontId="17" fillId="24" borderId="1" xfId="0" applyFont="1" applyFill="1" applyBorder="1" applyAlignment="1">
      <alignment horizontal="center" vertical="center"/>
    </xf>
    <xf numFmtId="0" fontId="17" fillId="25" borderId="1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sz val="9"/>
        <color rgb="FF595959"/>
        <name val="Arial"/>
        <charset val="1"/>
      </font>
      <fill>
        <patternFill>
          <bgColor rgb="FFEDEDED"/>
        </patternFill>
      </fill>
    </dxf>
    <dxf>
      <font>
        <sz val="9"/>
        <color rgb="FF7D5A00"/>
        <name val="Arial"/>
        <charset val="1"/>
      </font>
      <fill>
        <patternFill>
          <bgColor rgb="FFFFEB9C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595959"/>
        <name val="Arial"/>
        <charset val="1"/>
      </font>
      <fill>
        <patternFill>
          <bgColor rgb="FFEDEDED"/>
        </patternFill>
      </fill>
    </dxf>
    <dxf>
      <font>
        <sz val="9"/>
        <color rgb="FF7D5A00"/>
        <name val="Arial"/>
        <charset val="1"/>
      </font>
      <fill>
        <patternFill>
          <bgColor rgb="FFFFEB9C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595959"/>
        <name val="Arial"/>
        <charset val="1"/>
      </font>
      <fill>
        <patternFill>
          <bgColor rgb="FFEDEDED"/>
        </patternFill>
      </fill>
    </dxf>
    <dxf>
      <font>
        <sz val="9"/>
        <color rgb="FF7D5A00"/>
        <name val="Arial"/>
        <charset val="1"/>
      </font>
      <fill>
        <patternFill>
          <bgColor rgb="FFFFEB9C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595959"/>
        <name val="Arial"/>
        <charset val="1"/>
      </font>
      <fill>
        <patternFill>
          <bgColor rgb="FFEDEDED"/>
        </patternFill>
      </fill>
    </dxf>
    <dxf>
      <font>
        <sz val="9"/>
        <color rgb="FF7D5A00"/>
        <name val="Arial"/>
        <charset val="1"/>
      </font>
      <fill>
        <patternFill>
          <bgColor rgb="FFFFEB9C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595959"/>
        <name val="Arial"/>
        <charset val="1"/>
      </font>
      <fill>
        <patternFill>
          <bgColor rgb="FFEDEDED"/>
        </patternFill>
      </fill>
    </dxf>
    <dxf>
      <font>
        <sz val="9"/>
        <color rgb="FF7D5A00"/>
        <name val="Arial"/>
        <charset val="1"/>
      </font>
      <fill>
        <patternFill>
          <bgColor rgb="FFFFEB9C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595959"/>
        <name val="Arial"/>
        <charset val="1"/>
      </font>
      <fill>
        <patternFill>
          <bgColor rgb="FFEDEDED"/>
        </patternFill>
      </fill>
    </dxf>
    <dxf>
      <font>
        <sz val="9"/>
        <color rgb="FF7D5A00"/>
        <name val="Arial"/>
        <charset val="1"/>
      </font>
      <fill>
        <patternFill>
          <bgColor rgb="FFFFEB9C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595959"/>
        <name val="Arial"/>
        <charset val="1"/>
      </font>
      <fill>
        <patternFill>
          <bgColor rgb="FFEDEDED"/>
        </patternFill>
      </fill>
    </dxf>
    <dxf>
      <font>
        <sz val="9"/>
        <color rgb="FF7D5A00"/>
        <name val="Arial"/>
        <charset val="1"/>
      </font>
      <fill>
        <patternFill>
          <bgColor rgb="FFFFEB9C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595959"/>
        <name val="Arial"/>
        <charset val="1"/>
      </font>
      <fill>
        <patternFill>
          <bgColor rgb="FFEDEDED"/>
        </patternFill>
      </fill>
    </dxf>
    <dxf>
      <font>
        <sz val="9"/>
        <color rgb="FF7D5A00"/>
        <name val="Arial"/>
        <charset val="1"/>
      </font>
      <fill>
        <patternFill>
          <bgColor rgb="FFFFEB9C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595959"/>
        <name val="Arial"/>
        <charset val="1"/>
      </font>
      <fill>
        <patternFill>
          <bgColor rgb="FFEDEDED"/>
        </patternFill>
      </fill>
    </dxf>
    <dxf>
      <font>
        <sz val="9"/>
        <color rgb="FF7D5A00"/>
        <name val="Arial"/>
        <charset val="1"/>
      </font>
      <fill>
        <patternFill>
          <bgColor rgb="FFFFEB9C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595959"/>
        <name val="Arial"/>
        <charset val="1"/>
      </font>
      <fill>
        <patternFill>
          <bgColor rgb="FFEDEDED"/>
        </patternFill>
      </fill>
    </dxf>
    <dxf>
      <font>
        <sz val="9"/>
        <color rgb="FF7D5A00"/>
        <name val="Arial"/>
        <charset val="1"/>
      </font>
      <fill>
        <patternFill>
          <bgColor rgb="FFFFEB9C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595959"/>
        <name val="Arial"/>
        <charset val="1"/>
      </font>
      <fill>
        <patternFill>
          <bgColor rgb="FFEDEDED"/>
        </patternFill>
      </fill>
    </dxf>
    <dxf>
      <font>
        <sz val="9"/>
        <color rgb="FF7D5A00"/>
        <name val="Arial"/>
        <charset val="1"/>
      </font>
      <fill>
        <patternFill>
          <bgColor rgb="FFFFEB9C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595959"/>
        <name val="Arial"/>
        <charset val="1"/>
      </font>
      <fill>
        <patternFill>
          <bgColor rgb="FFEDEDED"/>
        </patternFill>
      </fill>
    </dxf>
    <dxf>
      <font>
        <sz val="9"/>
        <color rgb="FF7D5A00"/>
        <name val="Arial"/>
        <charset val="1"/>
      </font>
      <fill>
        <patternFill>
          <bgColor rgb="FFFFEB9C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276221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D966"/>
      <rgbColor rgb="FFFF00FF"/>
      <rgbColor rgb="FF00FFFF"/>
      <rgbColor rgb="FF820000"/>
      <rgbColor rgb="FF276221"/>
      <rgbColor rgb="FF000080"/>
      <rgbColor rgb="FF7F6000"/>
      <rgbColor rgb="FF800080"/>
      <rgbColor rgb="FF2E75B6"/>
      <rgbColor rgb="FFBFBFBF"/>
      <rgbColor rgb="FF808080"/>
      <rgbColor rgb="FFEDEDED"/>
      <rgbColor rgb="FFC05000"/>
      <rgbColor rgb="FFFFF3EB"/>
      <rgbColor rgb="FFEBF4FF"/>
      <rgbColor rgb="FF3F1F5A"/>
      <rgbColor rgb="FFF4B183"/>
      <rgbColor rgb="FF0070C0"/>
      <rgbColor rgb="FFBDD7EE"/>
      <rgbColor rgb="FF000080"/>
      <rgbColor rgb="FFFF00FF"/>
      <rgbColor rgb="FFF2F2F2"/>
      <rgbColor rgb="FF00FFFF"/>
      <rgbColor rgb="FF800080"/>
      <rgbColor rgb="FF9C0006"/>
      <rgbColor rgb="FF2B6CB0"/>
      <rgbColor rgb="FF0000FF"/>
      <rgbColor rgb="FF00CCFF"/>
      <rgbColor rgb="FFF0F4F8"/>
      <rgbColor rgb="FFC6EFCE"/>
      <rgbColor rgb="FFFFEB9C"/>
      <rgbColor rgb="FF9DC3E6"/>
      <rgbColor rgb="FFFF9999"/>
      <rgbColor rgb="FFC9B8E8"/>
      <rgbColor rgb="FFFFC7CE"/>
      <rgbColor rgb="FF4472C4"/>
      <rgbColor rgb="FF33CCCC"/>
      <rgbColor rgb="FFA9D18E"/>
      <rgbColor rgb="FFFFC000"/>
      <rgbColor rgb="FFF5F8FF"/>
      <rgbColor rgb="FFFF6600"/>
      <rgbColor rgb="FF595959"/>
      <rgbColor rgb="FFB0B0B0"/>
      <rgbColor rgb="FF1F3864"/>
      <rgbColor rgb="FF70AD47"/>
      <rgbColor rgb="FF003300"/>
      <rgbColor rgb="FF375623"/>
      <rgbColor rgb="FF843C0C"/>
      <rgbColor rgb="FF7D5A00"/>
      <rgbColor rgb="FF1F4E7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4057"/>
  </sheetPr>
  <dimension ref="A1:O50"/>
  <sheetViews>
    <sheetView zoomScaleNormal="100" workbookViewId="0"/>
  </sheetViews>
  <sheetFormatPr baseColWidth="10" defaultColWidth="8.6328125" defaultRowHeight="14.5" x14ac:dyDescent="0.35"/>
  <cols>
    <col min="1" max="1" width="3" customWidth="1"/>
    <col min="2" max="14" width="13" customWidth="1"/>
  </cols>
  <sheetData>
    <row r="1" spans="1:15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30" customHeight="1" x14ac:dyDescent="0.35">
      <c r="A3" s="1"/>
      <c r="B3" s="62" t="s">
        <v>0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1"/>
    </row>
    <row r="4" spans="1:15" ht="15" customHeight="1" x14ac:dyDescent="0.35">
      <c r="A4" s="1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1"/>
    </row>
    <row r="5" spans="1:15" ht="15" customHeight="1" x14ac:dyDescent="0.35">
      <c r="A5" s="1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1"/>
    </row>
    <row r="6" spans="1:15" ht="15" customHeight="1" x14ac:dyDescent="0.35">
      <c r="A6" s="1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1"/>
    </row>
    <row r="7" spans="1:15" ht="24" customHeight="1" x14ac:dyDescent="0.35">
      <c r="A7" s="1"/>
      <c r="B7" s="63" t="s">
        <v>1</v>
      </c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</row>
    <row r="8" spans="1:15" ht="15" customHeight="1" x14ac:dyDescent="0.35">
      <c r="A8" s="1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1"/>
    </row>
    <row r="9" spans="1:15" ht="15" customHeight="1" x14ac:dyDescent="0.35">
      <c r="A9" s="1"/>
      <c r="B9" s="64" t="s">
        <v>2</v>
      </c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1"/>
    </row>
    <row r="10" spans="1:15" ht="15" customHeight="1" x14ac:dyDescent="0.35">
      <c r="A10" s="1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1"/>
    </row>
    <row r="11" spans="1:15" ht="1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5" customHeight="1" x14ac:dyDescent="0.35">
      <c r="A12" s="1"/>
      <c r="B12" s="59" t="s">
        <v>3</v>
      </c>
      <c r="C12" s="59"/>
      <c r="D12" s="59"/>
      <c r="E12" s="59"/>
      <c r="F12" s="59"/>
      <c r="G12" s="60" t="s">
        <v>4</v>
      </c>
      <c r="H12" s="60"/>
      <c r="I12" s="60"/>
      <c r="J12" s="60"/>
      <c r="K12" s="60"/>
      <c r="L12" s="60"/>
      <c r="M12" s="60"/>
      <c r="N12" s="60"/>
      <c r="O12" s="1"/>
    </row>
    <row r="13" spans="1:15" ht="15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5" customHeight="1" x14ac:dyDescent="0.35">
      <c r="A14" s="1"/>
      <c r="B14" s="59" t="s">
        <v>5</v>
      </c>
      <c r="C14" s="59"/>
      <c r="D14" s="59"/>
      <c r="E14" s="59"/>
      <c r="F14" s="59"/>
      <c r="G14" s="60" t="s">
        <v>6</v>
      </c>
      <c r="H14" s="60"/>
      <c r="I14" s="60"/>
      <c r="J14" s="60"/>
      <c r="K14" s="60"/>
      <c r="L14" s="60"/>
      <c r="M14" s="60"/>
      <c r="N14" s="60"/>
      <c r="O14" s="1"/>
    </row>
    <row r="15" spans="1:15" ht="15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5" customHeight="1" x14ac:dyDescent="0.35">
      <c r="A16" s="1"/>
      <c r="B16" s="59" t="s">
        <v>7</v>
      </c>
      <c r="C16" s="59"/>
      <c r="D16" s="59"/>
      <c r="E16" s="59"/>
      <c r="F16" s="59"/>
      <c r="G16" s="60" t="s">
        <v>8</v>
      </c>
      <c r="H16" s="60"/>
      <c r="I16" s="60"/>
      <c r="J16" s="60"/>
      <c r="K16" s="60"/>
      <c r="L16" s="60"/>
      <c r="M16" s="60"/>
      <c r="N16" s="60"/>
      <c r="O16" s="1"/>
    </row>
    <row r="17" spans="1:15" ht="15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" customHeight="1" x14ac:dyDescent="0.35">
      <c r="A18" s="1"/>
      <c r="B18" s="59" t="s">
        <v>9</v>
      </c>
      <c r="C18" s="59"/>
      <c r="D18" s="59"/>
      <c r="E18" s="59"/>
      <c r="F18" s="59"/>
      <c r="G18" s="60" t="s">
        <v>10</v>
      </c>
      <c r="H18" s="60"/>
      <c r="I18" s="60"/>
      <c r="J18" s="60"/>
      <c r="K18" s="60"/>
      <c r="L18" s="60"/>
      <c r="M18" s="60"/>
      <c r="N18" s="60"/>
      <c r="O18" s="1"/>
    </row>
    <row r="19" spans="1:15" ht="1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5" customHeight="1" x14ac:dyDescent="0.35">
      <c r="A20" s="1"/>
      <c r="B20" s="59" t="s">
        <v>11</v>
      </c>
      <c r="C20" s="59"/>
      <c r="D20" s="59"/>
      <c r="E20" s="59"/>
      <c r="F20" s="59"/>
      <c r="G20" s="60"/>
      <c r="H20" s="60"/>
      <c r="I20" s="60"/>
      <c r="J20" s="60"/>
      <c r="K20" s="60"/>
      <c r="L20" s="60"/>
      <c r="M20" s="60"/>
      <c r="N20" s="60"/>
      <c r="O20" s="1"/>
    </row>
    <row r="21" spans="1:15" ht="1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35">
      <c r="A22" s="1"/>
      <c r="B22" s="59" t="s">
        <v>12</v>
      </c>
      <c r="C22" s="59"/>
      <c r="D22" s="59"/>
      <c r="E22" s="59"/>
      <c r="F22" s="59"/>
      <c r="G22" s="60"/>
      <c r="H22" s="60"/>
      <c r="I22" s="60"/>
      <c r="J22" s="60"/>
      <c r="K22" s="60"/>
      <c r="L22" s="60"/>
      <c r="M22" s="60"/>
      <c r="N22" s="60"/>
      <c r="O22" s="1"/>
    </row>
    <row r="23" spans="1:15" ht="1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5" customHeight="1" x14ac:dyDescent="0.35">
      <c r="A26" s="1"/>
      <c r="B26" s="61" t="s">
        <v>13</v>
      </c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1"/>
    </row>
    <row r="27" spans="1:15" ht="1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5" customHeight="1" x14ac:dyDescent="0.35">
      <c r="A28" s="1"/>
      <c r="B28" s="56" t="s">
        <v>14</v>
      </c>
      <c r="C28" s="56"/>
      <c r="D28" s="56"/>
      <c r="E28" s="54" t="s">
        <v>15</v>
      </c>
      <c r="F28" s="54"/>
      <c r="G28" s="54"/>
      <c r="H28" s="54"/>
      <c r="I28" s="54"/>
      <c r="J28" s="54"/>
      <c r="K28" s="54"/>
      <c r="L28" s="54"/>
      <c r="M28" s="54"/>
      <c r="N28" s="54"/>
      <c r="O28" s="1"/>
    </row>
    <row r="29" spans="1:15" ht="1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5" customHeight="1" x14ac:dyDescent="0.35">
      <c r="A30" s="1"/>
      <c r="B30" s="57" t="s">
        <v>16</v>
      </c>
      <c r="C30" s="57"/>
      <c r="D30" s="57"/>
      <c r="E30" s="54" t="s">
        <v>17</v>
      </c>
      <c r="F30" s="54"/>
      <c r="G30" s="54"/>
      <c r="H30" s="54"/>
      <c r="I30" s="54"/>
      <c r="J30" s="54"/>
      <c r="K30" s="54"/>
      <c r="L30" s="54"/>
      <c r="M30" s="54"/>
      <c r="N30" s="54"/>
      <c r="O30" s="1"/>
    </row>
    <row r="31" spans="1:15" ht="1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" customHeight="1" x14ac:dyDescent="0.35">
      <c r="A32" s="1"/>
      <c r="B32" s="58" t="s">
        <v>18</v>
      </c>
      <c r="C32" s="58"/>
      <c r="D32" s="58"/>
      <c r="E32" s="54" t="s">
        <v>19</v>
      </c>
      <c r="F32" s="54"/>
      <c r="G32" s="54"/>
      <c r="H32" s="54"/>
      <c r="I32" s="54"/>
      <c r="J32" s="54"/>
      <c r="K32" s="54"/>
      <c r="L32" s="54"/>
      <c r="M32" s="54"/>
      <c r="N32" s="54"/>
      <c r="O32" s="1"/>
    </row>
    <row r="33" spans="1:15" ht="1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customHeight="1" x14ac:dyDescent="0.35">
      <c r="A34" s="1"/>
      <c r="B34" s="53" t="s">
        <v>20</v>
      </c>
      <c r="C34" s="53"/>
      <c r="D34" s="53"/>
      <c r="E34" s="54" t="s">
        <v>21</v>
      </c>
      <c r="F34" s="54"/>
      <c r="G34" s="54"/>
      <c r="H34" s="54"/>
      <c r="I34" s="54"/>
      <c r="J34" s="54"/>
      <c r="K34" s="54"/>
      <c r="L34" s="54"/>
      <c r="M34" s="54"/>
      <c r="N34" s="54"/>
      <c r="O34" s="1"/>
    </row>
    <row r="35" spans="1:15" ht="1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customHeight="1" x14ac:dyDescent="0.35">
      <c r="A36" s="1"/>
      <c r="B36" s="55" t="s">
        <v>22</v>
      </c>
      <c r="C36" s="55"/>
      <c r="D36" s="55"/>
      <c r="E36" s="54" t="s">
        <v>23</v>
      </c>
      <c r="F36" s="54"/>
      <c r="G36" s="54"/>
      <c r="H36" s="54"/>
      <c r="I36" s="54"/>
      <c r="J36" s="54"/>
      <c r="K36" s="54"/>
      <c r="L36" s="54"/>
      <c r="M36" s="54"/>
      <c r="N36" s="54"/>
      <c r="O36" s="1"/>
    </row>
    <row r="37" spans="1:15" ht="1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</sheetData>
  <mergeCells count="26">
    <mergeCell ref="B3:N6"/>
    <mergeCell ref="B7:N8"/>
    <mergeCell ref="B9:N10"/>
    <mergeCell ref="B12:F12"/>
    <mergeCell ref="G12:N12"/>
    <mergeCell ref="B14:F14"/>
    <mergeCell ref="G14:N14"/>
    <mergeCell ref="B16:F16"/>
    <mergeCell ref="G16:N16"/>
    <mergeCell ref="B18:F18"/>
    <mergeCell ref="G18:N18"/>
    <mergeCell ref="B20:F20"/>
    <mergeCell ref="G20:N20"/>
    <mergeCell ref="B22:F22"/>
    <mergeCell ref="G22:N22"/>
    <mergeCell ref="B26:N26"/>
    <mergeCell ref="B34:D34"/>
    <mergeCell ref="E34:N34"/>
    <mergeCell ref="B36:D36"/>
    <mergeCell ref="E36:N36"/>
    <mergeCell ref="B28:D28"/>
    <mergeCell ref="E28:N28"/>
    <mergeCell ref="B30:D30"/>
    <mergeCell ref="E30:N30"/>
    <mergeCell ref="B32:D32"/>
    <mergeCell ref="E32:N32"/>
  </mergeCells>
  <pageMargins left="0.75" right="0.75" top="1" bottom="1" header="0.511811023622047" footer="0.511811023622047"/>
  <pageSetup paperSize="9" orientation="portrait" horizontalDpi="300" verticalDpi="300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4057"/>
  </sheetPr>
  <dimension ref="A1:T60"/>
  <sheetViews>
    <sheetView topLeftCell="A5" zoomScale="80" zoomScaleNormal="80" workbookViewId="0">
      <selection activeCell="J15" sqref="J15"/>
    </sheetView>
  </sheetViews>
  <sheetFormatPr baseColWidth="10" defaultColWidth="8.6328125" defaultRowHeight="14.5" x14ac:dyDescent="0.35"/>
  <cols>
    <col min="1" max="1" width="4" customWidth="1"/>
    <col min="2" max="2" width="38" customWidth="1"/>
    <col min="3" max="4" width="13" customWidth="1"/>
    <col min="5" max="6" width="14" customWidth="1"/>
    <col min="7" max="7" width="13" customWidth="1"/>
    <col min="8" max="8" width="14" customWidth="1"/>
    <col min="9" max="9" width="16" customWidth="1"/>
    <col min="10" max="10" width="30" style="52" customWidth="1"/>
  </cols>
  <sheetData>
    <row r="1" spans="1:20" ht="30" customHeight="1" x14ac:dyDescent="0.35">
      <c r="A1" s="71" t="s">
        <v>24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1:20" ht="15" customHeight="1" x14ac:dyDescent="0.35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</row>
    <row r="3" spans="1:20" ht="15" customHeight="1" x14ac:dyDescent="0.35">
      <c r="A3" s="72" t="s">
        <v>25</v>
      </c>
      <c r="B3" s="72"/>
      <c r="C3" s="72"/>
      <c r="D3" s="72"/>
      <c r="E3" s="72" t="s">
        <v>26</v>
      </c>
      <c r="F3" s="72"/>
      <c r="G3" s="72"/>
      <c r="H3" s="72"/>
      <c r="I3" s="72"/>
      <c r="J3" s="7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5" customHeight="1" x14ac:dyDescent="0.35">
      <c r="A4" s="2"/>
      <c r="B4" s="2"/>
      <c r="C4" s="2"/>
      <c r="D4" s="2"/>
      <c r="E4" s="2"/>
      <c r="F4" s="2"/>
      <c r="G4" s="2"/>
      <c r="H4" s="2"/>
      <c r="I4" s="2"/>
      <c r="J4" s="49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21.75" customHeight="1" x14ac:dyDescent="0.35">
      <c r="A5" s="68" t="s">
        <v>27</v>
      </c>
      <c r="B5" s="68"/>
      <c r="C5" s="68"/>
      <c r="D5" s="68"/>
      <c r="E5" s="2"/>
      <c r="F5" s="68" t="s">
        <v>28</v>
      </c>
      <c r="G5" s="68"/>
      <c r="H5" s="68"/>
      <c r="I5" s="68"/>
      <c r="J5" s="49"/>
      <c r="K5" s="65" t="s">
        <v>29</v>
      </c>
      <c r="L5" s="65"/>
      <c r="M5" s="65"/>
      <c r="N5" s="65"/>
      <c r="O5" s="2"/>
      <c r="P5" s="65" t="s">
        <v>30</v>
      </c>
      <c r="Q5" s="65"/>
      <c r="R5" s="65"/>
      <c r="S5" s="65"/>
      <c r="T5" s="2"/>
    </row>
    <row r="6" spans="1:20" ht="21.75" customHeight="1" x14ac:dyDescent="0.35">
      <c r="A6" s="69" t="s">
        <v>31</v>
      </c>
      <c r="B6" s="69"/>
      <c r="C6" s="69"/>
      <c r="D6" s="3">
        <f>COUNTA('IN – Instrumentación'!C5:C19)</f>
        <v>15</v>
      </c>
      <c r="E6" s="2"/>
      <c r="F6" s="69" t="s">
        <v>31</v>
      </c>
      <c r="G6" s="69"/>
      <c r="H6" s="69"/>
      <c r="I6" s="3">
        <f>COUNTA('IN – Instrumentación'!C5:C19)</f>
        <v>15</v>
      </c>
      <c r="J6" s="49"/>
      <c r="K6" s="70" t="s">
        <v>31</v>
      </c>
      <c r="L6" s="70"/>
      <c r="M6" s="70"/>
      <c r="N6" s="3">
        <f>COUNTA('EL – Electricidad'!C5:C14)</f>
        <v>10</v>
      </c>
      <c r="O6" s="2"/>
      <c r="P6" s="70" t="s">
        <v>31</v>
      </c>
      <c r="Q6" s="70"/>
      <c r="R6" s="70"/>
      <c r="S6" s="3">
        <f>COUNTA('EL – Electricidad'!C5:C14)</f>
        <v>10</v>
      </c>
      <c r="T6" s="2"/>
    </row>
    <row r="7" spans="1:20" ht="21.75" customHeight="1" x14ac:dyDescent="0.35">
      <c r="A7" s="66" t="s">
        <v>32</v>
      </c>
      <c r="B7" s="66"/>
      <c r="C7" s="66"/>
      <c r="D7" s="4">
        <f>COUNTIF('IN – Instrumentación'!AN5:AN19,"🟢 COMPLETADO")</f>
        <v>0</v>
      </c>
      <c r="E7" s="2"/>
      <c r="F7" s="66" t="s">
        <v>32</v>
      </c>
      <c r="G7" s="66"/>
      <c r="H7" s="66"/>
      <c r="I7" s="4">
        <f>COUNTIF('IN – Instrumentación'!AG5:AG19,"EMITIDA")</f>
        <v>0</v>
      </c>
      <c r="J7" s="49"/>
      <c r="K7" s="67" t="s">
        <v>32</v>
      </c>
      <c r="L7" s="67"/>
      <c r="M7" s="67"/>
      <c r="N7" s="4">
        <f>COUNTIF('EL – Electricidad'!AN5:AN14,"🟢 COMPLETADO")</f>
        <v>0</v>
      </c>
      <c r="O7" s="2"/>
      <c r="P7" s="67" t="s">
        <v>32</v>
      </c>
      <c r="Q7" s="67"/>
      <c r="R7" s="67"/>
      <c r="S7" s="4">
        <f>COUNTIF('EL – Electricidad'!AG5:AG14,"EMITIDA")</f>
        <v>2</v>
      </c>
      <c r="T7" s="2"/>
    </row>
    <row r="8" spans="1:20" ht="21.75" customHeight="1" x14ac:dyDescent="0.35">
      <c r="A8" s="66" t="s">
        <v>33</v>
      </c>
      <c r="B8" s="66"/>
      <c r="C8" s="66"/>
      <c r="D8" s="5">
        <f>COUNTIF('IN – Instrumentación'!AN5:AN19,"🔴 ATRASADO")</f>
        <v>3</v>
      </c>
      <c r="E8" s="2"/>
      <c r="F8" s="66" t="s">
        <v>33</v>
      </c>
      <c r="G8" s="66"/>
      <c r="H8" s="66"/>
      <c r="I8" s="5">
        <f>COUNTIF('IN – Instrumentación'!AG5:AG19,"ATRASADO")</f>
        <v>0</v>
      </c>
      <c r="J8" s="49"/>
      <c r="K8" s="67" t="s">
        <v>33</v>
      </c>
      <c r="L8" s="67"/>
      <c r="M8" s="67"/>
      <c r="N8" s="5">
        <f>COUNTIF('EL – Electricidad'!AN5:AN14,"🔴 ATRASADO")</f>
        <v>6</v>
      </c>
      <c r="O8" s="2"/>
      <c r="P8" s="67" t="s">
        <v>33</v>
      </c>
      <c r="Q8" s="67"/>
      <c r="R8" s="67"/>
      <c r="S8" s="5">
        <f>COUNTIF('EL – Electricidad'!AG5:AG14,"ATRASADO")</f>
        <v>0</v>
      </c>
      <c r="T8" s="2"/>
    </row>
    <row r="9" spans="1:20" ht="15" customHeight="1" x14ac:dyDescent="0.35">
      <c r="A9" s="2"/>
      <c r="B9" s="2"/>
      <c r="C9" s="2"/>
      <c r="D9" s="2"/>
      <c r="E9" s="2"/>
      <c r="F9" s="2"/>
      <c r="G9" s="2"/>
      <c r="H9" s="2"/>
      <c r="I9" s="2"/>
      <c r="J9" s="49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13.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49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5" customHeight="1" x14ac:dyDescent="0.35">
      <c r="A11" s="68" t="s">
        <v>34</v>
      </c>
      <c r="B11" s="68"/>
      <c r="C11" s="68"/>
      <c r="D11" s="68"/>
      <c r="E11" s="68"/>
      <c r="F11" s="68"/>
      <c r="G11" s="68"/>
      <c r="H11" s="68"/>
      <c r="I11" s="68"/>
      <c r="J11" s="68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25.5" customHeight="1" x14ac:dyDescent="0.35">
      <c r="A12" s="6" t="s">
        <v>35</v>
      </c>
      <c r="B12" s="6" t="s">
        <v>36</v>
      </c>
      <c r="C12" s="6" t="s">
        <v>37</v>
      </c>
      <c r="D12" s="6" t="s">
        <v>38</v>
      </c>
      <c r="E12" s="6" t="s">
        <v>39</v>
      </c>
      <c r="F12" s="6" t="s">
        <v>40</v>
      </c>
      <c r="G12" s="6" t="s">
        <v>41</v>
      </c>
      <c r="H12" s="6" t="s">
        <v>42</v>
      </c>
      <c r="I12" s="6" t="s">
        <v>43</v>
      </c>
      <c r="J12" s="50" t="s">
        <v>44</v>
      </c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9.5" customHeight="1" x14ac:dyDescent="0.35">
      <c r="A13" s="7">
        <f>'IN – Instrumentación'!A5</f>
        <v>1</v>
      </c>
      <c r="B13" s="8" t="str">
        <f>'IN – Instrumentación'!C5</f>
        <v>Válvulas de control, shutdown y motorizadas</v>
      </c>
      <c r="C13" s="7" t="str">
        <f>'IN – Instrumentación'!H5</f>
        <v>COMPLETADO</v>
      </c>
      <c r="D13" s="7" t="str">
        <f>'IN – Instrumentación'!O5</f>
        <v>EN PROCESO</v>
      </c>
      <c r="E13" s="7" t="str">
        <f>'IN – Instrumentación'!T5</f>
        <v>PENDIENTE</v>
      </c>
      <c r="F13" s="7" t="str">
        <f>'IN – Instrumentación'!Z5</f>
        <v>PENDIENTE</v>
      </c>
      <c r="G13" s="7" t="str">
        <f>'IN – Instrumentación'!AG5</f>
        <v>PENDIENTE</v>
      </c>
      <c r="H13" s="7" t="str">
        <f>'IN – Instrumentación'!AM5</f>
        <v>PENDIENTE</v>
      </c>
      <c r="I13" s="7" t="str">
        <f>'IN – Instrumentación'!AN5</f>
        <v>🟡 EN PROCESO</v>
      </c>
      <c r="J13" s="8" t="str">
        <f>'IN – Instrumentación'!AS5</f>
        <v>RI-001 (Val.Control/Autoreg.) emitida 23-Abr. RI-003 (Blowdown/Shutdown) emitida 19-Mar. Rec.Ofertas en curso fc May-26. AT fc Ago-26.</v>
      </c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9.5" customHeight="1" x14ac:dyDescent="0.35">
      <c r="A14" s="9">
        <f>'IN – Instrumentación'!A6</f>
        <v>2</v>
      </c>
      <c r="B14" s="10" t="str">
        <f>'IN – Instrumentación'!C6</f>
        <v>Válvulas de seguridad (PSV)</v>
      </c>
      <c r="C14" s="9" t="str">
        <f>'IN – Instrumentación'!H6</f>
        <v>COMPLETADO</v>
      </c>
      <c r="D14" s="9" t="str">
        <f>'IN – Instrumentación'!O6</f>
        <v>EMITIDA</v>
      </c>
      <c r="E14" s="9" t="str">
        <f>'IN – Instrumentación'!T6</f>
        <v>COMPLETADA</v>
      </c>
      <c r="F14" s="9" t="str">
        <f>'IN – Instrumentación'!Z6</f>
        <v>PENDIENTE</v>
      </c>
      <c r="G14" s="9" t="str">
        <f>'IN – Instrumentación'!AG6</f>
        <v>PENDIENTE</v>
      </c>
      <c r="H14" s="9" t="str">
        <f>'IN – Instrumentación'!AM6</f>
        <v>PENDIENTE</v>
      </c>
      <c r="I14" s="9" t="str">
        <f>'IN – Instrumentación'!AN6</f>
        <v>🟡 EN PROCESO</v>
      </c>
      <c r="J14" s="10" t="str">
        <f>'IN – Instrumentación'!AS6</f>
        <v>RI emitida 30-Mar. Rec.Ofertas completada 30-Abr. AT pendiente fc Jul. OC fc Ene-27.</v>
      </c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19.5" customHeight="1" x14ac:dyDescent="0.35">
      <c r="A15" s="7">
        <f>'IN – Instrumentación'!A7</f>
        <v>3</v>
      </c>
      <c r="B15" s="8" t="str">
        <f>'IN – Instrumentación'!C7</f>
        <v>Instrumentos comunes</v>
      </c>
      <c r="C15" s="7" t="str">
        <f>'IN – Instrumentación'!H7</f>
        <v>COMPLETADO</v>
      </c>
      <c r="D15" s="7" t="str">
        <f>'IN – Instrumentación'!O7</f>
        <v>EN PROCESO</v>
      </c>
      <c r="E15" s="7" t="str">
        <f>'IN – Instrumentación'!T7</f>
        <v>PENDIENTE</v>
      </c>
      <c r="F15" s="7" t="str">
        <f>'IN – Instrumentación'!Z7</f>
        <v>PENDIENTE</v>
      </c>
      <c r="G15" s="7" t="str">
        <f>'IN – Instrumentación'!AG7</f>
        <v>PENDIENTE</v>
      </c>
      <c r="H15" s="7" t="str">
        <f>'IN – Instrumentación'!AM7</f>
        <v>PENDIENTE</v>
      </c>
      <c r="I15" s="7" t="str">
        <f>'IN – Instrumentación'!AN7</f>
        <v>🟡 EN PROCESO</v>
      </c>
      <c r="J15" s="8" t="str">
        <f>'IN – Instrumentación'!AS7</f>
        <v>RIs emitidas 10-24 Abr (T.Pres, T.Pres.Dif, T.Nivel, T.Temp, Manóm, Ind.Nivel). SOLP en proceso. Rec.Of fc May-Jun 26.</v>
      </c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9.5" customHeight="1" x14ac:dyDescent="0.35">
      <c r="A16" s="9">
        <f>'IN – Instrumentación'!A8</f>
        <v>4</v>
      </c>
      <c r="B16" s="10" t="str">
        <f>'IN – Instrumentación'!C8</f>
        <v>Transmisores (P, DP, T, N)</v>
      </c>
      <c r="C16" s="9" t="str">
        <f>'IN – Instrumentación'!H8</f>
        <v>COMPLETADO</v>
      </c>
      <c r="D16" s="9" t="str">
        <f>'IN – Instrumentación'!O8</f>
        <v>EN PROCESO</v>
      </c>
      <c r="E16" s="9" t="str">
        <f>'IN – Instrumentación'!T8</f>
        <v>PENDIENTE</v>
      </c>
      <c r="F16" s="9" t="str">
        <f>'IN – Instrumentación'!Z8</f>
        <v>PENDIENTE</v>
      </c>
      <c r="G16" s="9" t="str">
        <f>'IN – Instrumentación'!AG8</f>
        <v>PENDIENTE</v>
      </c>
      <c r="H16" s="9" t="str">
        <f>'IN – Instrumentación'!AM8</f>
        <v>PENDIENTE</v>
      </c>
      <c r="I16" s="9" t="str">
        <f>'IN – Instrumentación'!AN8</f>
        <v>🟡 EN PROCESO</v>
      </c>
      <c r="J16" s="10" t="str">
        <f>'IN – Instrumentación'!AS8</f>
        <v>RIs completadas (P, DP, T, Nivel Radar, Caudal Mag/Coriolis/Ultrasónico). SOLP/Rec.Ofertas fc May-Jun.</v>
      </c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19.5" customHeight="1" x14ac:dyDescent="0.35">
      <c r="A17" s="7">
        <f>'IN – Instrumentación'!A9</f>
        <v>5</v>
      </c>
      <c r="B17" s="8" t="str">
        <f>'IN – Instrumentación'!C9</f>
        <v>Medidores de caudal (MV, Coriolis, DP)</v>
      </c>
      <c r="C17" s="7" t="str">
        <f>'IN – Instrumentación'!H9</f>
        <v>COMPLETADO</v>
      </c>
      <c r="D17" s="7" t="str">
        <f>'IN – Instrumentación'!O9</f>
        <v>EMITIDA</v>
      </c>
      <c r="E17" s="7" t="str">
        <f>'IN – Instrumentación'!T9</f>
        <v>COMPLETADA</v>
      </c>
      <c r="F17" s="7" t="str">
        <f>'IN – Instrumentación'!Z9</f>
        <v>PENDIENTE</v>
      </c>
      <c r="G17" s="7" t="str">
        <f>'IN – Instrumentación'!AG9</f>
        <v>PENDIENTE</v>
      </c>
      <c r="H17" s="7" t="str">
        <f>'IN – Instrumentación'!AM9</f>
        <v>PENDIENTE</v>
      </c>
      <c r="I17" s="7" t="str">
        <f>'IN – Instrumentación'!AN9</f>
        <v>🟡 EN PROCESO</v>
      </c>
      <c r="J17" s="8" t="str">
        <f>'IN – Instrumentación'!AS9</f>
        <v>RI y Rec.Ofertas completadas 22-Abr (Caudal Magnético, Coriolis, Ultrasónico). AT fc Jun. OC Oct-Nov. Entrega Dic-26.</v>
      </c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9.5" customHeight="1" x14ac:dyDescent="0.35">
      <c r="A18" s="9">
        <f>'IN – Instrumentación'!A10</f>
        <v>6</v>
      </c>
      <c r="B18" s="10" t="str">
        <f>'IN – Instrumentación'!C10</f>
        <v>Analizadores</v>
      </c>
      <c r="C18" s="9" t="str">
        <f>'IN – Instrumentación'!H10</f>
        <v>COMPLETADO</v>
      </c>
      <c r="D18" s="9" t="str">
        <f>'IN – Instrumentación'!O10</f>
        <v>EMITIDA</v>
      </c>
      <c r="E18" s="9" t="str">
        <f>'IN – Instrumentación'!T10</f>
        <v>COMPLETADA</v>
      </c>
      <c r="F18" s="9" t="str">
        <f>'IN – Instrumentación'!Z10</f>
        <v>PENDIENTE</v>
      </c>
      <c r="G18" s="9" t="str">
        <f>'IN – Instrumentación'!AG10</f>
        <v>PENDIENTE</v>
      </c>
      <c r="H18" s="9" t="str">
        <f>'IN – Instrumentación'!AM10</f>
        <v>PENDIENTE</v>
      </c>
      <c r="I18" s="9" t="str">
        <f>'IN – Instrumentación'!AN10</f>
        <v>🟡 EN PROCESO</v>
      </c>
      <c r="J18" s="10" t="str">
        <f>'IN – Instrumentación'!AS10</f>
        <v>RI y Rec.Ofertas completadas 17-Abr (Analizador RVP y Corte de Agua). AT fc Jun. OC/Entrega 2do sem 2026.</v>
      </c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9.5" customHeight="1" x14ac:dyDescent="0.35">
      <c r="A19" s="7">
        <f>'IN – Instrumentación'!A11</f>
        <v>7</v>
      </c>
      <c r="B19" s="8" t="str">
        <f>'IN – Instrumentación'!C11</f>
        <v>Tomamuestras</v>
      </c>
      <c r="C19" s="7" t="str">
        <f>'IN – Instrumentación'!H11</f>
        <v>COMPLETADO</v>
      </c>
      <c r="D19" s="7" t="str">
        <f>'IN – Instrumentación'!O11</f>
        <v>EN PROCESO</v>
      </c>
      <c r="E19" s="7" t="str">
        <f>'IN – Instrumentación'!T11</f>
        <v>PENDIENTE</v>
      </c>
      <c r="F19" s="7" t="str">
        <f>'IN – Instrumentación'!Z11</f>
        <v>PENDIENTE</v>
      </c>
      <c r="G19" s="7" t="str">
        <f>'IN – Instrumentación'!AG11</f>
        <v>PENDIENTE</v>
      </c>
      <c r="H19" s="7" t="str">
        <f>'IN – Instrumentación'!AM11</f>
        <v>PENDIENTE</v>
      </c>
      <c r="I19" s="7" t="str">
        <f>'IN – Instrumentación'!AN11</f>
        <v>🟡 EN PROCESO</v>
      </c>
      <c r="J19" s="8" t="str">
        <f>'IN – Instrumentación'!AS11</f>
        <v>RI emitida 30-Mar (antes del prog). SOLP en proceso fc May. Entrega fc Nov-26. Holgura ok.</v>
      </c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9.5" customHeight="1" x14ac:dyDescent="0.35">
      <c r="A20" s="9">
        <f>'IN – Instrumentación'!A12</f>
        <v>8</v>
      </c>
      <c r="B20" s="10" t="str">
        <f>'IN – Instrumentación'!C12</f>
        <v>Materiales para montaje de instrumentos</v>
      </c>
      <c r="C20" s="9" t="str">
        <f>'IN – Instrumentación'!H12</f>
        <v>ATRASADO</v>
      </c>
      <c r="D20" s="9" t="str">
        <f>'IN – Instrumentación'!O12</f>
        <v>PENDIENTE</v>
      </c>
      <c r="E20" s="9" t="str">
        <f>'IN – Instrumentación'!T12</f>
        <v>PENDIENTE</v>
      </c>
      <c r="F20" s="9" t="str">
        <f>'IN – Instrumentación'!Z12</f>
        <v>PENDIENTE</v>
      </c>
      <c r="G20" s="9" t="str">
        <f>'IN – Instrumentación'!AG12</f>
        <v>PENDIENTE</v>
      </c>
      <c r="H20" s="9" t="str">
        <f>'IN – Instrumentación'!AM12</f>
        <v>ATRASADO</v>
      </c>
      <c r="I20" s="9" t="str">
        <f>'IN – Instrumentación'!AN12</f>
        <v>🔴 ATRASADO</v>
      </c>
      <c r="J20" s="10" t="str">
        <f>'IN – Instrumentación'!AS12</f>
        <v>⚠ CRÍTICO: RI prog Jun-25. Tendencia actual Oct-26 (+16 meses). Revisar alcance y estrategia de compra urgente.</v>
      </c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9.5" customHeight="1" x14ac:dyDescent="0.35">
      <c r="A21" s="7">
        <f>'IN – Instrumentación'!A13</f>
        <v>9</v>
      </c>
      <c r="B21" s="8" t="str">
        <f>'IN – Instrumentación'!C13</f>
        <v>Cajas de conexionado (J-Box)</v>
      </c>
      <c r="C21" s="7" t="str">
        <f>'IN – Instrumentación'!H13</f>
        <v>EN PROCESO</v>
      </c>
      <c r="D21" s="7" t="str">
        <f>'IN – Instrumentación'!O13</f>
        <v>PENDIENTE</v>
      </c>
      <c r="E21" s="7" t="str">
        <f>'IN – Instrumentación'!T13</f>
        <v>PENDIENTE</v>
      </c>
      <c r="F21" s="7" t="str">
        <f>'IN – Instrumentación'!Z13</f>
        <v>PENDIENTE</v>
      </c>
      <c r="G21" s="7" t="str">
        <f>'IN – Instrumentación'!AG13</f>
        <v>PENDIENTE</v>
      </c>
      <c r="H21" s="7" t="str">
        <f>'IN – Instrumentación'!AM13</f>
        <v>PENDIENTE</v>
      </c>
      <c r="I21" s="7" t="str">
        <f>'IN – Instrumentación'!AN13</f>
        <v>🟡 EN PROCESO</v>
      </c>
      <c r="J21" s="8" t="str">
        <f>'IN – Instrumentación'!AS13</f>
        <v>RI prog Jul-25, desvío importante. Tendencia fc May-26. Emisión pendiente. Entrega fc Nov-26.</v>
      </c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9.5" customHeight="1" x14ac:dyDescent="0.35">
      <c r="A22" s="9">
        <f>'IN – Instrumentación'!A14</f>
        <v>10</v>
      </c>
      <c r="B22" s="10" t="str">
        <f>'IN – Instrumentación'!C14</f>
        <v>Bandejas portacables</v>
      </c>
      <c r="C22" s="9" t="str">
        <f>'IN – Instrumentación'!H14</f>
        <v>ATRASADO</v>
      </c>
      <c r="D22" s="9" t="str">
        <f>'IN – Instrumentación'!O14</f>
        <v>PENDIENTE</v>
      </c>
      <c r="E22" s="9" t="str">
        <f>'IN – Instrumentación'!T14</f>
        <v>PENDIENTE</v>
      </c>
      <c r="F22" s="9" t="str">
        <f>'IN – Instrumentación'!Z14</f>
        <v>PENDIENTE</v>
      </c>
      <c r="G22" s="9" t="str">
        <f>'IN – Instrumentación'!AG14</f>
        <v>PENDIENTE</v>
      </c>
      <c r="H22" s="9" t="str">
        <f>'IN – Instrumentación'!AM14</f>
        <v>PENDIENTE</v>
      </c>
      <c r="I22" s="9" t="str">
        <f>'IN – Instrumentación'!AN14</f>
        <v>🔴 ATRASADO</v>
      </c>
      <c r="J22" s="10" t="str">
        <f>'IN – Instrumentación'!AS14</f>
        <v>⚠ RI prog Ago-25 sin emisión registrada. Sin RI activa en el plan. Requiere verificación y emisión urgente.</v>
      </c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9.5" customHeight="1" x14ac:dyDescent="0.35">
      <c r="A23" s="7">
        <f>'IN – Instrumentación'!A15</f>
        <v>11</v>
      </c>
      <c r="B23" s="8" t="str">
        <f>'IN – Instrumentación'!C15</f>
        <v>Cables de inst. Rev. 0 – Ing. Inicial</v>
      </c>
      <c r="C23" s="7" t="str">
        <f>'IN – Instrumentación'!H15</f>
        <v>ATRASADO</v>
      </c>
      <c r="D23" s="7" t="str">
        <f>'IN – Instrumentación'!O15</f>
        <v>PENDIENTE</v>
      </c>
      <c r="E23" s="7" t="str">
        <f>'IN – Instrumentación'!T15</f>
        <v>PENDIENTE</v>
      </c>
      <c r="F23" s="7" t="str">
        <f>'IN – Instrumentación'!Z15</f>
        <v>PENDIENTE</v>
      </c>
      <c r="G23" s="7" t="str">
        <f>'IN – Instrumentación'!AG15</f>
        <v>PENDIENTE</v>
      </c>
      <c r="H23" s="7" t="str">
        <f>'IN – Instrumentación'!AM15</f>
        <v>PENDIENTE</v>
      </c>
      <c r="I23" s="7" t="str">
        <f>'IN – Instrumentación'!AN15</f>
        <v>🔴 ATRASADO</v>
      </c>
      <c r="J23" s="8" t="str">
        <f>'IN – Instrumentación'!AS15</f>
        <v>⚠ RI prog Sep-25, tendencia May-26 (+8 meses). Dependiente plano de cables Rev.0. Requiere aceleración de ingeniería.</v>
      </c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9.5" customHeight="1" x14ac:dyDescent="0.35">
      <c r="A24" s="9">
        <f>'IN – Instrumentación'!A16</f>
        <v>12</v>
      </c>
      <c r="B24" s="10" t="str">
        <f>'IN – Instrumentación'!C16</f>
        <v>Cables de inst. Rev. 1 – Ing. 80%</v>
      </c>
      <c r="C24" s="9" t="str">
        <f>'IN – Instrumentación'!H16</f>
        <v>PENDIENTE</v>
      </c>
      <c r="D24" s="9" t="str">
        <f>'IN – Instrumentación'!O16</f>
        <v>PENDIENTE</v>
      </c>
      <c r="E24" s="9" t="str">
        <f>'IN – Instrumentación'!T16</f>
        <v>PENDIENTE</v>
      </c>
      <c r="F24" s="9" t="str">
        <f>'IN – Instrumentación'!Z16</f>
        <v>PENDIENTE</v>
      </c>
      <c r="G24" s="9" t="str">
        <f>'IN – Instrumentación'!AG16</f>
        <v>PENDIENTE</v>
      </c>
      <c r="H24" s="9" t="str">
        <f>'IN – Instrumentación'!AM16</f>
        <v>PENDIENTE</v>
      </c>
      <c r="I24" s="9" t="str">
        <f>'IN – Instrumentación'!AN16</f>
        <v>⚪ PENDIENTE</v>
      </c>
      <c r="J24" s="10" t="str">
        <f>'IN – Instrumentación'!AS16</f>
        <v>Fase Rev.1 sujeta a Ing.80% (hito Jun-26). Tendencia RI May-26. OC prevista Ago-26. Entrega Dic-26.</v>
      </c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9.5" customHeight="1" x14ac:dyDescent="0.35">
      <c r="A25" s="7">
        <f>'IN – Instrumentación'!A17</f>
        <v>13</v>
      </c>
      <c r="B25" s="8" t="str">
        <f>'IN – Instrumentación'!C17</f>
        <v>Sistema de control (HW + SW / DCS/RTU/PLC)</v>
      </c>
      <c r="C25" s="7" t="str">
        <f>'IN – Instrumentación'!H17</f>
        <v>COMPLETADO</v>
      </c>
      <c r="D25" s="7" t="str">
        <f>'IN – Instrumentación'!O17</f>
        <v>EMITIDA</v>
      </c>
      <c r="E25" s="7" t="str">
        <f>'IN – Instrumentación'!T17</f>
        <v>COMPLETADA</v>
      </c>
      <c r="F25" s="7" t="str">
        <f>'IN – Instrumentación'!Z17</f>
        <v>PENDIENTE</v>
      </c>
      <c r="G25" s="7" t="str">
        <f>'IN – Instrumentación'!AG17</f>
        <v>PENDIENTE</v>
      </c>
      <c r="H25" s="7" t="str">
        <f>'IN – Instrumentación'!AM17</f>
        <v>PENDIENTE</v>
      </c>
      <c r="I25" s="7" t="str">
        <f>'IN – Instrumentación'!AN17</f>
        <v>🟡 EN PROCESO</v>
      </c>
      <c r="J25" s="8" t="str">
        <f>'IN – Instrumentación'!AS17</f>
        <v>PCS (Inauco) y SIS (HIMA): RI 03-Feb, Rec.Of 25-Mar completadas. AT fc Jul-26. OC fc Feb-27. Lead time crítico para RFSU Feb-27.</v>
      </c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19.5" customHeight="1" x14ac:dyDescent="0.35">
      <c r="A26" s="9">
        <f>'IN – Instrumentación'!A18</f>
        <v>14</v>
      </c>
      <c r="B26" s="10" t="str">
        <f>'IN – Instrumentación'!C18</f>
        <v>Sistema Fire &amp; Gas (FGS)</v>
      </c>
      <c r="C26" s="9" t="str">
        <f>'IN – Instrumentación'!H18</f>
        <v>COMPLETADO</v>
      </c>
      <c r="D26" s="9" t="str">
        <f>'IN – Instrumentación'!O18</f>
        <v>EMITIDA</v>
      </c>
      <c r="E26" s="9" t="str">
        <f>'IN – Instrumentación'!T18</f>
        <v>COMPLETADA</v>
      </c>
      <c r="F26" s="9" t="str">
        <f>'IN – Instrumentación'!Z18</f>
        <v>PENDIENTE</v>
      </c>
      <c r="G26" s="9" t="str">
        <f>'IN – Instrumentación'!AG18</f>
        <v>PENDIENTE</v>
      </c>
      <c r="H26" s="9" t="str">
        <f>'IN – Instrumentación'!AM18</f>
        <v>PENDIENTE</v>
      </c>
      <c r="I26" s="9" t="str">
        <f>'IN – Instrumentación'!AN18</f>
        <v>🟡 EN PROCESO</v>
      </c>
      <c r="J26" s="10" t="str">
        <f>'IN – Instrumentación'!AS18</f>
        <v>RI F&amp;G y Det.Térmico Lineal completadas. Rec.Ofertas 30-Abr. AT fc Jul. OC/Entrega Dic-26.</v>
      </c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9.5" customHeight="1" x14ac:dyDescent="0.35">
      <c r="A27" s="7">
        <f>'IN – Instrumentación'!A19</f>
        <v>15</v>
      </c>
      <c r="B27" s="8" t="str">
        <f>'IN – Instrumentación'!C19</f>
        <v>Sistema Contra Incendio (Detección/Diluvio)</v>
      </c>
      <c r="C27" s="7" t="str">
        <f>'IN – Instrumentación'!H19</f>
        <v>COMPLETADO</v>
      </c>
      <c r="D27" s="7" t="str">
        <f>'IN – Instrumentación'!O19</f>
        <v>EMITIDA</v>
      </c>
      <c r="E27" s="7" t="str">
        <f>'IN – Instrumentación'!T19</f>
        <v>COMPLETADA</v>
      </c>
      <c r="F27" s="7" t="str">
        <f>'IN – Instrumentación'!Z19</f>
        <v>PENDIENTE</v>
      </c>
      <c r="G27" s="7" t="str">
        <f>'IN – Instrumentación'!AG19</f>
        <v>PENDIENTE</v>
      </c>
      <c r="H27" s="7" t="str">
        <f>'IN – Instrumentación'!AM19</f>
        <v>PENDIENTE</v>
      </c>
      <c r="I27" s="7" t="str">
        <f>'IN – Instrumentación'!AN19</f>
        <v>🟡 EN PROCESO</v>
      </c>
      <c r="J27" s="8" t="str">
        <f>'IN – Instrumentación'!AS19</f>
        <v>RI y Rec.Ofertas (Val.Diluvio) completadas 06-May. AT fc Jul. OC/Entrega Ene-27.</v>
      </c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49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49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5" customHeight="1" x14ac:dyDescent="0.35">
      <c r="A30" s="65" t="s">
        <v>45</v>
      </c>
      <c r="B30" s="65"/>
      <c r="C30" s="65"/>
      <c r="D30" s="65"/>
      <c r="E30" s="65"/>
      <c r="F30" s="65"/>
      <c r="G30" s="65"/>
      <c r="H30" s="65"/>
      <c r="I30" s="65"/>
      <c r="J30" s="65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25.5" customHeight="1" x14ac:dyDescent="0.35">
      <c r="A31" s="11" t="s">
        <v>35</v>
      </c>
      <c r="B31" s="11" t="s">
        <v>36</v>
      </c>
      <c r="C31" s="11" t="s">
        <v>37</v>
      </c>
      <c r="D31" s="11" t="s">
        <v>38</v>
      </c>
      <c r="E31" s="11" t="s">
        <v>39</v>
      </c>
      <c r="F31" s="11" t="s">
        <v>40</v>
      </c>
      <c r="G31" s="11" t="s">
        <v>41</v>
      </c>
      <c r="H31" s="11" t="s">
        <v>42</v>
      </c>
      <c r="I31" s="11" t="s">
        <v>43</v>
      </c>
      <c r="J31" s="51" t="s">
        <v>44</v>
      </c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9.5" customHeight="1" x14ac:dyDescent="0.35">
      <c r="A32" s="7">
        <f>'EL – Electricidad'!A5</f>
        <v>1</v>
      </c>
      <c r="B32" s="8" t="str">
        <f>'EL – Electricidad'!C5</f>
        <v>Shelter eléctrico y banco de carga</v>
      </c>
      <c r="C32" s="7" t="str">
        <f>'EL – Electricidad'!H5</f>
        <v>COMPLETADO</v>
      </c>
      <c r="D32" s="7" t="str">
        <f>'EL – Electricidad'!O5</f>
        <v>EMITIDA</v>
      </c>
      <c r="E32" s="7" t="str">
        <f>'EL – Electricidad'!T5</f>
        <v>COMPLETADA</v>
      </c>
      <c r="F32" s="7" t="str">
        <f>'EL – Electricidad'!Z5</f>
        <v>APROBADO</v>
      </c>
      <c r="G32" s="7" t="str">
        <f>'EL – Electricidad'!AG5</f>
        <v>EMITIDA</v>
      </c>
      <c r="H32" s="7" t="str">
        <f>'EL – Electricidad'!AM5</f>
        <v>PENDIENTE</v>
      </c>
      <c r="I32" s="7" t="str">
        <f>'EL – Electricidad'!AN5</f>
        <v>🟡 EN PROCESO</v>
      </c>
      <c r="J32" s="8" t="str">
        <f>'EL – Electricidad'!AS5</f>
        <v>SE#3 y SE#4: RI, Rec.Of y OC/Adj. completadas (May-26). SE#5 sin RI localizada. Fabricación en curso. Entrega fc May-27.</v>
      </c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9.5" customHeight="1" x14ac:dyDescent="0.35">
      <c r="A33" s="12">
        <f>'EL – Electricidad'!A6</f>
        <v>2</v>
      </c>
      <c r="B33" s="13" t="str">
        <f>'EL – Electricidad'!C6</f>
        <v>Tableros y celdas media tensión (MT)</v>
      </c>
      <c r="C33" s="12" t="str">
        <f>'EL – Electricidad'!H6</f>
        <v>COMPLETADO</v>
      </c>
      <c r="D33" s="12" t="str">
        <f>'EL – Electricidad'!O6</f>
        <v>EMITIDA</v>
      </c>
      <c r="E33" s="12" t="str">
        <f>'EL – Electricidad'!T6</f>
        <v>COMPLETADA</v>
      </c>
      <c r="F33" s="12" t="str">
        <f>'EL – Electricidad'!Z6</f>
        <v>PENDIENTE</v>
      </c>
      <c r="G33" s="12" t="str">
        <f>'EL – Electricidad'!AG6</f>
        <v>PENDIENTE</v>
      </c>
      <c r="H33" s="12" t="str">
        <f>'EL – Electricidad'!AM6</f>
        <v>PENDIENTE</v>
      </c>
      <c r="I33" s="12" t="str">
        <f>'EL – Electricidad'!AN6</f>
        <v>🟡 EN PROCESO</v>
      </c>
      <c r="J33" s="13" t="str">
        <f>'EL – Electricidad'!AS6</f>
        <v>RI Transf.Secos/Aceite y Eq.Maniobra MT completadas y Rec.Of 30-Abr. AT pendiente. Lead time crítico ~12 meses. OC fc Ene-27.</v>
      </c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9.5" customHeight="1" x14ac:dyDescent="0.35">
      <c r="A34" s="7">
        <f>'EL – Electricidad'!A7</f>
        <v>3</v>
      </c>
      <c r="B34" s="8" t="str">
        <f>'EL – Electricidad'!C7</f>
        <v>Tableros BT y Centros de Control de Motores (CCM)</v>
      </c>
      <c r="C34" s="7" t="str">
        <f>'EL – Electricidad'!H7</f>
        <v>ATRASADO</v>
      </c>
      <c r="D34" s="7" t="str">
        <f>'EL – Electricidad'!O7</f>
        <v>PENDIENTE</v>
      </c>
      <c r="E34" s="7" t="str">
        <f>'EL – Electricidad'!T7</f>
        <v>PENDIENTE</v>
      </c>
      <c r="F34" s="7" t="str">
        <f>'EL – Electricidad'!Z7</f>
        <v>PENDIENTE</v>
      </c>
      <c r="G34" s="7" t="str">
        <f>'EL – Electricidad'!AG7</f>
        <v>PENDIENTE</v>
      </c>
      <c r="H34" s="7" t="str">
        <f>'EL – Electricidad'!AM7</f>
        <v>PENDIENTE</v>
      </c>
      <c r="I34" s="7" t="str">
        <f>'EL – Electricidad'!AN7</f>
        <v>🔴 ATRASADO</v>
      </c>
      <c r="J34" s="8" t="str">
        <f>'EL – Electricidad'!AS7</f>
        <v>⚠ RI prog Jul-25 sin emisión confirmada al 6-May. Requiere verificación urgente. Lead time CCM ~10-12 meses.</v>
      </c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9.5" customHeight="1" x14ac:dyDescent="0.35">
      <c r="A35" s="12">
        <f>'EL – Electricidad'!A8</f>
        <v>4</v>
      </c>
      <c r="B35" s="13" t="str">
        <f>'EL – Electricidad'!C8</f>
        <v>Canalizaciones eléctricas (conduits/acces.)</v>
      </c>
      <c r="C35" s="12" t="str">
        <f>'EL – Electricidad'!H8</f>
        <v>ATRASADO</v>
      </c>
      <c r="D35" s="12" t="str">
        <f>'EL – Electricidad'!O8</f>
        <v>PENDIENTE</v>
      </c>
      <c r="E35" s="12" t="str">
        <f>'EL – Electricidad'!T8</f>
        <v>PENDIENTE</v>
      </c>
      <c r="F35" s="12" t="str">
        <f>'EL – Electricidad'!Z8</f>
        <v>PENDIENTE</v>
      </c>
      <c r="G35" s="12" t="str">
        <f>'EL – Electricidad'!AG8</f>
        <v>PENDIENTE</v>
      </c>
      <c r="H35" s="12" t="str">
        <f>'EL – Electricidad'!AM8</f>
        <v>ATRASADO</v>
      </c>
      <c r="I35" s="12" t="str">
        <f>'EL – Electricidad'!AN8</f>
        <v>🔴 ATRASADO</v>
      </c>
      <c r="J35" s="13" t="str">
        <f>'EL – Electricidad'!AS8</f>
        <v>⚠ RI prog Feb-26, tendencia Jun-26 (+4 meses). Entrega fc Ene-27 vs necesidad Oct-26. Desvío ~90 días.</v>
      </c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9.5" customHeight="1" x14ac:dyDescent="0.35">
      <c r="A36" s="7">
        <f>'EL – Electricidad'!A9</f>
        <v>5</v>
      </c>
      <c r="B36" s="8" t="str">
        <f>'EL – Electricidad'!C9</f>
        <v>Cables eléctricos Rev. 0 – Ing. Inicial</v>
      </c>
      <c r="C36" s="7" t="str">
        <f>'EL – Electricidad'!H9</f>
        <v>ATRASADO</v>
      </c>
      <c r="D36" s="7" t="str">
        <f>'EL – Electricidad'!O9</f>
        <v>PENDIENTE</v>
      </c>
      <c r="E36" s="7" t="str">
        <f>'EL – Electricidad'!T9</f>
        <v>PENDIENTE</v>
      </c>
      <c r="F36" s="7" t="str">
        <f>'EL – Electricidad'!Z9</f>
        <v>PENDIENTE</v>
      </c>
      <c r="G36" s="7" t="str">
        <f>'EL – Electricidad'!AG9</f>
        <v>PENDIENTE</v>
      </c>
      <c r="H36" s="7" t="str">
        <f>'EL – Electricidad'!AM9</f>
        <v>ATRASADO</v>
      </c>
      <c r="I36" s="7" t="str">
        <f>'EL – Electricidad'!AN9</f>
        <v>🔴 ATRASADO</v>
      </c>
      <c r="J36" s="8" t="str">
        <f>'EL – Electricidad'!AS9</f>
        <v>⚠ RI prog Mar-26, tendencia Jun-26. Entrega fc Feb-27 vs necesidad Dic-26. Desvío ~60 días. Dependiente plano Rev.0.</v>
      </c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9.5" customHeight="1" x14ac:dyDescent="0.35">
      <c r="A37" s="12">
        <f>'EL – Electricidad'!A10</f>
        <v>6</v>
      </c>
      <c r="B37" s="13" t="str">
        <f>'EL – Electricidad'!C10</f>
        <v>Cables eléctricos Rev. 1 – Ing. 80%</v>
      </c>
      <c r="C37" s="12" t="str">
        <f>'EL – Electricidad'!H10</f>
        <v>PENDIENTE</v>
      </c>
      <c r="D37" s="12" t="str">
        <f>'EL – Electricidad'!O10</f>
        <v>PENDIENTE</v>
      </c>
      <c r="E37" s="12" t="str">
        <f>'EL – Electricidad'!T10</f>
        <v>PENDIENTE</v>
      </c>
      <c r="F37" s="12" t="str">
        <f>'EL – Electricidad'!Z10</f>
        <v>PENDIENTE</v>
      </c>
      <c r="G37" s="12" t="str">
        <f>'EL – Electricidad'!AG10</f>
        <v>PENDIENTE</v>
      </c>
      <c r="H37" s="12" t="str">
        <f>'EL – Electricidad'!AM10</f>
        <v>PENDIENTE</v>
      </c>
      <c r="I37" s="12" t="str">
        <f>'EL – Electricidad'!AN10</f>
        <v>⚪ PENDIENTE</v>
      </c>
      <c r="J37" s="13" t="str">
        <f>'EL – Electricidad'!AS10</f>
        <v>Fase Rev.1 sujeta a Ing.80% (hito Jun-26). OC fc Ago-26. Entrega Dic-26.</v>
      </c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9.5" customHeight="1" x14ac:dyDescent="0.35">
      <c r="A38" s="7">
        <f>'EL – Electricidad'!A11</f>
        <v>7</v>
      </c>
      <c r="B38" s="8" t="str">
        <f>'EL – Electricidad'!C11</f>
        <v>Materiales PAT (Puesta a tierra y SPCDA)</v>
      </c>
      <c r="C38" s="7" t="str">
        <f>'EL – Electricidad'!H11</f>
        <v>COMPLETADO</v>
      </c>
      <c r="D38" s="7" t="str">
        <f>'EL – Electricidad'!O11</f>
        <v>EMITIDA</v>
      </c>
      <c r="E38" s="7" t="str">
        <f>'EL – Electricidad'!T11</f>
        <v>COMPLETADA</v>
      </c>
      <c r="F38" s="7" t="str">
        <f>'EL – Electricidad'!Z11</f>
        <v>APROBADO</v>
      </c>
      <c r="G38" s="7" t="str">
        <f>'EL – Electricidad'!AG11</f>
        <v>EMITIDA</v>
      </c>
      <c r="H38" s="7" t="str">
        <f>'EL – Electricidad'!AM11</f>
        <v>EN TRÁNSITO</v>
      </c>
      <c r="I38" s="7" t="str">
        <f>'EL – Electricidad'!AN11</f>
        <v>🟡 EN PROCESO</v>
      </c>
      <c r="J38" s="8" t="str">
        <f>'EL – Electricidad'!AS11</f>
        <v>✅ Ítem más avanzado EL: RI, Rec.Of, AT y OC completadas (Abr-26). Entrega contractual Abr-26. FC entrega Jun-26. Confirmar estado físico.</v>
      </c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19.5" customHeight="1" x14ac:dyDescent="0.35">
      <c r="A39" s="12">
        <f>'EL – Electricidad'!A12</f>
        <v>8</v>
      </c>
      <c r="B39" s="13" t="str">
        <f>'EL – Electricidad'!C12</f>
        <v>Sistema UPS y Rectificadores</v>
      </c>
      <c r="C39" s="12" t="str">
        <f>'EL – Electricidad'!H12</f>
        <v>ATRASADO</v>
      </c>
      <c r="D39" s="12" t="str">
        <f>'EL – Electricidad'!O12</f>
        <v>PENDIENTE</v>
      </c>
      <c r="E39" s="12" t="str">
        <f>'EL – Electricidad'!T12</f>
        <v>PENDIENTE</v>
      </c>
      <c r="F39" s="12" t="str">
        <f>'EL – Electricidad'!Z12</f>
        <v>PENDIENTE</v>
      </c>
      <c r="G39" s="12" t="str">
        <f>'EL – Electricidad'!AG12</f>
        <v>PENDIENTE</v>
      </c>
      <c r="H39" s="12" t="str">
        <f>'EL – Electricidad'!AM12</f>
        <v>PENDIENTE</v>
      </c>
      <c r="I39" s="12" t="str">
        <f>'EL – Electricidad'!AN12</f>
        <v>🔴 ATRASADO</v>
      </c>
      <c r="J39" s="13" t="str">
        <f>'EL – Electricidad'!AS12</f>
        <v>⚠ RI prog Nov-25 sin real confirmada. Equipo de largo lead time (~10 meses). Requiere RI y adjudicación urgente.</v>
      </c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9.5" customHeight="1" x14ac:dyDescent="0.35">
      <c r="A40" s="7">
        <f>'EL – Electricidad'!A13</f>
        <v>9</v>
      </c>
      <c r="B40" s="8" t="str">
        <f>'EL – Electricidad'!C13</f>
        <v>Tracing eléctrico</v>
      </c>
      <c r="C40" s="7" t="str">
        <f>'EL – Electricidad'!H13</f>
        <v>ATRASADO</v>
      </c>
      <c r="D40" s="7" t="str">
        <f>'EL – Electricidad'!O13</f>
        <v>PENDIENTE</v>
      </c>
      <c r="E40" s="7" t="str">
        <f>'EL – Electricidad'!T13</f>
        <v>PENDIENTE</v>
      </c>
      <c r="F40" s="7" t="str">
        <f>'EL – Electricidad'!Z13</f>
        <v>PENDIENTE</v>
      </c>
      <c r="G40" s="7" t="str">
        <f>'EL – Electricidad'!AG13</f>
        <v>PENDIENTE</v>
      </c>
      <c r="H40" s="7" t="str">
        <f>'EL – Electricidad'!AM13</f>
        <v>ATRASADO</v>
      </c>
      <c r="I40" s="7" t="str">
        <f>'EL – Electricidad'!AN13</f>
        <v>🔴 ATRASADO</v>
      </c>
      <c r="J40" s="8" t="str">
        <f>'EL – Electricidad'!AS13</f>
        <v>RI prog Abr-26, tendencia Ago-26. Entrega fc Mar-27 vs necesidad Dic-26. Desvío ~3 meses. Alinear con Ing. de detalle.</v>
      </c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9.5" customHeight="1" x14ac:dyDescent="0.35">
      <c r="A41" s="12">
        <f>'EL – Electricidad'!A14</f>
        <v>10</v>
      </c>
      <c r="B41" s="13" t="str">
        <f>'EL – Electricidad'!C14</f>
        <v>Ducto de barras</v>
      </c>
      <c r="C41" s="12" t="str">
        <f>'EL – Electricidad'!H14</f>
        <v>ATRASADO</v>
      </c>
      <c r="D41" s="12" t="str">
        <f>'EL – Electricidad'!O14</f>
        <v>PENDIENTE</v>
      </c>
      <c r="E41" s="12" t="str">
        <f>'EL – Electricidad'!T14</f>
        <v>PENDIENTE</v>
      </c>
      <c r="F41" s="12" t="str">
        <f>'EL – Electricidad'!Z14</f>
        <v>PENDIENTE</v>
      </c>
      <c r="G41" s="12" t="str">
        <f>'EL – Electricidad'!AG14</f>
        <v>PENDIENTE</v>
      </c>
      <c r="H41" s="12" t="str">
        <f>'EL – Electricidad'!AM14</f>
        <v>PENDIENTE</v>
      </c>
      <c r="I41" s="12" t="str">
        <f>'EL – Electricidad'!AN14</f>
        <v>🔴 ATRASADO</v>
      </c>
      <c r="J41" s="13" t="str">
        <f>'EL – Electricidad'!AS14</f>
        <v>⚠ 'No se encuentra' en cronograma. Sin RI emitida. Lead time ducto de barras 8-10 meses. Acción inmediata requerida.</v>
      </c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1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49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49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49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49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1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49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49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49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49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49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49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49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49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49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49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49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49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49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49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49"/>
      <c r="K60" s="2"/>
      <c r="L60" s="2"/>
      <c r="M60" s="2"/>
      <c r="N60" s="2"/>
      <c r="O60" s="2"/>
      <c r="P60" s="2"/>
      <c r="Q60" s="2"/>
      <c r="R60" s="2"/>
      <c r="S60" s="2"/>
      <c r="T60" s="2"/>
    </row>
  </sheetData>
  <mergeCells count="21">
    <mergeCell ref="A1:T2"/>
    <mergeCell ref="A3:D3"/>
    <mergeCell ref="E3:J3"/>
    <mergeCell ref="A5:D5"/>
    <mergeCell ref="F5:I5"/>
    <mergeCell ref="K5:N5"/>
    <mergeCell ref="P5:S5"/>
    <mergeCell ref="A6:C6"/>
    <mergeCell ref="F6:H6"/>
    <mergeCell ref="K6:M6"/>
    <mergeCell ref="P6:R6"/>
    <mergeCell ref="A7:C7"/>
    <mergeCell ref="F7:H7"/>
    <mergeCell ref="K7:M7"/>
    <mergeCell ref="P7:R7"/>
    <mergeCell ref="A30:J30"/>
    <mergeCell ref="A8:C8"/>
    <mergeCell ref="F8:H8"/>
    <mergeCell ref="K8:M8"/>
    <mergeCell ref="P8:R8"/>
    <mergeCell ref="A11:J11"/>
  </mergeCells>
  <pageMargins left="0.75" right="0.75" top="1" bottom="1" header="0.511811023622047" footer="0.511811023622047"/>
  <pageSetup paperSize="9" orientation="portrait" horizontalDpi="300" verticalDpi="300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  <pageSetUpPr fitToPage="1"/>
  </sheetPr>
  <dimension ref="A1:AT19"/>
  <sheetViews>
    <sheetView tabSelected="1" zoomScale="80" zoomScaleNormal="80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AT1"/>
    </sheetView>
  </sheetViews>
  <sheetFormatPr baseColWidth="10" defaultColWidth="8.6328125" defaultRowHeight="14.5" x14ac:dyDescent="0.35"/>
  <cols>
    <col min="1" max="1" width="5" customWidth="1"/>
    <col min="2" max="2" width="14" customWidth="1"/>
    <col min="3" max="3" width="38" customWidth="1"/>
    <col min="4" max="4" width="10" customWidth="1"/>
    <col min="5" max="8" width="13" customWidth="1"/>
    <col min="9" max="9" width="9" customWidth="1"/>
    <col min="10" max="10" width="35.26953125" customWidth="1"/>
    <col min="11" max="26" width="13" customWidth="1"/>
    <col min="27" max="27" width="16" customWidth="1"/>
    <col min="28" max="28" width="22" customWidth="1"/>
    <col min="29" max="29" width="10" customWidth="1"/>
    <col min="30" max="37" width="13" customWidth="1"/>
    <col min="38" max="38" width="9" customWidth="1"/>
    <col min="39" max="39" width="13" customWidth="1"/>
    <col min="40" max="40" width="21.54296875" customWidth="1"/>
    <col min="41" max="41" width="11" customWidth="1"/>
    <col min="42" max="42" width="16" customWidth="1"/>
    <col min="43" max="43" width="28" customWidth="1"/>
    <col min="44" max="44" width="13" customWidth="1"/>
    <col min="45" max="45" width="61.6328125" customWidth="1"/>
    <col min="46" max="46" width="13" customWidth="1"/>
  </cols>
  <sheetData>
    <row r="1" spans="1:46" ht="24" customHeight="1" x14ac:dyDescent="0.35">
      <c r="A1" s="73" t="s">
        <v>46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</row>
    <row r="2" spans="1:46" ht="18" customHeight="1" x14ac:dyDescent="0.35">
      <c r="A2" s="74" t="s">
        <v>47</v>
      </c>
      <c r="B2" s="74"/>
      <c r="C2" s="74"/>
      <c r="D2" s="74"/>
      <c r="E2" s="75" t="s">
        <v>48</v>
      </c>
      <c r="F2" s="75"/>
      <c r="G2" s="75"/>
      <c r="H2" s="75"/>
      <c r="I2" s="75"/>
      <c r="J2" s="76" t="s">
        <v>49</v>
      </c>
      <c r="K2" s="76"/>
      <c r="L2" s="76"/>
      <c r="M2" s="76"/>
      <c r="N2" s="76"/>
      <c r="O2" s="76"/>
      <c r="P2" s="77" t="s">
        <v>50</v>
      </c>
      <c r="Q2" s="77"/>
      <c r="R2" s="77"/>
      <c r="S2" s="77"/>
      <c r="T2" s="77"/>
      <c r="U2" s="78" t="s">
        <v>51</v>
      </c>
      <c r="V2" s="78"/>
      <c r="W2" s="78"/>
      <c r="X2" s="78"/>
      <c r="Y2" s="78"/>
      <c r="Z2" s="78"/>
      <c r="AA2" s="79" t="s">
        <v>52</v>
      </c>
      <c r="AB2" s="79"/>
      <c r="AC2" s="79"/>
      <c r="AD2" s="79"/>
      <c r="AE2" s="79"/>
      <c r="AF2" s="79"/>
      <c r="AG2" s="79"/>
      <c r="AH2" s="80" t="s">
        <v>53</v>
      </c>
      <c r="AI2" s="80"/>
      <c r="AJ2" s="80"/>
      <c r="AK2" s="80"/>
      <c r="AL2" s="80"/>
      <c r="AM2" s="80"/>
      <c r="AN2" s="81" t="s">
        <v>54</v>
      </c>
      <c r="AO2" s="81"/>
      <c r="AP2" s="81"/>
      <c r="AQ2" s="81"/>
      <c r="AR2" s="81"/>
      <c r="AS2" s="81"/>
      <c r="AT2" s="81"/>
    </row>
    <row r="3" spans="1:46" ht="31.5" customHeight="1" x14ac:dyDescent="0.35">
      <c r="A3" s="14" t="s">
        <v>35</v>
      </c>
      <c r="B3" s="14" t="s">
        <v>55</v>
      </c>
      <c r="C3" s="14" t="s">
        <v>56</v>
      </c>
      <c r="D3" s="14" t="s">
        <v>57</v>
      </c>
      <c r="E3" s="15" t="s">
        <v>58</v>
      </c>
      <c r="F3" s="15" t="s">
        <v>59</v>
      </c>
      <c r="G3" s="15" t="s">
        <v>60</v>
      </c>
      <c r="H3" s="16" t="s">
        <v>61</v>
      </c>
      <c r="I3" s="15" t="s">
        <v>62</v>
      </c>
      <c r="J3" s="17" t="s">
        <v>63</v>
      </c>
      <c r="K3" s="17" t="s">
        <v>64</v>
      </c>
      <c r="L3" s="17" t="s">
        <v>65</v>
      </c>
      <c r="M3" s="17" t="s">
        <v>59</v>
      </c>
      <c r="N3" s="17" t="s">
        <v>66</v>
      </c>
      <c r="O3" s="18" t="s">
        <v>61</v>
      </c>
      <c r="P3" s="19" t="s">
        <v>67</v>
      </c>
      <c r="Q3" s="19" t="s">
        <v>68</v>
      </c>
      <c r="R3" s="19" t="s">
        <v>59</v>
      </c>
      <c r="S3" s="19" t="s">
        <v>66</v>
      </c>
      <c r="T3" s="20" t="s">
        <v>61</v>
      </c>
      <c r="U3" s="21" t="s">
        <v>69</v>
      </c>
      <c r="V3" s="21" t="s">
        <v>70</v>
      </c>
      <c r="W3" s="21" t="s">
        <v>71</v>
      </c>
      <c r="X3" s="21" t="s">
        <v>72</v>
      </c>
      <c r="Y3" s="21" t="s">
        <v>73</v>
      </c>
      <c r="Z3" s="22" t="s">
        <v>61</v>
      </c>
      <c r="AA3" s="23" t="s">
        <v>74</v>
      </c>
      <c r="AB3" s="23" t="s">
        <v>75</v>
      </c>
      <c r="AC3" s="23" t="s">
        <v>76</v>
      </c>
      <c r="AD3" s="23" t="s">
        <v>77</v>
      </c>
      <c r="AE3" s="23" t="s">
        <v>78</v>
      </c>
      <c r="AF3" s="23" t="s">
        <v>79</v>
      </c>
      <c r="AG3" s="24" t="s">
        <v>41</v>
      </c>
      <c r="AH3" s="25" t="s">
        <v>80</v>
      </c>
      <c r="AI3" s="25" t="s">
        <v>81</v>
      </c>
      <c r="AJ3" s="25" t="s">
        <v>82</v>
      </c>
      <c r="AK3" s="26" t="s">
        <v>83</v>
      </c>
      <c r="AL3" s="25" t="s">
        <v>84</v>
      </c>
      <c r="AM3" s="26" t="s">
        <v>42</v>
      </c>
      <c r="AN3" s="27" t="s">
        <v>43</v>
      </c>
      <c r="AO3" s="28" t="s">
        <v>85</v>
      </c>
      <c r="AP3" s="28" t="s">
        <v>86</v>
      </c>
      <c r="AQ3" s="28" t="s">
        <v>87</v>
      </c>
      <c r="AR3" s="28" t="s">
        <v>88</v>
      </c>
      <c r="AS3" s="28" t="s">
        <v>44</v>
      </c>
      <c r="AT3" s="28" t="s">
        <v>89</v>
      </c>
    </row>
    <row r="4" spans="1:46" ht="31.5" customHeight="1" x14ac:dyDescent="0.35">
      <c r="A4" s="29" t="s">
        <v>35</v>
      </c>
      <c r="B4" s="29" t="s">
        <v>90</v>
      </c>
      <c r="C4" s="29" t="s">
        <v>91</v>
      </c>
      <c r="D4" s="29" t="s">
        <v>92</v>
      </c>
      <c r="E4" s="29" t="s">
        <v>93</v>
      </c>
      <c r="F4" s="29" t="s">
        <v>94</v>
      </c>
      <c r="G4" s="29" t="s">
        <v>95</v>
      </c>
      <c r="H4" s="29" t="s">
        <v>96</v>
      </c>
      <c r="I4" s="29" t="s">
        <v>97</v>
      </c>
      <c r="J4" s="29" t="s">
        <v>98</v>
      </c>
      <c r="K4" s="29" t="s">
        <v>93</v>
      </c>
      <c r="L4" s="29" t="s">
        <v>93</v>
      </c>
      <c r="M4" s="29" t="s">
        <v>99</v>
      </c>
      <c r="N4" s="29" t="s">
        <v>95</v>
      </c>
      <c r="O4" s="29" t="s">
        <v>96</v>
      </c>
      <c r="P4" s="29" t="s">
        <v>93</v>
      </c>
      <c r="Q4" s="29" t="s">
        <v>93</v>
      </c>
      <c r="R4" s="29" t="s">
        <v>99</v>
      </c>
      <c r="S4" s="29" t="s">
        <v>95</v>
      </c>
      <c r="T4" s="29" t="s">
        <v>96</v>
      </c>
      <c r="U4" s="29" t="s">
        <v>93</v>
      </c>
      <c r="V4" s="29" t="s">
        <v>95</v>
      </c>
      <c r="W4" s="29" t="s">
        <v>93</v>
      </c>
      <c r="X4" s="29" t="s">
        <v>93</v>
      </c>
      <c r="Y4" s="29" t="s">
        <v>95</v>
      </c>
      <c r="Z4" s="29" t="s">
        <v>96</v>
      </c>
      <c r="AA4" s="29" t="s">
        <v>100</v>
      </c>
      <c r="AB4" s="29" t="s">
        <v>101</v>
      </c>
      <c r="AC4" s="29" t="s">
        <v>102</v>
      </c>
      <c r="AD4" s="29" t="s">
        <v>93</v>
      </c>
      <c r="AE4" s="29" t="s">
        <v>99</v>
      </c>
      <c r="AF4" s="29" t="s">
        <v>103</v>
      </c>
      <c r="AG4" s="29" t="s">
        <v>96</v>
      </c>
      <c r="AH4" s="29" t="s">
        <v>104</v>
      </c>
      <c r="AI4" s="29" t="s">
        <v>94</v>
      </c>
      <c r="AJ4" s="29" t="s">
        <v>105</v>
      </c>
      <c r="AK4" s="29" t="s">
        <v>106</v>
      </c>
      <c r="AL4" s="29" t="s">
        <v>107</v>
      </c>
      <c r="AM4" s="29" t="s">
        <v>96</v>
      </c>
      <c r="AN4" s="29" t="s">
        <v>96</v>
      </c>
      <c r="AO4" s="29" t="s">
        <v>96</v>
      </c>
      <c r="AP4" s="29" t="s">
        <v>108</v>
      </c>
      <c r="AQ4" s="29" t="s">
        <v>109</v>
      </c>
      <c r="AR4" s="29" t="s">
        <v>110</v>
      </c>
      <c r="AS4" s="29" t="s">
        <v>111</v>
      </c>
      <c r="AT4" s="29" t="s">
        <v>112</v>
      </c>
    </row>
    <row r="5" spans="1:46" ht="30" customHeight="1" x14ac:dyDescent="0.35">
      <c r="A5" s="30">
        <v>1</v>
      </c>
      <c r="B5" s="30"/>
      <c r="C5" s="31" t="s">
        <v>113</v>
      </c>
      <c r="D5" s="30"/>
      <c r="E5" s="32">
        <v>45982</v>
      </c>
      <c r="F5" s="33">
        <v>46134</v>
      </c>
      <c r="G5" s="33">
        <v>46135</v>
      </c>
      <c r="H5" s="34" t="s">
        <v>114</v>
      </c>
      <c r="I5" s="35">
        <f t="shared" ref="I5:I19" si="0">IFERROR(IF(G5&lt;&gt;"",G5-E5,""),"")</f>
        <v>153</v>
      </c>
      <c r="J5" s="7" t="s">
        <v>115</v>
      </c>
      <c r="K5" s="32">
        <v>45983</v>
      </c>
      <c r="L5" s="32">
        <v>45990</v>
      </c>
      <c r="M5" s="33">
        <v>46172</v>
      </c>
      <c r="N5" s="7"/>
      <c r="O5" s="36" t="s">
        <v>116</v>
      </c>
      <c r="P5" s="32">
        <v>45991</v>
      </c>
      <c r="Q5" s="32">
        <v>46016</v>
      </c>
      <c r="R5" s="33">
        <v>46172</v>
      </c>
      <c r="S5" s="7"/>
      <c r="T5" s="37" t="s">
        <v>117</v>
      </c>
      <c r="U5" s="30"/>
      <c r="V5" s="30"/>
      <c r="W5" s="32">
        <v>46017</v>
      </c>
      <c r="X5" s="33">
        <v>46237</v>
      </c>
      <c r="Y5" s="7"/>
      <c r="Z5" s="37" t="s">
        <v>117</v>
      </c>
      <c r="AA5" s="7"/>
      <c r="AB5" s="7"/>
      <c r="AC5" s="30"/>
      <c r="AD5" s="32">
        <v>46063</v>
      </c>
      <c r="AE5" s="33">
        <v>46454</v>
      </c>
      <c r="AF5" s="7"/>
      <c r="AG5" s="37" t="s">
        <v>117</v>
      </c>
      <c r="AH5" s="33">
        <v>46412</v>
      </c>
      <c r="AI5" s="33">
        <v>46544</v>
      </c>
      <c r="AJ5" s="7"/>
      <c r="AK5" s="33">
        <v>46412</v>
      </c>
      <c r="AL5" s="35" t="str">
        <f t="shared" ref="AL5:AL19" si="1">IFERROR(IF(AND(AJ5&lt;&gt;"",AK5&lt;&gt;""),AJ5-AK5,""),"")</f>
        <v/>
      </c>
      <c r="AM5" s="37" t="s">
        <v>117</v>
      </c>
      <c r="AN5" s="36" t="s">
        <v>118</v>
      </c>
      <c r="AO5" s="7" t="s">
        <v>119</v>
      </c>
      <c r="AP5" s="30"/>
      <c r="AQ5" s="38"/>
      <c r="AR5" s="30"/>
      <c r="AS5" s="39" t="s">
        <v>120</v>
      </c>
      <c r="AT5" s="32">
        <f t="shared" ref="AT5:AT19" ca="1" si="2">IF(AS5&lt;&gt;"",TODAY(),"")</f>
        <v>46163</v>
      </c>
    </row>
    <row r="6" spans="1:46" ht="30" customHeight="1" x14ac:dyDescent="0.35">
      <c r="A6" s="40">
        <v>2</v>
      </c>
      <c r="B6" s="40"/>
      <c r="C6" s="41" t="s">
        <v>121</v>
      </c>
      <c r="D6" s="40"/>
      <c r="E6" s="42">
        <v>46072</v>
      </c>
      <c r="F6" s="43">
        <v>46108</v>
      </c>
      <c r="G6" s="43">
        <v>46111</v>
      </c>
      <c r="H6" s="34" t="s">
        <v>114</v>
      </c>
      <c r="I6" s="44">
        <f t="shared" si="0"/>
        <v>39</v>
      </c>
      <c r="J6" s="45" t="s">
        <v>122</v>
      </c>
      <c r="K6" s="42">
        <v>46073</v>
      </c>
      <c r="L6" s="42">
        <v>46080</v>
      </c>
      <c r="M6" s="43">
        <v>46148</v>
      </c>
      <c r="N6" s="43">
        <v>46142</v>
      </c>
      <c r="O6" s="34" t="s">
        <v>123</v>
      </c>
      <c r="P6" s="42">
        <v>46081</v>
      </c>
      <c r="Q6" s="42">
        <v>46106</v>
      </c>
      <c r="R6" s="43">
        <v>46148</v>
      </c>
      <c r="S6" s="43">
        <v>46142</v>
      </c>
      <c r="T6" s="37" t="s">
        <v>124</v>
      </c>
      <c r="U6" s="40"/>
      <c r="V6" s="40"/>
      <c r="W6" s="42">
        <v>46107</v>
      </c>
      <c r="X6" s="43">
        <v>46207</v>
      </c>
      <c r="Y6" s="45"/>
      <c r="Z6" s="37" t="s">
        <v>117</v>
      </c>
      <c r="AA6" s="45"/>
      <c r="AB6" s="45"/>
      <c r="AC6" s="40"/>
      <c r="AD6" s="42">
        <v>46153</v>
      </c>
      <c r="AE6" s="43">
        <v>46394</v>
      </c>
      <c r="AF6" s="45"/>
      <c r="AG6" s="37" t="s">
        <v>117</v>
      </c>
      <c r="AH6" s="43">
        <v>46412</v>
      </c>
      <c r="AI6" s="43">
        <v>46394</v>
      </c>
      <c r="AJ6" s="45"/>
      <c r="AK6" s="43">
        <v>46412</v>
      </c>
      <c r="AL6" s="44" t="str">
        <f t="shared" si="1"/>
        <v/>
      </c>
      <c r="AM6" s="37" t="s">
        <v>117</v>
      </c>
      <c r="AN6" s="36" t="s">
        <v>118</v>
      </c>
      <c r="AO6" s="45" t="s">
        <v>119</v>
      </c>
      <c r="AP6" s="40"/>
      <c r="AQ6" s="46"/>
      <c r="AR6" s="40"/>
      <c r="AS6" s="47" t="s">
        <v>125</v>
      </c>
      <c r="AT6" s="42">
        <f t="shared" ca="1" si="2"/>
        <v>46163</v>
      </c>
    </row>
    <row r="7" spans="1:46" ht="30" customHeight="1" x14ac:dyDescent="0.35">
      <c r="A7" s="30">
        <v>3</v>
      </c>
      <c r="B7" s="30"/>
      <c r="C7" s="31" t="s">
        <v>126</v>
      </c>
      <c r="D7" s="30"/>
      <c r="E7" s="32">
        <v>46057</v>
      </c>
      <c r="F7" s="33">
        <v>46133</v>
      </c>
      <c r="G7" s="33">
        <v>46122</v>
      </c>
      <c r="H7" s="34" t="s">
        <v>114</v>
      </c>
      <c r="I7" s="35">
        <f t="shared" si="0"/>
        <v>65</v>
      </c>
      <c r="J7" s="7" t="s">
        <v>127</v>
      </c>
      <c r="K7" s="32">
        <v>46058</v>
      </c>
      <c r="L7" s="32">
        <v>46065</v>
      </c>
      <c r="M7" s="33">
        <v>46166</v>
      </c>
      <c r="N7" s="7"/>
      <c r="O7" s="36" t="s">
        <v>116</v>
      </c>
      <c r="P7" s="32">
        <v>46066</v>
      </c>
      <c r="Q7" s="32">
        <v>46091</v>
      </c>
      <c r="R7" s="33">
        <v>46200</v>
      </c>
      <c r="S7" s="7"/>
      <c r="T7" s="37" t="s">
        <v>117</v>
      </c>
      <c r="U7" s="30"/>
      <c r="V7" s="30"/>
      <c r="W7" s="32">
        <v>46092</v>
      </c>
      <c r="X7" s="33">
        <v>46265</v>
      </c>
      <c r="Y7" s="7"/>
      <c r="Z7" s="37" t="s">
        <v>117</v>
      </c>
      <c r="AA7" s="7"/>
      <c r="AB7" s="7"/>
      <c r="AC7" s="30"/>
      <c r="AD7" s="32">
        <v>46138</v>
      </c>
      <c r="AE7" s="33">
        <v>46381</v>
      </c>
      <c r="AF7" s="7"/>
      <c r="AG7" s="37" t="s">
        <v>117</v>
      </c>
      <c r="AH7" s="33"/>
      <c r="AI7" s="33">
        <v>46423</v>
      </c>
      <c r="AJ7" s="7"/>
      <c r="AK7" s="33">
        <v>46381</v>
      </c>
      <c r="AL7" s="35" t="str">
        <f t="shared" si="1"/>
        <v/>
      </c>
      <c r="AM7" s="37" t="s">
        <v>117</v>
      </c>
      <c r="AN7" s="36" t="s">
        <v>118</v>
      </c>
      <c r="AO7" s="7" t="s">
        <v>119</v>
      </c>
      <c r="AP7" s="30"/>
      <c r="AQ7" s="38"/>
      <c r="AR7" s="30"/>
      <c r="AS7" s="39" t="s">
        <v>128</v>
      </c>
      <c r="AT7" s="32">
        <f t="shared" ca="1" si="2"/>
        <v>46163</v>
      </c>
    </row>
    <row r="8" spans="1:46" ht="30" customHeight="1" x14ac:dyDescent="0.35">
      <c r="A8" s="40">
        <v>4</v>
      </c>
      <c r="B8" s="40"/>
      <c r="C8" s="41" t="s">
        <v>129</v>
      </c>
      <c r="D8" s="40"/>
      <c r="E8" s="42">
        <v>46057</v>
      </c>
      <c r="F8" s="43">
        <v>46125</v>
      </c>
      <c r="G8" s="43">
        <v>46122</v>
      </c>
      <c r="H8" s="34" t="s">
        <v>114</v>
      </c>
      <c r="I8" s="44">
        <f t="shared" si="0"/>
        <v>65</v>
      </c>
      <c r="J8" s="45" t="s">
        <v>130</v>
      </c>
      <c r="K8" s="42">
        <v>46058</v>
      </c>
      <c r="L8" s="42">
        <v>46065</v>
      </c>
      <c r="M8" s="43">
        <v>46159</v>
      </c>
      <c r="N8" s="45"/>
      <c r="O8" s="36" t="s">
        <v>116</v>
      </c>
      <c r="P8" s="42">
        <v>46066</v>
      </c>
      <c r="Q8" s="42">
        <v>46091</v>
      </c>
      <c r="R8" s="43">
        <v>46193</v>
      </c>
      <c r="S8" s="45"/>
      <c r="T8" s="37" t="s">
        <v>117</v>
      </c>
      <c r="U8" s="40"/>
      <c r="V8" s="40"/>
      <c r="W8" s="42">
        <v>46092</v>
      </c>
      <c r="X8" s="43">
        <v>46258</v>
      </c>
      <c r="Y8" s="45"/>
      <c r="Z8" s="37" t="s">
        <v>117</v>
      </c>
      <c r="AA8" s="45"/>
      <c r="AB8" s="45"/>
      <c r="AC8" s="40"/>
      <c r="AD8" s="42">
        <v>46138</v>
      </c>
      <c r="AE8" s="43">
        <v>46381</v>
      </c>
      <c r="AF8" s="45"/>
      <c r="AG8" s="37" t="s">
        <v>117</v>
      </c>
      <c r="AH8" s="43"/>
      <c r="AI8" s="43">
        <v>46411</v>
      </c>
      <c r="AJ8" s="45"/>
      <c r="AK8" s="43">
        <v>46381</v>
      </c>
      <c r="AL8" s="44" t="str">
        <f t="shared" si="1"/>
        <v/>
      </c>
      <c r="AM8" s="37" t="s">
        <v>117</v>
      </c>
      <c r="AN8" s="36" t="s">
        <v>118</v>
      </c>
      <c r="AO8" s="45" t="s">
        <v>119</v>
      </c>
      <c r="AP8" s="40"/>
      <c r="AQ8" s="46"/>
      <c r="AR8" s="40"/>
      <c r="AS8" s="47" t="s">
        <v>131</v>
      </c>
      <c r="AT8" s="42">
        <f t="shared" ca="1" si="2"/>
        <v>46163</v>
      </c>
    </row>
    <row r="9" spans="1:46" ht="30" customHeight="1" x14ac:dyDescent="0.35">
      <c r="A9" s="30">
        <v>5</v>
      </c>
      <c r="B9" s="30"/>
      <c r="C9" s="31" t="s">
        <v>132</v>
      </c>
      <c r="D9" s="30"/>
      <c r="E9" s="32">
        <v>46061</v>
      </c>
      <c r="F9" s="33">
        <v>46111</v>
      </c>
      <c r="G9" s="33">
        <v>46111</v>
      </c>
      <c r="H9" s="34" t="s">
        <v>114</v>
      </c>
      <c r="I9" s="35">
        <f t="shared" si="0"/>
        <v>50</v>
      </c>
      <c r="J9" s="7" t="s">
        <v>133</v>
      </c>
      <c r="K9" s="32">
        <v>46062</v>
      </c>
      <c r="L9" s="32">
        <v>46069</v>
      </c>
      <c r="M9" s="33">
        <v>46148</v>
      </c>
      <c r="N9" s="33">
        <v>46134</v>
      </c>
      <c r="O9" s="34" t="s">
        <v>123</v>
      </c>
      <c r="P9" s="32">
        <v>46070</v>
      </c>
      <c r="Q9" s="32">
        <v>46095</v>
      </c>
      <c r="R9" s="33">
        <v>46148</v>
      </c>
      <c r="S9" s="33">
        <v>46134</v>
      </c>
      <c r="T9" s="37" t="s">
        <v>124</v>
      </c>
      <c r="U9" s="30"/>
      <c r="V9" s="30"/>
      <c r="W9" s="32">
        <v>46096</v>
      </c>
      <c r="X9" s="33">
        <v>46199</v>
      </c>
      <c r="Y9" s="7"/>
      <c r="Z9" s="37" t="s">
        <v>117</v>
      </c>
      <c r="AA9" s="7"/>
      <c r="AB9" s="7"/>
      <c r="AC9" s="30"/>
      <c r="AD9" s="32">
        <v>46142</v>
      </c>
      <c r="AE9" s="33">
        <v>46326</v>
      </c>
      <c r="AF9" s="7"/>
      <c r="AG9" s="37" t="s">
        <v>117</v>
      </c>
      <c r="AH9" s="33"/>
      <c r="AI9" s="33">
        <v>46366</v>
      </c>
      <c r="AJ9" s="7"/>
      <c r="AK9" s="33">
        <v>46381</v>
      </c>
      <c r="AL9" s="35" t="str">
        <f t="shared" si="1"/>
        <v/>
      </c>
      <c r="AM9" s="37" t="s">
        <v>117</v>
      </c>
      <c r="AN9" s="36" t="s">
        <v>118</v>
      </c>
      <c r="AO9" s="7" t="s">
        <v>119</v>
      </c>
      <c r="AP9" s="30"/>
      <c r="AQ9" s="38"/>
      <c r="AR9" s="30"/>
      <c r="AS9" s="39" t="s">
        <v>134</v>
      </c>
      <c r="AT9" s="32">
        <f t="shared" ca="1" si="2"/>
        <v>46163</v>
      </c>
    </row>
    <row r="10" spans="1:46" ht="30" customHeight="1" x14ac:dyDescent="0.35">
      <c r="A10" s="40">
        <v>6</v>
      </c>
      <c r="B10" s="40"/>
      <c r="C10" s="41" t="s">
        <v>135</v>
      </c>
      <c r="D10" s="40"/>
      <c r="E10" s="42">
        <v>46057</v>
      </c>
      <c r="F10" s="43">
        <v>46090</v>
      </c>
      <c r="G10" s="43">
        <v>46091</v>
      </c>
      <c r="H10" s="34" t="s">
        <v>114</v>
      </c>
      <c r="I10" s="44">
        <f t="shared" si="0"/>
        <v>34</v>
      </c>
      <c r="J10" s="45" t="s">
        <v>136</v>
      </c>
      <c r="K10" s="42">
        <v>46058</v>
      </c>
      <c r="L10" s="42">
        <v>46065</v>
      </c>
      <c r="M10" s="43">
        <v>46129</v>
      </c>
      <c r="N10" s="43">
        <v>46129</v>
      </c>
      <c r="O10" s="34" t="s">
        <v>123</v>
      </c>
      <c r="P10" s="42">
        <v>46066</v>
      </c>
      <c r="Q10" s="42">
        <v>46091</v>
      </c>
      <c r="R10" s="43">
        <v>46129</v>
      </c>
      <c r="S10" s="43">
        <v>46129</v>
      </c>
      <c r="T10" s="37" t="s">
        <v>124</v>
      </c>
      <c r="U10" s="40"/>
      <c r="V10" s="40"/>
      <c r="W10" s="42">
        <v>46092</v>
      </c>
      <c r="X10" s="43">
        <v>46194</v>
      </c>
      <c r="Y10" s="45"/>
      <c r="Z10" s="37" t="s">
        <v>117</v>
      </c>
      <c r="AA10" s="45"/>
      <c r="AB10" s="45"/>
      <c r="AC10" s="40"/>
      <c r="AD10" s="42">
        <v>46138</v>
      </c>
      <c r="AE10" s="43">
        <v>46381</v>
      </c>
      <c r="AF10" s="45"/>
      <c r="AG10" s="37" t="s">
        <v>117</v>
      </c>
      <c r="AH10" s="43"/>
      <c r="AI10" s="43">
        <v>46441</v>
      </c>
      <c r="AJ10" s="45"/>
      <c r="AK10" s="43">
        <v>46381</v>
      </c>
      <c r="AL10" s="44" t="str">
        <f t="shared" si="1"/>
        <v/>
      </c>
      <c r="AM10" s="37" t="s">
        <v>117</v>
      </c>
      <c r="AN10" s="36" t="s">
        <v>118</v>
      </c>
      <c r="AO10" s="45" t="s">
        <v>119</v>
      </c>
      <c r="AP10" s="40"/>
      <c r="AQ10" s="46"/>
      <c r="AR10" s="40"/>
      <c r="AS10" s="47" t="s">
        <v>137</v>
      </c>
      <c r="AT10" s="42">
        <f t="shared" ca="1" si="2"/>
        <v>46163</v>
      </c>
    </row>
    <row r="11" spans="1:46" ht="30" customHeight="1" x14ac:dyDescent="0.35">
      <c r="A11" s="30">
        <v>7</v>
      </c>
      <c r="B11" s="30"/>
      <c r="C11" s="31" t="s">
        <v>138</v>
      </c>
      <c r="D11" s="30"/>
      <c r="E11" s="32">
        <v>46057</v>
      </c>
      <c r="F11" s="33">
        <v>46136</v>
      </c>
      <c r="G11" s="33">
        <v>46111</v>
      </c>
      <c r="H11" s="34" t="s">
        <v>114</v>
      </c>
      <c r="I11" s="35">
        <f t="shared" si="0"/>
        <v>54</v>
      </c>
      <c r="J11" s="7" t="s">
        <v>139</v>
      </c>
      <c r="K11" s="32">
        <v>46058</v>
      </c>
      <c r="L11" s="32">
        <v>46065</v>
      </c>
      <c r="M11" s="33">
        <v>46148</v>
      </c>
      <c r="N11" s="7"/>
      <c r="O11" s="36" t="s">
        <v>116</v>
      </c>
      <c r="P11" s="32">
        <v>46066</v>
      </c>
      <c r="Q11" s="32">
        <v>46091</v>
      </c>
      <c r="R11" s="33">
        <v>46185</v>
      </c>
      <c r="S11" s="7"/>
      <c r="T11" s="37" t="s">
        <v>117</v>
      </c>
      <c r="U11" s="30"/>
      <c r="V11" s="30"/>
      <c r="W11" s="32">
        <v>46092</v>
      </c>
      <c r="X11" s="33">
        <v>46213</v>
      </c>
      <c r="Y11" s="7"/>
      <c r="Z11" s="37" t="s">
        <v>117</v>
      </c>
      <c r="AA11" s="7"/>
      <c r="AB11" s="7"/>
      <c r="AC11" s="30"/>
      <c r="AD11" s="32">
        <v>46138</v>
      </c>
      <c r="AE11" s="33">
        <v>46340</v>
      </c>
      <c r="AF11" s="7"/>
      <c r="AG11" s="37" t="s">
        <v>117</v>
      </c>
      <c r="AH11" s="33"/>
      <c r="AI11" s="33">
        <v>46340</v>
      </c>
      <c r="AJ11" s="7"/>
      <c r="AK11" s="33">
        <v>46381</v>
      </c>
      <c r="AL11" s="35" t="str">
        <f t="shared" si="1"/>
        <v/>
      </c>
      <c r="AM11" s="37" t="s">
        <v>117</v>
      </c>
      <c r="AN11" s="36" t="s">
        <v>118</v>
      </c>
      <c r="AO11" s="7" t="s">
        <v>140</v>
      </c>
      <c r="AP11" s="30"/>
      <c r="AQ11" s="38"/>
      <c r="AR11" s="30"/>
      <c r="AS11" s="39" t="s">
        <v>141</v>
      </c>
      <c r="AT11" s="32">
        <f t="shared" ca="1" si="2"/>
        <v>46163</v>
      </c>
    </row>
    <row r="12" spans="1:46" ht="30" customHeight="1" x14ac:dyDescent="0.35">
      <c r="A12" s="40">
        <v>8</v>
      </c>
      <c r="B12" s="40"/>
      <c r="C12" s="41" t="s">
        <v>142</v>
      </c>
      <c r="D12" s="40"/>
      <c r="E12" s="42">
        <v>45819</v>
      </c>
      <c r="F12" s="43">
        <v>46315</v>
      </c>
      <c r="G12" s="45"/>
      <c r="H12" s="48" t="s">
        <v>143</v>
      </c>
      <c r="I12" s="44" t="str">
        <f t="shared" si="0"/>
        <v/>
      </c>
      <c r="J12" s="45" t="s">
        <v>144</v>
      </c>
      <c r="K12" s="42">
        <v>45820</v>
      </c>
      <c r="L12" s="42">
        <v>45827</v>
      </c>
      <c r="M12" s="43">
        <v>46352</v>
      </c>
      <c r="N12" s="45"/>
      <c r="O12" s="37" t="s">
        <v>117</v>
      </c>
      <c r="P12" s="42">
        <v>45828</v>
      </c>
      <c r="Q12" s="42">
        <v>45853</v>
      </c>
      <c r="R12" s="45"/>
      <c r="S12" s="45"/>
      <c r="T12" s="37" t="s">
        <v>117</v>
      </c>
      <c r="U12" s="40"/>
      <c r="V12" s="40"/>
      <c r="W12" s="42">
        <v>45854</v>
      </c>
      <c r="X12" s="43">
        <v>46392</v>
      </c>
      <c r="Y12" s="45"/>
      <c r="Z12" s="37" t="s">
        <v>117</v>
      </c>
      <c r="AA12" s="45"/>
      <c r="AB12" s="45"/>
      <c r="AC12" s="40"/>
      <c r="AD12" s="42">
        <v>45885</v>
      </c>
      <c r="AE12" s="43">
        <v>46381</v>
      </c>
      <c r="AF12" s="45"/>
      <c r="AG12" s="37" t="s">
        <v>117</v>
      </c>
      <c r="AH12" s="43"/>
      <c r="AI12" s="43">
        <v>46489</v>
      </c>
      <c r="AJ12" s="45"/>
      <c r="AK12" s="43">
        <v>46381</v>
      </c>
      <c r="AL12" s="44" t="str">
        <f t="shared" si="1"/>
        <v/>
      </c>
      <c r="AM12" s="48" t="s">
        <v>143</v>
      </c>
      <c r="AN12" s="48" t="s">
        <v>145</v>
      </c>
      <c r="AO12" s="45" t="s">
        <v>146</v>
      </c>
      <c r="AP12" s="40"/>
      <c r="AQ12" s="46"/>
      <c r="AR12" s="40"/>
      <c r="AS12" s="47" t="s">
        <v>147</v>
      </c>
      <c r="AT12" s="42">
        <f t="shared" ca="1" si="2"/>
        <v>46163</v>
      </c>
    </row>
    <row r="13" spans="1:46" ht="30" customHeight="1" x14ac:dyDescent="0.35">
      <c r="A13" s="30">
        <v>9</v>
      </c>
      <c r="B13" s="30"/>
      <c r="C13" s="31" t="s">
        <v>148</v>
      </c>
      <c r="D13" s="30"/>
      <c r="E13" s="32">
        <v>45840</v>
      </c>
      <c r="F13" s="33">
        <v>46147</v>
      </c>
      <c r="G13" s="7"/>
      <c r="H13" s="36" t="s">
        <v>116</v>
      </c>
      <c r="I13" s="35" t="str">
        <f t="shared" si="0"/>
        <v/>
      </c>
      <c r="J13" s="7" t="s">
        <v>149</v>
      </c>
      <c r="K13" s="32">
        <v>45841</v>
      </c>
      <c r="L13" s="32">
        <v>45848</v>
      </c>
      <c r="M13" s="33">
        <v>46184</v>
      </c>
      <c r="N13" s="7"/>
      <c r="O13" s="37" t="s">
        <v>117</v>
      </c>
      <c r="P13" s="32">
        <v>45849</v>
      </c>
      <c r="Q13" s="32">
        <v>45874</v>
      </c>
      <c r="R13" s="33">
        <v>46249</v>
      </c>
      <c r="S13" s="7"/>
      <c r="T13" s="37" t="s">
        <v>117</v>
      </c>
      <c r="U13" s="30"/>
      <c r="V13" s="30"/>
      <c r="W13" s="32">
        <v>45875</v>
      </c>
      <c r="X13" s="33">
        <v>46249</v>
      </c>
      <c r="Y13" s="7"/>
      <c r="Z13" s="37" t="s">
        <v>117</v>
      </c>
      <c r="AA13" s="7"/>
      <c r="AB13" s="7"/>
      <c r="AC13" s="30"/>
      <c r="AD13" s="32">
        <v>45906</v>
      </c>
      <c r="AE13" s="33">
        <v>46356</v>
      </c>
      <c r="AF13" s="7"/>
      <c r="AG13" s="37" t="s">
        <v>117</v>
      </c>
      <c r="AH13" s="33"/>
      <c r="AI13" s="33">
        <v>46356</v>
      </c>
      <c r="AJ13" s="7"/>
      <c r="AK13" s="33">
        <v>46381</v>
      </c>
      <c r="AL13" s="35" t="str">
        <f t="shared" si="1"/>
        <v/>
      </c>
      <c r="AM13" s="37" t="s">
        <v>117</v>
      </c>
      <c r="AN13" s="36" t="s">
        <v>118</v>
      </c>
      <c r="AO13" s="7" t="s">
        <v>119</v>
      </c>
      <c r="AP13" s="30"/>
      <c r="AQ13" s="38"/>
      <c r="AR13" s="30"/>
      <c r="AS13" s="39" t="s">
        <v>150</v>
      </c>
      <c r="AT13" s="32">
        <f t="shared" ca="1" si="2"/>
        <v>46163</v>
      </c>
    </row>
    <row r="14" spans="1:46" ht="30" customHeight="1" x14ac:dyDescent="0.35">
      <c r="A14" s="40">
        <v>10</v>
      </c>
      <c r="B14" s="40"/>
      <c r="C14" s="41" t="s">
        <v>151</v>
      </c>
      <c r="D14" s="40"/>
      <c r="E14" s="42">
        <v>45870</v>
      </c>
      <c r="F14" s="45"/>
      <c r="G14" s="45"/>
      <c r="H14" s="48" t="s">
        <v>143</v>
      </c>
      <c r="I14" s="44" t="str">
        <f t="shared" si="0"/>
        <v/>
      </c>
      <c r="J14" s="45"/>
      <c r="K14" s="42">
        <v>45871</v>
      </c>
      <c r="L14" s="42">
        <v>45878</v>
      </c>
      <c r="M14" s="45"/>
      <c r="N14" s="45"/>
      <c r="O14" s="37" t="s">
        <v>117</v>
      </c>
      <c r="P14" s="42">
        <v>45879</v>
      </c>
      <c r="Q14" s="42">
        <v>45904</v>
      </c>
      <c r="R14" s="45"/>
      <c r="S14" s="45"/>
      <c r="T14" s="37" t="s">
        <v>117</v>
      </c>
      <c r="U14" s="40"/>
      <c r="V14" s="40"/>
      <c r="W14" s="42">
        <v>45905</v>
      </c>
      <c r="X14" s="43"/>
      <c r="Y14" s="45"/>
      <c r="Z14" s="37" t="s">
        <v>117</v>
      </c>
      <c r="AA14" s="45"/>
      <c r="AB14" s="45"/>
      <c r="AC14" s="40"/>
      <c r="AD14" s="42">
        <v>45936</v>
      </c>
      <c r="AE14" s="45"/>
      <c r="AF14" s="45"/>
      <c r="AG14" s="37" t="s">
        <v>117</v>
      </c>
      <c r="AH14" s="43"/>
      <c r="AI14" s="45"/>
      <c r="AJ14" s="45"/>
      <c r="AK14" s="43">
        <v>46381</v>
      </c>
      <c r="AL14" s="44" t="str">
        <f t="shared" si="1"/>
        <v/>
      </c>
      <c r="AM14" s="37" t="s">
        <v>117</v>
      </c>
      <c r="AN14" s="48" t="s">
        <v>145</v>
      </c>
      <c r="AO14" s="45" t="s">
        <v>146</v>
      </c>
      <c r="AP14" s="40"/>
      <c r="AQ14" s="46"/>
      <c r="AR14" s="40"/>
      <c r="AS14" s="47" t="s">
        <v>152</v>
      </c>
      <c r="AT14" s="42">
        <f t="shared" ca="1" si="2"/>
        <v>46163</v>
      </c>
    </row>
    <row r="15" spans="1:46" ht="30" customHeight="1" x14ac:dyDescent="0.35">
      <c r="A15" s="30">
        <v>11</v>
      </c>
      <c r="B15" s="30"/>
      <c r="C15" s="31" t="s">
        <v>153</v>
      </c>
      <c r="D15" s="30"/>
      <c r="E15" s="32">
        <v>45900</v>
      </c>
      <c r="F15" s="33">
        <v>46156</v>
      </c>
      <c r="G15" s="7"/>
      <c r="H15" s="48" t="s">
        <v>143</v>
      </c>
      <c r="I15" s="35" t="str">
        <f t="shared" si="0"/>
        <v/>
      </c>
      <c r="J15" s="7" t="s">
        <v>154</v>
      </c>
      <c r="K15" s="32">
        <v>45901</v>
      </c>
      <c r="L15" s="32">
        <v>45908</v>
      </c>
      <c r="M15" s="33">
        <v>46193</v>
      </c>
      <c r="N15" s="7"/>
      <c r="O15" s="37" t="s">
        <v>117</v>
      </c>
      <c r="P15" s="32">
        <v>45909</v>
      </c>
      <c r="Q15" s="32">
        <v>45934</v>
      </c>
      <c r="R15" s="33">
        <v>46258</v>
      </c>
      <c r="S15" s="7"/>
      <c r="T15" s="37" t="s">
        <v>117</v>
      </c>
      <c r="U15" s="30"/>
      <c r="V15" s="30"/>
      <c r="W15" s="32">
        <v>45935</v>
      </c>
      <c r="X15" s="33">
        <v>46258</v>
      </c>
      <c r="Y15" s="7"/>
      <c r="Z15" s="37" t="s">
        <v>117</v>
      </c>
      <c r="AA15" s="7"/>
      <c r="AB15" s="7"/>
      <c r="AC15" s="30"/>
      <c r="AD15" s="32">
        <v>45981</v>
      </c>
      <c r="AE15" s="33">
        <v>46404</v>
      </c>
      <c r="AF15" s="7"/>
      <c r="AG15" s="37" t="s">
        <v>117</v>
      </c>
      <c r="AH15" s="33"/>
      <c r="AI15" s="33">
        <v>46415</v>
      </c>
      <c r="AJ15" s="7"/>
      <c r="AK15" s="33">
        <v>46404</v>
      </c>
      <c r="AL15" s="35" t="str">
        <f t="shared" si="1"/>
        <v/>
      </c>
      <c r="AM15" s="37" t="s">
        <v>117</v>
      </c>
      <c r="AN15" s="48" t="s">
        <v>145</v>
      </c>
      <c r="AO15" s="7" t="s">
        <v>146</v>
      </c>
      <c r="AP15" s="30"/>
      <c r="AQ15" s="38"/>
      <c r="AR15" s="30"/>
      <c r="AS15" s="39" t="s">
        <v>155</v>
      </c>
      <c r="AT15" s="32">
        <f t="shared" ca="1" si="2"/>
        <v>46163</v>
      </c>
    </row>
    <row r="16" spans="1:46" ht="30" customHeight="1" x14ac:dyDescent="0.35">
      <c r="A16" s="40">
        <v>12</v>
      </c>
      <c r="B16" s="40"/>
      <c r="C16" s="41" t="s">
        <v>156</v>
      </c>
      <c r="D16" s="40"/>
      <c r="E16" s="42">
        <v>46041</v>
      </c>
      <c r="F16" s="43">
        <v>46168</v>
      </c>
      <c r="G16" s="45"/>
      <c r="H16" s="37" t="s">
        <v>117</v>
      </c>
      <c r="I16" s="44" t="str">
        <f t="shared" si="0"/>
        <v/>
      </c>
      <c r="J16" s="45" t="s">
        <v>157</v>
      </c>
      <c r="K16" s="42">
        <v>46042</v>
      </c>
      <c r="L16" s="42">
        <v>46049</v>
      </c>
      <c r="M16" s="43">
        <v>46193</v>
      </c>
      <c r="N16" s="45"/>
      <c r="O16" s="37" t="s">
        <v>117</v>
      </c>
      <c r="P16" s="42">
        <v>46050</v>
      </c>
      <c r="Q16" s="42">
        <v>46075</v>
      </c>
      <c r="R16" s="43">
        <v>46258</v>
      </c>
      <c r="S16" s="45"/>
      <c r="T16" s="37" t="s">
        <v>117</v>
      </c>
      <c r="U16" s="40"/>
      <c r="V16" s="40"/>
      <c r="W16" s="42">
        <v>46076</v>
      </c>
      <c r="X16" s="43">
        <v>46258</v>
      </c>
      <c r="Y16" s="45"/>
      <c r="Z16" s="37" t="s">
        <v>117</v>
      </c>
      <c r="AA16" s="45"/>
      <c r="AB16" s="45"/>
      <c r="AC16" s="40"/>
      <c r="AD16" s="42">
        <v>46122</v>
      </c>
      <c r="AE16" s="43">
        <v>46259</v>
      </c>
      <c r="AF16" s="45"/>
      <c r="AG16" s="37" t="s">
        <v>117</v>
      </c>
      <c r="AH16" s="43"/>
      <c r="AI16" s="43">
        <v>46379</v>
      </c>
      <c r="AJ16" s="45"/>
      <c r="AK16" s="43">
        <v>46404</v>
      </c>
      <c r="AL16" s="44" t="str">
        <f t="shared" si="1"/>
        <v/>
      </c>
      <c r="AM16" s="37" t="s">
        <v>117</v>
      </c>
      <c r="AN16" s="37" t="s">
        <v>158</v>
      </c>
      <c r="AO16" s="45" t="s">
        <v>119</v>
      </c>
      <c r="AP16" s="40"/>
      <c r="AQ16" s="46"/>
      <c r="AR16" s="40"/>
      <c r="AS16" s="47" t="s">
        <v>159</v>
      </c>
      <c r="AT16" s="42">
        <f t="shared" ca="1" si="2"/>
        <v>46163</v>
      </c>
    </row>
    <row r="17" spans="1:46" ht="30" customHeight="1" x14ac:dyDescent="0.35">
      <c r="A17" s="30">
        <v>13</v>
      </c>
      <c r="B17" s="30"/>
      <c r="C17" s="31" t="s">
        <v>160</v>
      </c>
      <c r="D17" s="30"/>
      <c r="E17" s="32">
        <v>45967</v>
      </c>
      <c r="F17" s="33">
        <v>46056</v>
      </c>
      <c r="G17" s="33">
        <v>46056</v>
      </c>
      <c r="H17" s="34" t="s">
        <v>114</v>
      </c>
      <c r="I17" s="35">
        <f t="shared" si="0"/>
        <v>89</v>
      </c>
      <c r="J17" s="7" t="s">
        <v>161</v>
      </c>
      <c r="K17" s="32">
        <v>45968</v>
      </c>
      <c r="L17" s="32">
        <v>45975</v>
      </c>
      <c r="M17" s="33">
        <v>46106</v>
      </c>
      <c r="N17" s="33">
        <v>46106</v>
      </c>
      <c r="O17" s="34" t="s">
        <v>123</v>
      </c>
      <c r="P17" s="32">
        <v>45976</v>
      </c>
      <c r="Q17" s="32">
        <v>46001</v>
      </c>
      <c r="R17" s="33">
        <v>46106</v>
      </c>
      <c r="S17" s="33">
        <v>46106</v>
      </c>
      <c r="T17" s="37" t="s">
        <v>124</v>
      </c>
      <c r="U17" s="30"/>
      <c r="V17" s="30"/>
      <c r="W17" s="32">
        <v>46002</v>
      </c>
      <c r="X17" s="33">
        <v>46206</v>
      </c>
      <c r="Y17" s="7"/>
      <c r="Z17" s="37" t="s">
        <v>117</v>
      </c>
      <c r="AA17" s="7"/>
      <c r="AB17" s="7"/>
      <c r="AC17" s="30"/>
      <c r="AD17" s="32">
        <v>46048</v>
      </c>
      <c r="AE17" s="33">
        <v>46434</v>
      </c>
      <c r="AF17" s="7"/>
      <c r="AG17" s="37" t="s">
        <v>117</v>
      </c>
      <c r="AH17" s="33"/>
      <c r="AI17" s="33">
        <v>46513</v>
      </c>
      <c r="AJ17" s="7"/>
      <c r="AK17" s="33">
        <v>46434</v>
      </c>
      <c r="AL17" s="35" t="str">
        <f t="shared" si="1"/>
        <v/>
      </c>
      <c r="AM17" s="37" t="s">
        <v>117</v>
      </c>
      <c r="AN17" s="36" t="s">
        <v>118</v>
      </c>
      <c r="AO17" s="7" t="s">
        <v>146</v>
      </c>
      <c r="AP17" s="30"/>
      <c r="AQ17" s="38"/>
      <c r="AR17" s="30"/>
      <c r="AS17" s="39" t="s">
        <v>162</v>
      </c>
      <c r="AT17" s="32">
        <f t="shared" ca="1" si="2"/>
        <v>46163</v>
      </c>
    </row>
    <row r="18" spans="1:46" ht="30" customHeight="1" x14ac:dyDescent="0.35">
      <c r="A18" s="40">
        <v>14</v>
      </c>
      <c r="B18" s="40"/>
      <c r="C18" s="41" t="s">
        <v>163</v>
      </c>
      <c r="D18" s="40"/>
      <c r="E18" s="42">
        <v>46027</v>
      </c>
      <c r="F18" s="43">
        <v>46107</v>
      </c>
      <c r="G18" s="43">
        <v>46111</v>
      </c>
      <c r="H18" s="34" t="s">
        <v>114</v>
      </c>
      <c r="I18" s="44">
        <f t="shared" si="0"/>
        <v>84</v>
      </c>
      <c r="J18" s="45" t="s">
        <v>164</v>
      </c>
      <c r="K18" s="42">
        <v>46028</v>
      </c>
      <c r="L18" s="42">
        <v>46035</v>
      </c>
      <c r="M18" s="43">
        <v>46148</v>
      </c>
      <c r="N18" s="43">
        <v>46142</v>
      </c>
      <c r="O18" s="34" t="s">
        <v>123</v>
      </c>
      <c r="P18" s="42">
        <v>46036</v>
      </c>
      <c r="Q18" s="42">
        <v>46061</v>
      </c>
      <c r="R18" s="43">
        <v>46148</v>
      </c>
      <c r="S18" s="43">
        <v>46142</v>
      </c>
      <c r="T18" s="37" t="s">
        <v>124</v>
      </c>
      <c r="U18" s="40"/>
      <c r="V18" s="40"/>
      <c r="W18" s="42">
        <v>46062</v>
      </c>
      <c r="X18" s="43">
        <v>46207</v>
      </c>
      <c r="Y18" s="45"/>
      <c r="Z18" s="37" t="s">
        <v>117</v>
      </c>
      <c r="AA18" s="45"/>
      <c r="AB18" s="45"/>
      <c r="AC18" s="40"/>
      <c r="AD18" s="42">
        <v>46108</v>
      </c>
      <c r="AE18" s="43">
        <v>46364</v>
      </c>
      <c r="AF18" s="45"/>
      <c r="AG18" s="37" t="s">
        <v>117</v>
      </c>
      <c r="AH18" s="43"/>
      <c r="AI18" s="43">
        <v>46364</v>
      </c>
      <c r="AJ18" s="45"/>
      <c r="AK18" s="43">
        <v>46381</v>
      </c>
      <c r="AL18" s="44" t="str">
        <f t="shared" si="1"/>
        <v/>
      </c>
      <c r="AM18" s="37" t="s">
        <v>117</v>
      </c>
      <c r="AN18" s="36" t="s">
        <v>118</v>
      </c>
      <c r="AO18" s="45" t="s">
        <v>119</v>
      </c>
      <c r="AP18" s="40"/>
      <c r="AQ18" s="46"/>
      <c r="AR18" s="40"/>
      <c r="AS18" s="47" t="s">
        <v>165</v>
      </c>
      <c r="AT18" s="42">
        <f t="shared" ca="1" si="2"/>
        <v>46163</v>
      </c>
    </row>
    <row r="19" spans="1:46" ht="30" customHeight="1" x14ac:dyDescent="0.35">
      <c r="A19" s="30">
        <v>15</v>
      </c>
      <c r="B19" s="30"/>
      <c r="C19" s="31" t="s">
        <v>166</v>
      </c>
      <c r="D19" s="30"/>
      <c r="E19" s="32">
        <v>46027</v>
      </c>
      <c r="F19" s="33">
        <v>46101</v>
      </c>
      <c r="G19" s="33">
        <v>46106</v>
      </c>
      <c r="H19" s="34" t="s">
        <v>114</v>
      </c>
      <c r="I19" s="35">
        <f t="shared" si="0"/>
        <v>79</v>
      </c>
      <c r="J19" s="7" t="s">
        <v>167</v>
      </c>
      <c r="K19" s="32">
        <v>46028</v>
      </c>
      <c r="L19" s="32">
        <v>46035</v>
      </c>
      <c r="M19" s="33">
        <v>46152</v>
      </c>
      <c r="N19" s="33">
        <v>46148</v>
      </c>
      <c r="O19" s="34" t="s">
        <v>123</v>
      </c>
      <c r="P19" s="32">
        <v>46036</v>
      </c>
      <c r="Q19" s="32">
        <v>46061</v>
      </c>
      <c r="R19" s="33">
        <v>46152</v>
      </c>
      <c r="S19" s="33">
        <v>46148</v>
      </c>
      <c r="T19" s="37" t="s">
        <v>124</v>
      </c>
      <c r="U19" s="30"/>
      <c r="V19" s="30"/>
      <c r="W19" s="32">
        <v>46062</v>
      </c>
      <c r="X19" s="33">
        <v>46213</v>
      </c>
      <c r="Y19" s="7"/>
      <c r="Z19" s="37" t="s">
        <v>117</v>
      </c>
      <c r="AA19" s="7"/>
      <c r="AB19" s="7"/>
      <c r="AC19" s="30"/>
      <c r="AD19" s="32">
        <v>46108</v>
      </c>
      <c r="AE19" s="33">
        <v>46400</v>
      </c>
      <c r="AF19" s="7"/>
      <c r="AG19" s="37" t="s">
        <v>117</v>
      </c>
      <c r="AH19" s="33"/>
      <c r="AI19" s="33">
        <v>46400</v>
      </c>
      <c r="AJ19" s="7"/>
      <c r="AK19" s="33">
        <v>46412</v>
      </c>
      <c r="AL19" s="35" t="str">
        <f t="shared" si="1"/>
        <v/>
      </c>
      <c r="AM19" s="37" t="s">
        <v>117</v>
      </c>
      <c r="AN19" s="36" t="s">
        <v>118</v>
      </c>
      <c r="AO19" s="7" t="s">
        <v>119</v>
      </c>
      <c r="AP19" s="30"/>
      <c r="AQ19" s="38"/>
      <c r="AR19" s="30"/>
      <c r="AS19" s="39" t="s">
        <v>168</v>
      </c>
      <c r="AT19" s="32">
        <f t="shared" ca="1" si="2"/>
        <v>46163</v>
      </c>
    </row>
  </sheetData>
  <mergeCells count="9">
    <mergeCell ref="A1:AT1"/>
    <mergeCell ref="A2:D2"/>
    <mergeCell ref="E2:I2"/>
    <mergeCell ref="J2:O2"/>
    <mergeCell ref="P2:T2"/>
    <mergeCell ref="U2:Z2"/>
    <mergeCell ref="AA2:AG2"/>
    <mergeCell ref="AH2:AM2"/>
    <mergeCell ref="AN2:AT2"/>
  </mergeCells>
  <conditionalFormatting sqref="H5:H19">
    <cfRule type="expression" dxfId="55" priority="2">
      <formula>OR(H5="🟢 COMPLETADO",H5="COMPLETADO",H5="APROBADO",H5="EMITIDA",H5="RECIBIDO")</formula>
    </cfRule>
    <cfRule type="expression" dxfId="54" priority="3">
      <formula>OR(H5="🔴 ATRASADO",H5="ATRASADO")</formula>
    </cfRule>
    <cfRule type="expression" dxfId="53" priority="4">
      <formula>OR(H5="🟡 EN PROCESO",H5="EN PROCESO",H5="EN REVISIÓN",H5="EN TRÁNSITO")</formula>
    </cfRule>
    <cfRule type="expression" dxfId="52" priority="5">
      <formula>OR(H5="⚪ PENDIENTE",H5="PENDIENTE")</formula>
    </cfRule>
  </conditionalFormatting>
  <conditionalFormatting sqref="I5:I19">
    <cfRule type="expression" dxfId="51" priority="30">
      <formula>I5&gt;0</formula>
    </cfRule>
    <cfRule type="expression" dxfId="50" priority="31">
      <formula>I5&lt;0</formula>
    </cfRule>
  </conditionalFormatting>
  <conditionalFormatting sqref="O5:O19">
    <cfRule type="expression" dxfId="49" priority="6">
      <formula>OR(O5="🟢 COMPLETADO",O5="COMPLETADO",O5="APROBADO",O5="EMITIDA",O5="RECIBIDO")</formula>
    </cfRule>
    <cfRule type="expression" dxfId="48" priority="7">
      <formula>OR(O5="🔴 ATRASADO",O5="ATRASADO")</formula>
    </cfRule>
    <cfRule type="expression" dxfId="47" priority="8">
      <formula>OR(O5="🟡 EN PROCESO",O5="EN PROCESO",O5="EN REVISIÓN",O5="EN TRÁNSITO")</formula>
    </cfRule>
    <cfRule type="expression" dxfId="46" priority="9">
      <formula>OR(O5="⚪ PENDIENTE",O5="PENDIENTE")</formula>
    </cfRule>
  </conditionalFormatting>
  <conditionalFormatting sqref="T5:T19">
    <cfRule type="expression" dxfId="45" priority="10">
      <formula>OR(T5="🟢 COMPLETADO",T5="COMPLETADO",T5="APROBADO",T5="EMITIDA",T5="RECIBIDO")</formula>
    </cfRule>
    <cfRule type="expression" dxfId="44" priority="11">
      <formula>OR(T5="🔴 ATRASADO",T5="ATRASADO")</formula>
    </cfRule>
    <cfRule type="expression" dxfId="43" priority="12">
      <formula>OR(T5="🟡 EN PROCESO",T5="EN PROCESO",T5="EN REVISIÓN",T5="EN TRÁNSITO")</formula>
    </cfRule>
    <cfRule type="expression" dxfId="42" priority="13">
      <formula>OR(T5="⚪ PENDIENTE",T5="PENDIENTE")</formula>
    </cfRule>
  </conditionalFormatting>
  <conditionalFormatting sqref="Z5:Z19">
    <cfRule type="expression" dxfId="41" priority="14">
      <formula>OR(Z5="🟢 COMPLETADO",Z5="COMPLETADO",Z5="APROBADO",Z5="EMITIDA",Z5="RECIBIDO")</formula>
    </cfRule>
    <cfRule type="expression" dxfId="40" priority="15">
      <formula>OR(Z5="🔴 ATRASADO",Z5="ATRASADO")</formula>
    </cfRule>
    <cfRule type="expression" dxfId="39" priority="16">
      <formula>OR(Z5="🟡 EN PROCESO",Z5="EN PROCESO",Z5="EN REVISIÓN",Z5="EN TRÁNSITO")</formula>
    </cfRule>
    <cfRule type="expression" dxfId="38" priority="17">
      <formula>OR(Z5="⚪ PENDIENTE",Z5="PENDIENTE")</formula>
    </cfRule>
  </conditionalFormatting>
  <conditionalFormatting sqref="AG5:AG19">
    <cfRule type="expression" dxfId="37" priority="18">
      <formula>OR(AG5="🟢 COMPLETADO",AG5="COMPLETADO",AG5="APROBADO",AG5="EMITIDA",AG5="RECIBIDO")</formula>
    </cfRule>
    <cfRule type="expression" dxfId="36" priority="19">
      <formula>OR(AG5="🔴 ATRASADO",AG5="ATRASADO")</formula>
    </cfRule>
    <cfRule type="expression" dxfId="35" priority="20">
      <formula>OR(AG5="🟡 EN PROCESO",AG5="EN PROCESO",AG5="EN REVISIÓN",AG5="EN TRÁNSITO")</formula>
    </cfRule>
    <cfRule type="expression" dxfId="34" priority="21">
      <formula>OR(AG5="⚪ PENDIENTE",AG5="PENDIENTE")</formula>
    </cfRule>
  </conditionalFormatting>
  <conditionalFormatting sqref="AL5:AL19">
    <cfRule type="expression" dxfId="33" priority="32">
      <formula>AL5&gt;0</formula>
    </cfRule>
    <cfRule type="expression" dxfId="32" priority="33">
      <formula>AL5&lt;0</formula>
    </cfRule>
  </conditionalFormatting>
  <conditionalFormatting sqref="AM5:AN19">
    <cfRule type="expression" dxfId="31" priority="22">
      <formula>OR(AM5="🟢 COMPLETADO",AM5="COMPLETADO",AM5="APROBADO",AM5="EMITIDA",AM5="RECIBIDO")</formula>
    </cfRule>
    <cfRule type="expression" dxfId="30" priority="23">
      <formula>OR(AM5="🔴 ATRASADO",AM5="ATRASADO")</formula>
    </cfRule>
    <cfRule type="expression" dxfId="29" priority="24">
      <formula>OR(AM5="🟡 EN PROCESO",AM5="EN PROCESO",AM5="EN REVISIÓN",AM5="EN TRÁNSITO")</formula>
    </cfRule>
    <cfRule type="expression" dxfId="28" priority="25">
      <formula>OR(AM5="⚪ PENDIENTE",AM5="PENDIENTE")</formula>
    </cfRule>
  </conditionalFormatting>
  <dataValidations count="8">
    <dataValidation type="list" allowBlank="1" sqref="H5:H19" xr:uid="{00000000-0002-0000-0200-000000000000}">
      <formula1>"COMPLETADO,EN PROCESO,ATRASADO,PENDIENTE,N/A"</formula1>
      <formula2>0</formula2>
    </dataValidation>
    <dataValidation type="list" allowBlank="1" sqref="O5:O19" xr:uid="{00000000-0002-0000-0200-000001000000}">
      <formula1>"EMITIDA,EN PROCESO,ATRASADO,PENDIENTE,N/A"</formula1>
      <formula2>0</formula2>
    </dataValidation>
    <dataValidation type="list" allowBlank="1" sqref="T5:T19" xr:uid="{00000000-0002-0000-0200-000002000000}">
      <formula1>"COMPLETADA,EN PROCESO,ATRASADO,PENDIENTE,N/A"</formula1>
      <formula2>0</formula2>
    </dataValidation>
    <dataValidation type="list" allowBlank="1" sqref="Z5:Z19" xr:uid="{00000000-0002-0000-0200-000003000000}">
      <formula1>"APROBADO,EN REVISIÓN,ATRASADO,PENDIENTE,N/A"</formula1>
      <formula2>0</formula2>
    </dataValidation>
    <dataValidation type="list" allowBlank="1" sqref="AG5:AG19" xr:uid="{00000000-0002-0000-0200-000004000000}">
      <formula1>"EMITIDA,EN REVISIÓN,ATRASADO,PENDIENTE,N/A"</formula1>
      <formula2>0</formula2>
    </dataValidation>
    <dataValidation type="list" allowBlank="1" sqref="AM5:AM19" xr:uid="{00000000-0002-0000-0200-000005000000}">
      <formula1>"RECIBIDO,EN TRÁNSITO,PENDIENTE,ATRASADO,N/A"</formula1>
      <formula2>0</formula2>
    </dataValidation>
    <dataValidation type="list" allowBlank="1" sqref="AN5:AN19" xr:uid="{00000000-0002-0000-0200-000006000000}">
      <formula1>"🟢 COMPLETADO,🟡 EN PROCESO,🔴 ATRASADO,⚪ PENDIENTE,🔵 N/A"</formula1>
      <formula2>0</formula2>
    </dataValidation>
    <dataValidation type="list" allowBlank="1" sqref="AO5:AO19" xr:uid="{00000000-0002-0000-0200-000007000000}">
      <formula1>"CRÍTICO,ALTO,MEDIO,BAJO"</formula1>
      <formula2>0</formula2>
    </dataValidation>
  </dataValidations>
  <pageMargins left="0.75" right="0.75" top="1" bottom="1" header="0.511811023622047" footer="0.511811023622047"/>
  <pageSetup orientation="landscape" horizontalDpi="300" verticalDpi="300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6600"/>
    <pageSetUpPr fitToPage="1"/>
  </sheetPr>
  <dimension ref="A1:AT14"/>
  <sheetViews>
    <sheetView zoomScale="80" zoomScaleNormal="80" workbookViewId="0">
      <pane xSplit="3" ySplit="4" topLeftCell="I5" activePane="bottomRight" state="frozen"/>
      <selection pane="topRight" activeCell="D1" sqref="D1"/>
      <selection pane="bottomLeft" activeCell="A5" sqref="A5"/>
      <selection pane="bottomRight" sqref="A1:AT1"/>
    </sheetView>
  </sheetViews>
  <sheetFormatPr baseColWidth="10" defaultColWidth="8.6328125" defaultRowHeight="14.5" x14ac:dyDescent="0.35"/>
  <cols>
    <col min="1" max="1" width="5" customWidth="1"/>
    <col min="2" max="2" width="14" customWidth="1"/>
    <col min="3" max="3" width="52.36328125" customWidth="1"/>
    <col min="4" max="4" width="10" customWidth="1"/>
    <col min="5" max="8" width="13" customWidth="1"/>
    <col min="9" max="9" width="9" customWidth="1"/>
    <col min="10" max="10" width="16" customWidth="1"/>
    <col min="11" max="26" width="13" customWidth="1"/>
    <col min="27" max="27" width="16" customWidth="1"/>
    <col min="28" max="28" width="22" customWidth="1"/>
    <col min="29" max="29" width="10" customWidth="1"/>
    <col min="30" max="37" width="13" customWidth="1"/>
    <col min="38" max="38" width="9" customWidth="1"/>
    <col min="39" max="39" width="13" customWidth="1"/>
    <col min="40" max="40" width="22.90625" customWidth="1"/>
    <col min="41" max="41" width="11" customWidth="1"/>
    <col min="42" max="42" width="16" customWidth="1"/>
    <col min="43" max="43" width="28" customWidth="1"/>
    <col min="44" max="44" width="13" customWidth="1"/>
    <col min="45" max="45" width="64.7265625" customWidth="1"/>
    <col min="46" max="46" width="13" customWidth="1"/>
  </cols>
  <sheetData>
    <row r="1" spans="1:46" ht="24" customHeight="1" x14ac:dyDescent="0.35">
      <c r="A1" s="73" t="s">
        <v>169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</row>
    <row r="2" spans="1:46" ht="18" customHeight="1" x14ac:dyDescent="0.35">
      <c r="A2" s="74" t="s">
        <v>47</v>
      </c>
      <c r="B2" s="74"/>
      <c r="C2" s="74"/>
      <c r="D2" s="74"/>
      <c r="E2" s="75" t="s">
        <v>48</v>
      </c>
      <c r="F2" s="75"/>
      <c r="G2" s="75"/>
      <c r="H2" s="75"/>
      <c r="I2" s="75"/>
      <c r="J2" s="76" t="s">
        <v>49</v>
      </c>
      <c r="K2" s="76"/>
      <c r="L2" s="76"/>
      <c r="M2" s="76"/>
      <c r="N2" s="76"/>
      <c r="O2" s="76"/>
      <c r="P2" s="77" t="s">
        <v>50</v>
      </c>
      <c r="Q2" s="77"/>
      <c r="R2" s="77"/>
      <c r="S2" s="77"/>
      <c r="T2" s="77"/>
      <c r="U2" s="78" t="s">
        <v>51</v>
      </c>
      <c r="V2" s="78"/>
      <c r="W2" s="78"/>
      <c r="X2" s="78"/>
      <c r="Y2" s="78"/>
      <c r="Z2" s="78"/>
      <c r="AA2" s="79" t="s">
        <v>52</v>
      </c>
      <c r="AB2" s="79"/>
      <c r="AC2" s="79"/>
      <c r="AD2" s="79"/>
      <c r="AE2" s="79"/>
      <c r="AF2" s="79"/>
      <c r="AG2" s="79"/>
      <c r="AH2" s="80" t="s">
        <v>53</v>
      </c>
      <c r="AI2" s="80"/>
      <c r="AJ2" s="80"/>
      <c r="AK2" s="80"/>
      <c r="AL2" s="80"/>
      <c r="AM2" s="80"/>
      <c r="AN2" s="81" t="s">
        <v>54</v>
      </c>
      <c r="AO2" s="81"/>
      <c r="AP2" s="81"/>
      <c r="AQ2" s="81"/>
      <c r="AR2" s="81"/>
      <c r="AS2" s="81"/>
      <c r="AT2" s="81"/>
    </row>
    <row r="3" spans="1:46" ht="31.5" customHeight="1" x14ac:dyDescent="0.35">
      <c r="A3" s="14" t="s">
        <v>35</v>
      </c>
      <c r="B3" s="14" t="s">
        <v>55</v>
      </c>
      <c r="C3" s="14" t="s">
        <v>56</v>
      </c>
      <c r="D3" s="14" t="s">
        <v>57</v>
      </c>
      <c r="E3" s="15" t="s">
        <v>58</v>
      </c>
      <c r="F3" s="15" t="s">
        <v>59</v>
      </c>
      <c r="G3" s="15" t="s">
        <v>60</v>
      </c>
      <c r="H3" s="16" t="s">
        <v>61</v>
      </c>
      <c r="I3" s="15" t="s">
        <v>62</v>
      </c>
      <c r="J3" s="17" t="s">
        <v>63</v>
      </c>
      <c r="K3" s="17" t="s">
        <v>64</v>
      </c>
      <c r="L3" s="17" t="s">
        <v>65</v>
      </c>
      <c r="M3" s="17" t="s">
        <v>59</v>
      </c>
      <c r="N3" s="17" t="s">
        <v>66</v>
      </c>
      <c r="O3" s="18" t="s">
        <v>61</v>
      </c>
      <c r="P3" s="19" t="s">
        <v>67</v>
      </c>
      <c r="Q3" s="19" t="s">
        <v>68</v>
      </c>
      <c r="R3" s="19" t="s">
        <v>59</v>
      </c>
      <c r="S3" s="19" t="s">
        <v>66</v>
      </c>
      <c r="T3" s="20" t="s">
        <v>61</v>
      </c>
      <c r="U3" s="21" t="s">
        <v>69</v>
      </c>
      <c r="V3" s="21" t="s">
        <v>70</v>
      </c>
      <c r="W3" s="21" t="s">
        <v>71</v>
      </c>
      <c r="X3" s="21" t="s">
        <v>72</v>
      </c>
      <c r="Y3" s="21" t="s">
        <v>73</v>
      </c>
      <c r="Z3" s="22" t="s">
        <v>61</v>
      </c>
      <c r="AA3" s="23" t="s">
        <v>74</v>
      </c>
      <c r="AB3" s="23" t="s">
        <v>75</v>
      </c>
      <c r="AC3" s="23" t="s">
        <v>76</v>
      </c>
      <c r="AD3" s="23" t="s">
        <v>77</v>
      </c>
      <c r="AE3" s="23" t="s">
        <v>78</v>
      </c>
      <c r="AF3" s="23" t="s">
        <v>79</v>
      </c>
      <c r="AG3" s="24" t="s">
        <v>41</v>
      </c>
      <c r="AH3" s="25" t="s">
        <v>80</v>
      </c>
      <c r="AI3" s="25" t="s">
        <v>81</v>
      </c>
      <c r="AJ3" s="25" t="s">
        <v>82</v>
      </c>
      <c r="AK3" s="26" t="s">
        <v>83</v>
      </c>
      <c r="AL3" s="25" t="s">
        <v>84</v>
      </c>
      <c r="AM3" s="26" t="s">
        <v>42</v>
      </c>
      <c r="AN3" s="27" t="s">
        <v>43</v>
      </c>
      <c r="AO3" s="28" t="s">
        <v>85</v>
      </c>
      <c r="AP3" s="28" t="s">
        <v>86</v>
      </c>
      <c r="AQ3" s="28" t="s">
        <v>87</v>
      </c>
      <c r="AR3" s="28" t="s">
        <v>88</v>
      </c>
      <c r="AS3" s="28" t="s">
        <v>44</v>
      </c>
      <c r="AT3" s="28" t="s">
        <v>89</v>
      </c>
    </row>
    <row r="4" spans="1:46" ht="31.5" customHeight="1" x14ac:dyDescent="0.35">
      <c r="A4" s="29" t="s">
        <v>35</v>
      </c>
      <c r="B4" s="29" t="s">
        <v>90</v>
      </c>
      <c r="C4" s="29" t="s">
        <v>91</v>
      </c>
      <c r="D4" s="29" t="s">
        <v>92</v>
      </c>
      <c r="E4" s="29" t="s">
        <v>93</v>
      </c>
      <c r="F4" s="29" t="s">
        <v>94</v>
      </c>
      <c r="G4" s="29" t="s">
        <v>95</v>
      </c>
      <c r="H4" s="29" t="s">
        <v>96</v>
      </c>
      <c r="I4" s="29" t="s">
        <v>97</v>
      </c>
      <c r="J4" s="29" t="s">
        <v>98</v>
      </c>
      <c r="K4" s="29" t="s">
        <v>93</v>
      </c>
      <c r="L4" s="29" t="s">
        <v>93</v>
      </c>
      <c r="M4" s="29" t="s">
        <v>99</v>
      </c>
      <c r="N4" s="29" t="s">
        <v>95</v>
      </c>
      <c r="O4" s="29" t="s">
        <v>96</v>
      </c>
      <c r="P4" s="29" t="s">
        <v>93</v>
      </c>
      <c r="Q4" s="29" t="s">
        <v>93</v>
      </c>
      <c r="R4" s="29" t="s">
        <v>99</v>
      </c>
      <c r="S4" s="29" t="s">
        <v>95</v>
      </c>
      <c r="T4" s="29" t="s">
        <v>96</v>
      </c>
      <c r="U4" s="29" t="s">
        <v>93</v>
      </c>
      <c r="V4" s="29" t="s">
        <v>95</v>
      </c>
      <c r="W4" s="29" t="s">
        <v>93</v>
      </c>
      <c r="X4" s="29" t="s">
        <v>93</v>
      </c>
      <c r="Y4" s="29" t="s">
        <v>95</v>
      </c>
      <c r="Z4" s="29" t="s">
        <v>96</v>
      </c>
      <c r="AA4" s="29" t="s">
        <v>100</v>
      </c>
      <c r="AB4" s="29" t="s">
        <v>101</v>
      </c>
      <c r="AC4" s="29" t="s">
        <v>102</v>
      </c>
      <c r="AD4" s="29" t="s">
        <v>93</v>
      </c>
      <c r="AE4" s="29" t="s">
        <v>99</v>
      </c>
      <c r="AF4" s="29" t="s">
        <v>103</v>
      </c>
      <c r="AG4" s="29" t="s">
        <v>96</v>
      </c>
      <c r="AH4" s="29" t="s">
        <v>104</v>
      </c>
      <c r="AI4" s="29" t="s">
        <v>94</v>
      </c>
      <c r="AJ4" s="29" t="s">
        <v>105</v>
      </c>
      <c r="AK4" s="29" t="s">
        <v>106</v>
      </c>
      <c r="AL4" s="29" t="s">
        <v>107</v>
      </c>
      <c r="AM4" s="29" t="s">
        <v>96</v>
      </c>
      <c r="AN4" s="29" t="s">
        <v>96</v>
      </c>
      <c r="AO4" s="29" t="s">
        <v>96</v>
      </c>
      <c r="AP4" s="29" t="s">
        <v>108</v>
      </c>
      <c r="AQ4" s="29" t="s">
        <v>109</v>
      </c>
      <c r="AR4" s="29" t="s">
        <v>110</v>
      </c>
      <c r="AS4" s="29" t="s">
        <v>111</v>
      </c>
      <c r="AT4" s="29" t="s">
        <v>112</v>
      </c>
    </row>
    <row r="5" spans="1:46" ht="30" customHeight="1" x14ac:dyDescent="0.35">
      <c r="A5" s="30">
        <v>1</v>
      </c>
      <c r="B5" s="30"/>
      <c r="C5" s="31" t="s">
        <v>170</v>
      </c>
      <c r="D5" s="30"/>
      <c r="E5" s="32">
        <v>45948</v>
      </c>
      <c r="F5" s="33">
        <v>46031</v>
      </c>
      <c r="G5" s="33">
        <v>46031</v>
      </c>
      <c r="H5" s="34" t="s">
        <v>114</v>
      </c>
      <c r="I5" s="35">
        <f t="shared" ref="I5:I14" si="0">IFERROR(IF(G5&lt;&gt;"",G5-E5,""),"")</f>
        <v>83</v>
      </c>
      <c r="J5" s="7" t="s">
        <v>171</v>
      </c>
      <c r="K5" s="32">
        <v>45949</v>
      </c>
      <c r="L5" s="32">
        <v>45956</v>
      </c>
      <c r="M5" s="33">
        <v>46062</v>
      </c>
      <c r="N5" s="33">
        <v>46062</v>
      </c>
      <c r="O5" s="34" t="s">
        <v>123</v>
      </c>
      <c r="P5" s="32">
        <v>45957</v>
      </c>
      <c r="Q5" s="32">
        <v>45982</v>
      </c>
      <c r="R5" s="33">
        <v>46062</v>
      </c>
      <c r="S5" s="33">
        <v>46062</v>
      </c>
      <c r="T5" s="37" t="s">
        <v>124</v>
      </c>
      <c r="U5" s="30"/>
      <c r="V5" s="30"/>
      <c r="W5" s="32">
        <v>45983</v>
      </c>
      <c r="X5" s="33">
        <v>46147</v>
      </c>
      <c r="Y5" s="33">
        <v>46150</v>
      </c>
      <c r="Z5" s="34" t="s">
        <v>172</v>
      </c>
      <c r="AA5" s="7" t="s">
        <v>173</v>
      </c>
      <c r="AB5" s="7"/>
      <c r="AC5" s="30"/>
      <c r="AD5" s="32">
        <v>46029</v>
      </c>
      <c r="AE5" s="33">
        <v>46150</v>
      </c>
      <c r="AF5" s="33">
        <v>46150</v>
      </c>
      <c r="AG5" s="34" t="s">
        <v>123</v>
      </c>
      <c r="AH5" s="33">
        <v>46429</v>
      </c>
      <c r="AI5" s="33">
        <v>46517</v>
      </c>
      <c r="AJ5" s="7"/>
      <c r="AK5" s="33">
        <v>46429</v>
      </c>
      <c r="AL5" s="35" t="str">
        <f t="shared" ref="AL5:AL14" si="1">IFERROR(IF(AND(AJ5&lt;&gt;"",AK5&lt;&gt;""),AJ5-AK5,""),"")</f>
        <v/>
      </c>
      <c r="AM5" s="37" t="s">
        <v>117</v>
      </c>
      <c r="AN5" s="36" t="s">
        <v>118</v>
      </c>
      <c r="AO5" s="7" t="s">
        <v>146</v>
      </c>
      <c r="AP5" s="30"/>
      <c r="AQ5" s="38"/>
      <c r="AR5" s="30"/>
      <c r="AS5" s="39" t="s">
        <v>174</v>
      </c>
      <c r="AT5" s="32">
        <f t="shared" ref="AT5:AT14" ca="1" si="2">IF(AS5&lt;&gt;"",TODAY(),"")</f>
        <v>46163</v>
      </c>
    </row>
    <row r="6" spans="1:46" ht="30" customHeight="1" x14ac:dyDescent="0.35">
      <c r="A6" s="40">
        <v>2</v>
      </c>
      <c r="B6" s="40"/>
      <c r="C6" s="41" t="s">
        <v>175</v>
      </c>
      <c r="D6" s="40"/>
      <c r="E6" s="42">
        <v>45895</v>
      </c>
      <c r="F6" s="43">
        <v>46153</v>
      </c>
      <c r="G6" s="43">
        <v>46122</v>
      </c>
      <c r="H6" s="34" t="s">
        <v>114</v>
      </c>
      <c r="I6" s="44">
        <f t="shared" si="0"/>
        <v>227</v>
      </c>
      <c r="J6" s="45" t="s">
        <v>176</v>
      </c>
      <c r="K6" s="42">
        <v>45896</v>
      </c>
      <c r="L6" s="42">
        <v>45903</v>
      </c>
      <c r="M6" s="43">
        <v>46162</v>
      </c>
      <c r="N6" s="43">
        <v>46142</v>
      </c>
      <c r="O6" s="34" t="s">
        <v>123</v>
      </c>
      <c r="P6" s="42">
        <v>45904</v>
      </c>
      <c r="Q6" s="42">
        <v>45929</v>
      </c>
      <c r="R6" s="43">
        <v>46162</v>
      </c>
      <c r="S6" s="43">
        <v>46142</v>
      </c>
      <c r="T6" s="37" t="s">
        <v>124</v>
      </c>
      <c r="U6" s="40"/>
      <c r="V6" s="40"/>
      <c r="W6" s="42">
        <v>45930</v>
      </c>
      <c r="X6" s="43">
        <v>46207</v>
      </c>
      <c r="Y6" s="45"/>
      <c r="Z6" s="37" t="s">
        <v>117</v>
      </c>
      <c r="AA6" s="45"/>
      <c r="AB6" s="45"/>
      <c r="AC6" s="40"/>
      <c r="AD6" s="42">
        <v>45976</v>
      </c>
      <c r="AE6" s="43">
        <v>46414</v>
      </c>
      <c r="AF6" s="45"/>
      <c r="AG6" s="37" t="s">
        <v>117</v>
      </c>
      <c r="AH6" s="43">
        <v>46469</v>
      </c>
      <c r="AI6" s="43">
        <v>46506</v>
      </c>
      <c r="AJ6" s="45"/>
      <c r="AK6" s="43">
        <v>46469</v>
      </c>
      <c r="AL6" s="44" t="str">
        <f t="shared" si="1"/>
        <v/>
      </c>
      <c r="AM6" s="37" t="s">
        <v>117</v>
      </c>
      <c r="AN6" s="36" t="s">
        <v>118</v>
      </c>
      <c r="AO6" s="45" t="s">
        <v>146</v>
      </c>
      <c r="AP6" s="40"/>
      <c r="AQ6" s="46"/>
      <c r="AR6" s="40"/>
      <c r="AS6" s="47" t="s">
        <v>177</v>
      </c>
      <c r="AT6" s="42">
        <f t="shared" ca="1" si="2"/>
        <v>46163</v>
      </c>
    </row>
    <row r="7" spans="1:46" ht="30" customHeight="1" x14ac:dyDescent="0.35">
      <c r="A7" s="30">
        <v>3</v>
      </c>
      <c r="B7" s="30"/>
      <c r="C7" s="31" t="s">
        <v>178</v>
      </c>
      <c r="D7" s="30"/>
      <c r="E7" s="32">
        <v>45852</v>
      </c>
      <c r="F7" s="7"/>
      <c r="G7" s="7"/>
      <c r="H7" s="48" t="s">
        <v>143</v>
      </c>
      <c r="I7" s="35" t="str">
        <f t="shared" si="0"/>
        <v/>
      </c>
      <c r="J7" s="7"/>
      <c r="K7" s="32">
        <v>45853</v>
      </c>
      <c r="L7" s="32">
        <v>45860</v>
      </c>
      <c r="M7" s="7"/>
      <c r="N7" s="7"/>
      <c r="O7" s="37" t="s">
        <v>117</v>
      </c>
      <c r="P7" s="32">
        <v>45861</v>
      </c>
      <c r="Q7" s="32">
        <v>45886</v>
      </c>
      <c r="R7" s="7"/>
      <c r="S7" s="7"/>
      <c r="T7" s="37" t="s">
        <v>117</v>
      </c>
      <c r="U7" s="30"/>
      <c r="V7" s="30"/>
      <c r="W7" s="32">
        <v>45887</v>
      </c>
      <c r="X7" s="33"/>
      <c r="Y7" s="7"/>
      <c r="Z7" s="37" t="s">
        <v>117</v>
      </c>
      <c r="AA7" s="7"/>
      <c r="AB7" s="7"/>
      <c r="AC7" s="30"/>
      <c r="AD7" s="32">
        <v>45933</v>
      </c>
      <c r="AE7" s="7"/>
      <c r="AF7" s="7"/>
      <c r="AG7" s="37" t="s">
        <v>117</v>
      </c>
      <c r="AH7" s="33"/>
      <c r="AI7" s="33">
        <v>46472</v>
      </c>
      <c r="AJ7" s="7"/>
      <c r="AK7" s="33">
        <v>46472</v>
      </c>
      <c r="AL7" s="35" t="str">
        <f t="shared" si="1"/>
        <v/>
      </c>
      <c r="AM7" s="37" t="s">
        <v>117</v>
      </c>
      <c r="AN7" s="48" t="s">
        <v>145</v>
      </c>
      <c r="AO7" s="7" t="s">
        <v>146</v>
      </c>
      <c r="AP7" s="30"/>
      <c r="AQ7" s="38"/>
      <c r="AR7" s="30"/>
      <c r="AS7" s="39" t="s">
        <v>179</v>
      </c>
      <c r="AT7" s="32">
        <f t="shared" ca="1" si="2"/>
        <v>46163</v>
      </c>
    </row>
    <row r="8" spans="1:46" ht="30" customHeight="1" x14ac:dyDescent="0.35">
      <c r="A8" s="40">
        <v>4</v>
      </c>
      <c r="B8" s="40"/>
      <c r="C8" s="41" t="s">
        <v>180</v>
      </c>
      <c r="D8" s="40"/>
      <c r="E8" s="42">
        <v>45842</v>
      </c>
      <c r="F8" s="43">
        <v>46185</v>
      </c>
      <c r="G8" s="45"/>
      <c r="H8" s="48" t="s">
        <v>143</v>
      </c>
      <c r="I8" s="44" t="str">
        <f t="shared" si="0"/>
        <v/>
      </c>
      <c r="J8" s="45" t="s">
        <v>181</v>
      </c>
      <c r="K8" s="42">
        <v>45843</v>
      </c>
      <c r="L8" s="42">
        <v>45850</v>
      </c>
      <c r="M8" s="43">
        <v>46222</v>
      </c>
      <c r="N8" s="45"/>
      <c r="O8" s="37" t="s">
        <v>117</v>
      </c>
      <c r="P8" s="42">
        <v>45851</v>
      </c>
      <c r="Q8" s="42">
        <v>45876</v>
      </c>
      <c r="R8" s="43">
        <v>46287</v>
      </c>
      <c r="S8" s="45"/>
      <c r="T8" s="37" t="s">
        <v>117</v>
      </c>
      <c r="U8" s="40"/>
      <c r="V8" s="40"/>
      <c r="W8" s="42">
        <v>45877</v>
      </c>
      <c r="X8" s="43">
        <v>46287</v>
      </c>
      <c r="Y8" s="45"/>
      <c r="Z8" s="37" t="s">
        <v>117</v>
      </c>
      <c r="AA8" s="45"/>
      <c r="AB8" s="45"/>
      <c r="AC8" s="40"/>
      <c r="AD8" s="42">
        <v>45908</v>
      </c>
      <c r="AE8" s="43">
        <v>46414</v>
      </c>
      <c r="AF8" s="45"/>
      <c r="AG8" s="37" t="s">
        <v>117</v>
      </c>
      <c r="AH8" s="43"/>
      <c r="AI8" s="43">
        <v>46414</v>
      </c>
      <c r="AJ8" s="45"/>
      <c r="AK8" s="43">
        <v>46322</v>
      </c>
      <c r="AL8" s="44" t="str">
        <f t="shared" si="1"/>
        <v/>
      </c>
      <c r="AM8" s="48" t="s">
        <v>143</v>
      </c>
      <c r="AN8" s="48" t="s">
        <v>145</v>
      </c>
      <c r="AO8" s="45" t="s">
        <v>146</v>
      </c>
      <c r="AP8" s="40"/>
      <c r="AQ8" s="46"/>
      <c r="AR8" s="40"/>
      <c r="AS8" s="47" t="s">
        <v>182</v>
      </c>
      <c r="AT8" s="42">
        <f t="shared" ca="1" si="2"/>
        <v>46163</v>
      </c>
    </row>
    <row r="9" spans="1:46" ht="30" customHeight="1" x14ac:dyDescent="0.35">
      <c r="A9" s="30">
        <v>5</v>
      </c>
      <c r="B9" s="30"/>
      <c r="C9" s="31" t="s">
        <v>183</v>
      </c>
      <c r="D9" s="30"/>
      <c r="E9" s="32">
        <v>45892</v>
      </c>
      <c r="F9" s="33">
        <v>46184</v>
      </c>
      <c r="G9" s="7"/>
      <c r="H9" s="48" t="s">
        <v>143</v>
      </c>
      <c r="I9" s="35" t="str">
        <f t="shared" si="0"/>
        <v/>
      </c>
      <c r="J9" s="7" t="s">
        <v>184</v>
      </c>
      <c r="K9" s="32">
        <v>45893</v>
      </c>
      <c r="L9" s="32">
        <v>45900</v>
      </c>
      <c r="M9" s="33">
        <v>46221</v>
      </c>
      <c r="N9" s="7"/>
      <c r="O9" s="37" t="s">
        <v>117</v>
      </c>
      <c r="P9" s="32">
        <v>45901</v>
      </c>
      <c r="Q9" s="32">
        <v>45926</v>
      </c>
      <c r="R9" s="33">
        <v>46286</v>
      </c>
      <c r="S9" s="7"/>
      <c r="T9" s="37" t="s">
        <v>117</v>
      </c>
      <c r="U9" s="30"/>
      <c r="V9" s="30"/>
      <c r="W9" s="32">
        <v>45927</v>
      </c>
      <c r="X9" s="33">
        <v>46286</v>
      </c>
      <c r="Y9" s="7"/>
      <c r="Z9" s="37" t="s">
        <v>117</v>
      </c>
      <c r="AA9" s="7"/>
      <c r="AB9" s="7"/>
      <c r="AC9" s="30"/>
      <c r="AD9" s="32">
        <v>45973</v>
      </c>
      <c r="AE9" s="33">
        <v>46443</v>
      </c>
      <c r="AF9" s="7"/>
      <c r="AG9" s="37" t="s">
        <v>117</v>
      </c>
      <c r="AH9" s="33"/>
      <c r="AI9" s="33">
        <v>46443</v>
      </c>
      <c r="AJ9" s="7"/>
      <c r="AK9" s="33">
        <v>46382</v>
      </c>
      <c r="AL9" s="35" t="str">
        <f t="shared" si="1"/>
        <v/>
      </c>
      <c r="AM9" s="48" t="s">
        <v>143</v>
      </c>
      <c r="AN9" s="48" t="s">
        <v>145</v>
      </c>
      <c r="AO9" s="7" t="s">
        <v>146</v>
      </c>
      <c r="AP9" s="30"/>
      <c r="AQ9" s="38"/>
      <c r="AR9" s="30"/>
      <c r="AS9" s="39" t="s">
        <v>185</v>
      </c>
      <c r="AT9" s="32">
        <f t="shared" ca="1" si="2"/>
        <v>46163</v>
      </c>
    </row>
    <row r="10" spans="1:46" ht="30" customHeight="1" x14ac:dyDescent="0.35">
      <c r="A10" s="40">
        <v>6</v>
      </c>
      <c r="B10" s="40"/>
      <c r="C10" s="41" t="s">
        <v>186</v>
      </c>
      <c r="D10" s="40"/>
      <c r="E10" s="42">
        <v>46016</v>
      </c>
      <c r="F10" s="43">
        <v>46184</v>
      </c>
      <c r="G10" s="45"/>
      <c r="H10" s="37" t="s">
        <v>117</v>
      </c>
      <c r="I10" s="44" t="str">
        <f t="shared" si="0"/>
        <v/>
      </c>
      <c r="J10" s="45" t="s">
        <v>187</v>
      </c>
      <c r="K10" s="42">
        <v>46017</v>
      </c>
      <c r="L10" s="42">
        <v>46024</v>
      </c>
      <c r="M10" s="43">
        <v>46221</v>
      </c>
      <c r="N10" s="45"/>
      <c r="O10" s="37" t="s">
        <v>117</v>
      </c>
      <c r="P10" s="42">
        <v>46025</v>
      </c>
      <c r="Q10" s="42">
        <v>46050</v>
      </c>
      <c r="R10" s="43">
        <v>46286</v>
      </c>
      <c r="S10" s="45"/>
      <c r="T10" s="37" t="s">
        <v>117</v>
      </c>
      <c r="U10" s="40"/>
      <c r="V10" s="40"/>
      <c r="W10" s="42">
        <v>46051</v>
      </c>
      <c r="X10" s="43">
        <v>46286</v>
      </c>
      <c r="Y10" s="45"/>
      <c r="Z10" s="37" t="s">
        <v>117</v>
      </c>
      <c r="AA10" s="45"/>
      <c r="AB10" s="45"/>
      <c r="AC10" s="40"/>
      <c r="AD10" s="42">
        <v>46097</v>
      </c>
      <c r="AE10" s="43">
        <v>46259</v>
      </c>
      <c r="AF10" s="45"/>
      <c r="AG10" s="37" t="s">
        <v>117</v>
      </c>
      <c r="AH10" s="43"/>
      <c r="AI10" s="43">
        <v>46379</v>
      </c>
      <c r="AJ10" s="45"/>
      <c r="AK10" s="43">
        <v>46382</v>
      </c>
      <c r="AL10" s="44" t="str">
        <f t="shared" si="1"/>
        <v/>
      </c>
      <c r="AM10" s="37" t="s">
        <v>117</v>
      </c>
      <c r="AN10" s="37" t="s">
        <v>158</v>
      </c>
      <c r="AO10" s="45" t="s">
        <v>119</v>
      </c>
      <c r="AP10" s="40"/>
      <c r="AQ10" s="46"/>
      <c r="AR10" s="40"/>
      <c r="AS10" s="47" t="s">
        <v>188</v>
      </c>
      <c r="AT10" s="42">
        <f t="shared" ca="1" si="2"/>
        <v>46163</v>
      </c>
    </row>
    <row r="11" spans="1:46" ht="30" customHeight="1" x14ac:dyDescent="0.35">
      <c r="A11" s="30">
        <v>7</v>
      </c>
      <c r="B11" s="30"/>
      <c r="C11" s="31" t="s">
        <v>189</v>
      </c>
      <c r="D11" s="30"/>
      <c r="E11" s="32">
        <v>46130</v>
      </c>
      <c r="F11" s="33">
        <v>46030</v>
      </c>
      <c r="G11" s="33">
        <v>46030</v>
      </c>
      <c r="H11" s="34" t="s">
        <v>114</v>
      </c>
      <c r="I11" s="35">
        <f t="shared" si="0"/>
        <v>-100</v>
      </c>
      <c r="J11" s="7" t="s">
        <v>190</v>
      </c>
      <c r="K11" s="32">
        <v>46131</v>
      </c>
      <c r="L11" s="32">
        <v>46138</v>
      </c>
      <c r="M11" s="33">
        <v>46053</v>
      </c>
      <c r="N11" s="33">
        <v>46053</v>
      </c>
      <c r="O11" s="34" t="s">
        <v>123</v>
      </c>
      <c r="P11" s="32">
        <v>46139</v>
      </c>
      <c r="Q11" s="32">
        <v>46164</v>
      </c>
      <c r="R11" s="33">
        <v>46053</v>
      </c>
      <c r="S11" s="33">
        <v>46053</v>
      </c>
      <c r="T11" s="37" t="s">
        <v>124</v>
      </c>
      <c r="U11" s="30"/>
      <c r="V11" s="30"/>
      <c r="W11" s="32">
        <v>46165</v>
      </c>
      <c r="X11" s="33">
        <v>46112</v>
      </c>
      <c r="Y11" s="33">
        <v>46112</v>
      </c>
      <c r="Z11" s="34" t="s">
        <v>172</v>
      </c>
      <c r="AA11" s="7" t="s">
        <v>173</v>
      </c>
      <c r="AB11" s="7" t="s">
        <v>191</v>
      </c>
      <c r="AC11" s="30"/>
      <c r="AD11" s="32">
        <v>46196</v>
      </c>
      <c r="AE11" s="33">
        <v>46134</v>
      </c>
      <c r="AF11" s="33">
        <v>46134</v>
      </c>
      <c r="AG11" s="34" t="s">
        <v>123</v>
      </c>
      <c r="AH11" s="33">
        <v>46137</v>
      </c>
      <c r="AI11" s="33">
        <v>46201</v>
      </c>
      <c r="AJ11" s="7"/>
      <c r="AK11" s="33">
        <v>46137</v>
      </c>
      <c r="AL11" s="35" t="str">
        <f t="shared" si="1"/>
        <v/>
      </c>
      <c r="AM11" s="36" t="s">
        <v>192</v>
      </c>
      <c r="AN11" s="36" t="s">
        <v>118</v>
      </c>
      <c r="AO11" s="7" t="s">
        <v>119</v>
      </c>
      <c r="AP11" s="30"/>
      <c r="AQ11" s="38"/>
      <c r="AR11" s="30"/>
      <c r="AS11" s="39" t="s">
        <v>193</v>
      </c>
      <c r="AT11" s="32">
        <f t="shared" ca="1" si="2"/>
        <v>46163</v>
      </c>
    </row>
    <row r="12" spans="1:46" ht="30" customHeight="1" x14ac:dyDescent="0.35">
      <c r="A12" s="40">
        <v>8</v>
      </c>
      <c r="B12" s="40"/>
      <c r="C12" s="41" t="s">
        <v>194</v>
      </c>
      <c r="D12" s="40"/>
      <c r="E12" s="42">
        <v>45962</v>
      </c>
      <c r="F12" s="45"/>
      <c r="G12" s="45"/>
      <c r="H12" s="48" t="s">
        <v>143</v>
      </c>
      <c r="I12" s="44" t="str">
        <f t="shared" si="0"/>
        <v/>
      </c>
      <c r="J12" s="45"/>
      <c r="K12" s="42">
        <v>45963</v>
      </c>
      <c r="L12" s="42">
        <v>45970</v>
      </c>
      <c r="M12" s="45"/>
      <c r="N12" s="45"/>
      <c r="O12" s="37" t="s">
        <v>117</v>
      </c>
      <c r="P12" s="42">
        <v>45971</v>
      </c>
      <c r="Q12" s="42">
        <v>45996</v>
      </c>
      <c r="R12" s="45"/>
      <c r="S12" s="45"/>
      <c r="T12" s="37" t="s">
        <v>117</v>
      </c>
      <c r="U12" s="40"/>
      <c r="V12" s="40"/>
      <c r="W12" s="42">
        <v>45997</v>
      </c>
      <c r="X12" s="43"/>
      <c r="Y12" s="45"/>
      <c r="Z12" s="37" t="s">
        <v>117</v>
      </c>
      <c r="AA12" s="45"/>
      <c r="AB12" s="45"/>
      <c r="AC12" s="40"/>
      <c r="AD12" s="42">
        <v>46043</v>
      </c>
      <c r="AE12" s="45"/>
      <c r="AF12" s="45"/>
      <c r="AG12" s="37" t="s">
        <v>117</v>
      </c>
      <c r="AH12" s="43"/>
      <c r="AI12" s="43">
        <v>46412</v>
      </c>
      <c r="AJ12" s="45"/>
      <c r="AK12" s="43">
        <v>46412</v>
      </c>
      <c r="AL12" s="44" t="str">
        <f t="shared" si="1"/>
        <v/>
      </c>
      <c r="AM12" s="37" t="s">
        <v>117</v>
      </c>
      <c r="AN12" s="48" t="s">
        <v>145</v>
      </c>
      <c r="AO12" s="45" t="s">
        <v>146</v>
      </c>
      <c r="AP12" s="40"/>
      <c r="AQ12" s="46"/>
      <c r="AR12" s="40"/>
      <c r="AS12" s="47" t="s">
        <v>195</v>
      </c>
      <c r="AT12" s="42">
        <f t="shared" ca="1" si="2"/>
        <v>46163</v>
      </c>
    </row>
    <row r="13" spans="1:46" ht="30" customHeight="1" x14ac:dyDescent="0.35">
      <c r="A13" s="30">
        <v>9</v>
      </c>
      <c r="B13" s="30"/>
      <c r="C13" s="31" t="s">
        <v>196</v>
      </c>
      <c r="D13" s="30"/>
      <c r="E13" s="32">
        <v>46138</v>
      </c>
      <c r="F13" s="33">
        <v>46246</v>
      </c>
      <c r="G13" s="7"/>
      <c r="H13" s="48" t="s">
        <v>143</v>
      </c>
      <c r="I13" s="35" t="str">
        <f t="shared" si="0"/>
        <v/>
      </c>
      <c r="J13" s="7" t="s">
        <v>197</v>
      </c>
      <c r="K13" s="32">
        <v>46139</v>
      </c>
      <c r="L13" s="32">
        <v>46146</v>
      </c>
      <c r="M13" s="33">
        <v>46283</v>
      </c>
      <c r="N13" s="7"/>
      <c r="O13" s="37" t="s">
        <v>117</v>
      </c>
      <c r="P13" s="32">
        <v>46147</v>
      </c>
      <c r="Q13" s="32">
        <v>46172</v>
      </c>
      <c r="R13" s="33">
        <v>46348</v>
      </c>
      <c r="S13" s="7"/>
      <c r="T13" s="37" t="s">
        <v>117</v>
      </c>
      <c r="U13" s="30"/>
      <c r="V13" s="30"/>
      <c r="W13" s="32">
        <v>46173</v>
      </c>
      <c r="X13" s="33">
        <v>46348</v>
      </c>
      <c r="Y13" s="7"/>
      <c r="Z13" s="37" t="s">
        <v>117</v>
      </c>
      <c r="AA13" s="7"/>
      <c r="AB13" s="7"/>
      <c r="AC13" s="30"/>
      <c r="AD13" s="32">
        <v>46204</v>
      </c>
      <c r="AE13" s="33">
        <v>46370</v>
      </c>
      <c r="AF13" s="7"/>
      <c r="AG13" s="37" t="s">
        <v>117</v>
      </c>
      <c r="AH13" s="33"/>
      <c r="AI13" s="33">
        <v>46475</v>
      </c>
      <c r="AJ13" s="7"/>
      <c r="AK13" s="33">
        <v>46370</v>
      </c>
      <c r="AL13" s="35" t="str">
        <f t="shared" si="1"/>
        <v/>
      </c>
      <c r="AM13" s="48" t="s">
        <v>143</v>
      </c>
      <c r="AN13" s="48" t="s">
        <v>145</v>
      </c>
      <c r="AO13" s="7" t="s">
        <v>119</v>
      </c>
      <c r="AP13" s="30"/>
      <c r="AQ13" s="38"/>
      <c r="AR13" s="30"/>
      <c r="AS13" s="39" t="s">
        <v>198</v>
      </c>
      <c r="AT13" s="32">
        <f t="shared" ca="1" si="2"/>
        <v>46163</v>
      </c>
    </row>
    <row r="14" spans="1:46" ht="30" customHeight="1" x14ac:dyDescent="0.35">
      <c r="A14" s="40">
        <v>10</v>
      </c>
      <c r="B14" s="40"/>
      <c r="C14" s="41" t="s">
        <v>199</v>
      </c>
      <c r="D14" s="40"/>
      <c r="E14" s="42">
        <v>45912</v>
      </c>
      <c r="F14" s="45"/>
      <c r="G14" s="45"/>
      <c r="H14" s="48" t="s">
        <v>143</v>
      </c>
      <c r="I14" s="44" t="str">
        <f t="shared" si="0"/>
        <v/>
      </c>
      <c r="J14" s="45"/>
      <c r="K14" s="42">
        <v>45913</v>
      </c>
      <c r="L14" s="42">
        <v>45920</v>
      </c>
      <c r="M14" s="45"/>
      <c r="N14" s="45"/>
      <c r="O14" s="37" t="s">
        <v>117</v>
      </c>
      <c r="P14" s="42">
        <v>45921</v>
      </c>
      <c r="Q14" s="42">
        <v>45946</v>
      </c>
      <c r="R14" s="45"/>
      <c r="S14" s="45"/>
      <c r="T14" s="37" t="s">
        <v>117</v>
      </c>
      <c r="U14" s="40"/>
      <c r="V14" s="40"/>
      <c r="W14" s="42">
        <v>45947</v>
      </c>
      <c r="X14" s="43"/>
      <c r="Y14" s="45"/>
      <c r="Z14" s="37" t="s">
        <v>117</v>
      </c>
      <c r="AA14" s="45"/>
      <c r="AB14" s="45"/>
      <c r="AC14" s="40"/>
      <c r="AD14" s="42">
        <v>45993</v>
      </c>
      <c r="AE14" s="45"/>
      <c r="AF14" s="45"/>
      <c r="AG14" s="37" t="s">
        <v>117</v>
      </c>
      <c r="AH14" s="43"/>
      <c r="AI14" s="43">
        <v>46398</v>
      </c>
      <c r="AJ14" s="45"/>
      <c r="AK14" s="43">
        <v>46398</v>
      </c>
      <c r="AL14" s="44" t="str">
        <f t="shared" si="1"/>
        <v/>
      </c>
      <c r="AM14" s="37" t="s">
        <v>117</v>
      </c>
      <c r="AN14" s="48" t="s">
        <v>145</v>
      </c>
      <c r="AO14" s="45" t="s">
        <v>146</v>
      </c>
      <c r="AP14" s="40"/>
      <c r="AQ14" s="46"/>
      <c r="AR14" s="40"/>
      <c r="AS14" s="47" t="s">
        <v>200</v>
      </c>
      <c r="AT14" s="42">
        <f t="shared" ca="1" si="2"/>
        <v>46163</v>
      </c>
    </row>
  </sheetData>
  <mergeCells count="9">
    <mergeCell ref="A1:AT1"/>
    <mergeCell ref="A2:D2"/>
    <mergeCell ref="E2:I2"/>
    <mergeCell ref="J2:O2"/>
    <mergeCell ref="P2:T2"/>
    <mergeCell ref="U2:Z2"/>
    <mergeCell ref="AA2:AG2"/>
    <mergeCell ref="AH2:AM2"/>
    <mergeCell ref="AN2:AT2"/>
  </mergeCells>
  <conditionalFormatting sqref="H5:H14">
    <cfRule type="expression" dxfId="27" priority="2">
      <formula>OR(H5="🟢 COMPLETADO",H5="COMPLETADO",H5="APROBADO",H5="EMITIDA",H5="RECIBIDO")</formula>
    </cfRule>
    <cfRule type="expression" dxfId="26" priority="3">
      <formula>OR(H5="🔴 ATRASADO",H5="ATRASADO")</formula>
    </cfRule>
    <cfRule type="expression" dxfId="25" priority="4">
      <formula>OR(H5="🟡 EN PROCESO",H5="EN PROCESO",H5="EN REVISIÓN",H5="EN TRÁNSITO")</formula>
    </cfRule>
    <cfRule type="expression" dxfId="24" priority="5">
      <formula>OR(H5="⚪ PENDIENTE",H5="PENDIENTE")</formula>
    </cfRule>
  </conditionalFormatting>
  <conditionalFormatting sqref="I5:I14">
    <cfRule type="expression" dxfId="23" priority="30">
      <formula>I5&gt;0</formula>
    </cfRule>
    <cfRule type="expression" dxfId="22" priority="31">
      <formula>I5&lt;0</formula>
    </cfRule>
  </conditionalFormatting>
  <conditionalFormatting sqref="O5:O14">
    <cfRule type="expression" dxfId="21" priority="6">
      <formula>OR(O5="🟢 COMPLETADO",O5="COMPLETADO",O5="APROBADO",O5="EMITIDA",O5="RECIBIDO")</formula>
    </cfRule>
    <cfRule type="expression" dxfId="20" priority="7">
      <formula>OR(O5="🔴 ATRASADO",O5="ATRASADO")</formula>
    </cfRule>
    <cfRule type="expression" dxfId="19" priority="8">
      <formula>OR(O5="🟡 EN PROCESO",O5="EN PROCESO",O5="EN REVISIÓN",O5="EN TRÁNSITO")</formula>
    </cfRule>
    <cfRule type="expression" dxfId="18" priority="9">
      <formula>OR(O5="⚪ PENDIENTE",O5="PENDIENTE")</formula>
    </cfRule>
  </conditionalFormatting>
  <conditionalFormatting sqref="T5:T14">
    <cfRule type="expression" dxfId="17" priority="10">
      <formula>OR(T5="🟢 COMPLETADO",T5="COMPLETADO",T5="APROBADO",T5="EMITIDA",T5="RECIBIDO")</formula>
    </cfRule>
    <cfRule type="expression" dxfId="16" priority="11">
      <formula>OR(T5="🔴 ATRASADO",T5="ATRASADO")</formula>
    </cfRule>
    <cfRule type="expression" dxfId="15" priority="12">
      <formula>OR(T5="🟡 EN PROCESO",T5="EN PROCESO",T5="EN REVISIÓN",T5="EN TRÁNSITO")</formula>
    </cfRule>
    <cfRule type="expression" dxfId="14" priority="13">
      <formula>OR(T5="⚪ PENDIENTE",T5="PENDIENTE")</formula>
    </cfRule>
  </conditionalFormatting>
  <conditionalFormatting sqref="Z5:Z14">
    <cfRule type="expression" dxfId="13" priority="14">
      <formula>OR(Z5="🟢 COMPLETADO",Z5="COMPLETADO",Z5="APROBADO",Z5="EMITIDA",Z5="RECIBIDO")</formula>
    </cfRule>
    <cfRule type="expression" dxfId="12" priority="15">
      <formula>OR(Z5="🔴 ATRASADO",Z5="ATRASADO")</formula>
    </cfRule>
    <cfRule type="expression" dxfId="11" priority="16">
      <formula>OR(Z5="🟡 EN PROCESO",Z5="EN PROCESO",Z5="EN REVISIÓN",Z5="EN TRÁNSITO")</formula>
    </cfRule>
    <cfRule type="expression" dxfId="10" priority="17">
      <formula>OR(Z5="⚪ PENDIENTE",Z5="PENDIENTE")</formula>
    </cfRule>
  </conditionalFormatting>
  <conditionalFormatting sqref="AG5:AG14">
    <cfRule type="expression" dxfId="9" priority="18">
      <formula>OR(AG5="🟢 COMPLETADO",AG5="COMPLETADO",AG5="APROBADO",AG5="EMITIDA",AG5="RECIBIDO")</formula>
    </cfRule>
    <cfRule type="expression" dxfId="8" priority="19">
      <formula>OR(AG5="🔴 ATRASADO",AG5="ATRASADO")</formula>
    </cfRule>
    <cfRule type="expression" dxfId="7" priority="20">
      <formula>OR(AG5="🟡 EN PROCESO",AG5="EN PROCESO",AG5="EN REVISIÓN",AG5="EN TRÁNSITO")</formula>
    </cfRule>
    <cfRule type="expression" dxfId="6" priority="21">
      <formula>OR(AG5="⚪ PENDIENTE",AG5="PENDIENTE")</formula>
    </cfRule>
  </conditionalFormatting>
  <conditionalFormatting sqref="AL5:AL14">
    <cfRule type="expression" dxfId="5" priority="32">
      <formula>AL5&gt;0</formula>
    </cfRule>
    <cfRule type="expression" dxfId="4" priority="33">
      <formula>AL5&lt;0</formula>
    </cfRule>
  </conditionalFormatting>
  <conditionalFormatting sqref="AM5:AN14">
    <cfRule type="expression" dxfId="3" priority="22">
      <formula>OR(AM5="🟢 COMPLETADO",AM5="COMPLETADO",AM5="APROBADO",AM5="EMITIDA",AM5="RECIBIDO")</formula>
    </cfRule>
    <cfRule type="expression" dxfId="2" priority="23">
      <formula>OR(AM5="🔴 ATRASADO",AM5="ATRASADO")</formula>
    </cfRule>
    <cfRule type="expression" dxfId="1" priority="24">
      <formula>OR(AM5="🟡 EN PROCESO",AM5="EN PROCESO",AM5="EN REVISIÓN",AM5="EN TRÁNSITO")</formula>
    </cfRule>
    <cfRule type="expression" dxfId="0" priority="25">
      <formula>OR(AM5="⚪ PENDIENTE",AM5="PENDIENTE")</formula>
    </cfRule>
  </conditionalFormatting>
  <dataValidations count="8">
    <dataValidation type="list" allowBlank="1" sqref="H5:H14" xr:uid="{00000000-0002-0000-0300-000000000000}">
      <formula1>"COMPLETADO,EN PROCESO,ATRASADO,PENDIENTE,N/A"</formula1>
      <formula2>0</formula2>
    </dataValidation>
    <dataValidation type="list" allowBlank="1" sqref="O5:O14" xr:uid="{00000000-0002-0000-0300-000001000000}">
      <formula1>"EMITIDA,EN PROCESO,ATRASADO,PENDIENTE,N/A"</formula1>
      <formula2>0</formula2>
    </dataValidation>
    <dataValidation type="list" allowBlank="1" sqref="T5:T14" xr:uid="{00000000-0002-0000-0300-000002000000}">
      <formula1>"COMPLETADA,EN PROCESO,ATRASADO,PENDIENTE,N/A"</formula1>
      <formula2>0</formula2>
    </dataValidation>
    <dataValidation type="list" allowBlank="1" sqref="Z5:Z14" xr:uid="{00000000-0002-0000-0300-000003000000}">
      <formula1>"APROBADO,EN REVISIÓN,ATRASADO,PENDIENTE,N/A"</formula1>
      <formula2>0</formula2>
    </dataValidation>
    <dataValidation type="list" allowBlank="1" sqref="AG5:AG14" xr:uid="{00000000-0002-0000-0300-000004000000}">
      <formula1>"EMITIDA,EN REVISIÓN,ATRASADO,PENDIENTE,N/A"</formula1>
      <formula2>0</formula2>
    </dataValidation>
    <dataValidation type="list" allowBlank="1" sqref="AM5:AM14" xr:uid="{00000000-0002-0000-0300-000005000000}">
      <formula1>"RECIBIDO,EN TRÁNSITO,PENDIENTE,ATRASADO,N/A"</formula1>
      <formula2>0</formula2>
    </dataValidation>
    <dataValidation type="list" allowBlank="1" sqref="AN5:AN14" xr:uid="{00000000-0002-0000-0300-000006000000}">
      <formula1>"🟢 COMPLETADO,🟡 EN PROCESO,🔴 ATRASADO,⚪ PENDIENTE,🔵 N/A"</formula1>
      <formula2>0</formula2>
    </dataValidation>
    <dataValidation type="list" allowBlank="1" sqref="AO5:AO14" xr:uid="{00000000-0002-0000-0300-000007000000}">
      <formula1>"CRÍTICO,ALTO,MEDIO,BAJO"</formula1>
      <formula2>0</formula2>
    </dataValidation>
  </dataValidations>
  <pageMargins left="0.75" right="0.75" top="1" bottom="1" header="0.511811023622047" footer="0.511811023622047"/>
  <pageSetup orientation="landscape" horizontalDpi="300" verticalDpi="300"/>
  <headerFooter>
    <oddHeader>&amp;R&amp;"Aptos"&amp;10&amp;K000000 AESA - Pública&amp;1#_x000D_</oddHeader>
    <oddFooter>&amp;R_x000D_&amp;1#&amp;"Aptos"&amp;10&amp;K000000 AESA - Pública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PORTADA</vt:lpstr>
      <vt:lpstr>DASHBOARD</vt:lpstr>
      <vt:lpstr>IN – Instrumentación</vt:lpstr>
      <vt:lpstr>EL – Electricidad</vt:lpstr>
      <vt:lpstr>'EL – Electricidad'!Área_de_impresión</vt:lpstr>
      <vt:lpstr>'IN – Instrumentación'!Área_de_impresión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STIRPARO, DARIO FERNANDO</cp:lastModifiedBy>
  <cp:revision>0</cp:revision>
  <dcterms:created xsi:type="dcterms:W3CDTF">2026-05-19T18:25:06Z</dcterms:created>
  <dcterms:modified xsi:type="dcterms:W3CDTF">2026-05-21T13:00:57Z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d17e3c3-fc9a-4883-86f6-7d1a57bdaad3_Enabled">
    <vt:lpwstr>true</vt:lpwstr>
  </property>
  <property fmtid="{D5CDD505-2E9C-101B-9397-08002B2CF9AE}" pid="3" name="MSIP_Label_6d17e3c3-fc9a-4883-86f6-7d1a57bdaad3_SetDate">
    <vt:lpwstr>2026-05-20T12:03:41Z</vt:lpwstr>
  </property>
  <property fmtid="{D5CDD505-2E9C-101B-9397-08002B2CF9AE}" pid="4" name="MSIP_Label_6d17e3c3-fc9a-4883-86f6-7d1a57bdaad3_Method">
    <vt:lpwstr>Privileged</vt:lpwstr>
  </property>
  <property fmtid="{D5CDD505-2E9C-101B-9397-08002B2CF9AE}" pid="5" name="MSIP_Label_6d17e3c3-fc9a-4883-86f6-7d1a57bdaad3_Name">
    <vt:lpwstr>AESA - Pública</vt:lpwstr>
  </property>
  <property fmtid="{D5CDD505-2E9C-101B-9397-08002B2CF9AE}" pid="6" name="MSIP_Label_6d17e3c3-fc9a-4883-86f6-7d1a57bdaad3_SiteId">
    <vt:lpwstr>038018c3-616c-4b46-ad9b-aa9007f701b5</vt:lpwstr>
  </property>
  <property fmtid="{D5CDD505-2E9C-101B-9397-08002B2CF9AE}" pid="7" name="MSIP_Label_6d17e3c3-fc9a-4883-86f6-7d1a57bdaad3_ActionId">
    <vt:lpwstr>b900cbed-d007-4ae5-96b3-55c660b7bebc</vt:lpwstr>
  </property>
  <property fmtid="{D5CDD505-2E9C-101B-9397-08002B2CF9AE}" pid="8" name="MSIP_Label_6d17e3c3-fc9a-4883-86f6-7d1a57bdaad3_ContentBits">
    <vt:lpwstr>3</vt:lpwstr>
  </property>
  <property fmtid="{D5CDD505-2E9C-101B-9397-08002B2CF9AE}" pid="9" name="MSIP_Label_6d17e3c3-fc9a-4883-86f6-7d1a57bdaad3_Tag">
    <vt:lpwstr>10, 0, 1, 1</vt:lpwstr>
  </property>
</Properties>
</file>