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RENCIAL" sheetId="1" state="visible" r:id="rId1"/>
    <sheet name="ANÁLISIS RI→OC" sheetId="2" state="visible" r:id="rId2"/>
    <sheet name="DÓNDE DEMORA + FU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30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color rgb="00404040"/>
      <sz val="11"/>
    </font>
    <font>
      <name val="Calibri"/>
      <b val="1"/>
      <color rgb="00404040"/>
      <sz val="11"/>
    </font>
    <font>
      <name val="Calibri"/>
      <b val="1"/>
      <color rgb="00548235"/>
      <sz val="11"/>
    </font>
    <font>
      <name val="Calibri"/>
      <color rgb="00000000"/>
      <sz val="14"/>
    </font>
    <font>
      <name val="Calibri"/>
      <color rgb="00404040"/>
      <sz val="9"/>
    </font>
    <font>
      <name val="Calibri"/>
      <color rgb="00404040"/>
      <sz val="10"/>
    </font>
    <font>
      <name val="Calibri"/>
      <b val="1"/>
      <color rgb="001F3864"/>
      <sz val="10"/>
    </font>
    <font>
      <name val="Calibri"/>
      <b val="1"/>
      <color rgb="00548235"/>
      <sz val="10"/>
    </font>
    <font>
      <name val="Calibri"/>
      <b val="1"/>
      <color rgb="001F3864"/>
      <sz val="9"/>
    </font>
    <font>
      <name val="Calibri"/>
      <b val="1"/>
      <color rgb="00FFFFFF"/>
      <sz val="15"/>
    </font>
    <font>
      <name val="Calibri"/>
      <color rgb="00FFFFFF"/>
      <sz val="9"/>
    </font>
    <font>
      <name val="Calibri"/>
      <b val="1"/>
      <color rgb="00404040"/>
      <sz val="8"/>
    </font>
    <font>
      <name val="Calibri"/>
      <b val="1"/>
      <color rgb="00548235"/>
      <sz val="9"/>
    </font>
    <font>
      <name val="Calibri"/>
      <b val="1"/>
      <color rgb="00BF8F00"/>
      <sz val="11"/>
    </font>
    <font>
      <name val="Calibri"/>
      <b val="1"/>
      <color rgb="00FFFFFF"/>
      <sz val="8"/>
    </font>
    <font>
      <name val="Calibri"/>
      <color rgb="00404040"/>
      <sz val="8"/>
    </font>
    <font>
      <name val="Calibri"/>
      <b val="1"/>
      <color rgb="00C00000"/>
      <sz val="11"/>
    </font>
    <font>
      <name val="Calibri"/>
      <b val="1"/>
      <color rgb="00FFFFFF"/>
      <sz val="11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14"/>
    </font>
    <font>
      <name val="Calibri"/>
      <b val="1"/>
      <color rgb="00404040"/>
      <sz val="10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2E6B2E"/>
      </patternFill>
    </fill>
    <fill>
      <patternFill patternType="solid">
        <fgColor rgb="009C4500"/>
      </patternFill>
    </fill>
    <fill>
      <patternFill patternType="solid">
        <fgColor rgb="007030A0"/>
      </patternFill>
    </fill>
    <fill>
      <patternFill patternType="solid">
        <fgColor rgb="00404040"/>
      </patternFill>
    </fill>
    <fill>
      <patternFill patternType="solid">
        <fgColor rgb="00D7E9D7"/>
      </patternFill>
    </fill>
    <fill>
      <patternFill patternType="solid">
        <fgColor rgb="00C6EFCE"/>
      </patternFill>
    </fill>
    <fill>
      <patternFill patternType="solid">
        <fgColor rgb="00F5E0D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EB9C"/>
      </patternFill>
    </fill>
    <fill>
      <patternFill patternType="solid">
        <fgColor rgb="00548235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0" fontId="7" fillId="1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top"/>
    </xf>
    <xf numFmtId="0" fontId="11" fillId="11" borderId="2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3" fillId="13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left" vertical="center"/>
    </xf>
    <xf numFmtId="0" fontId="15" fillId="13" borderId="2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center" vertical="center"/>
    </xf>
    <xf numFmtId="0" fontId="17" fillId="3" borderId="0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 wrapText="1"/>
    </xf>
    <xf numFmtId="0" fontId="19" fillId="9" borderId="2" applyAlignment="1" pivotButton="0" quotePrefix="0" xfId="0">
      <alignment horizontal="center" vertical="center"/>
    </xf>
    <xf numFmtId="0" fontId="20" fillId="14" borderId="2" applyAlignment="1" pivotButton="0" quotePrefix="0" xfId="0">
      <alignment horizontal="center" vertical="center"/>
    </xf>
    <xf numFmtId="0" fontId="21" fillId="15" borderId="2" applyAlignment="1" pivotButton="0" quotePrefix="0" xfId="0">
      <alignment horizontal="center" vertical="center" wrapText="1"/>
    </xf>
    <xf numFmtId="0" fontId="22" fillId="8" borderId="2" applyAlignment="1" pivotButton="0" quotePrefix="0" xfId="0">
      <alignment horizontal="left" vertical="center" wrapText="1"/>
    </xf>
    <xf numFmtId="0" fontId="23" fillId="16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18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left" vertical="center" wrapText="1"/>
    </xf>
    <xf numFmtId="0" fontId="22" fillId="10" borderId="2" applyAlignment="1" pivotButton="0" quotePrefix="0" xfId="0">
      <alignment horizontal="left" vertical="center" wrapText="1"/>
    </xf>
    <xf numFmtId="0" fontId="21" fillId="3" borderId="2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/>
    </xf>
    <xf numFmtId="0" fontId="24" fillId="3" borderId="0" applyAlignment="1" pivotButton="0" quotePrefix="0" xfId="0">
      <alignment horizontal="center" vertical="center"/>
    </xf>
    <xf numFmtId="0" fontId="25" fillId="11" borderId="0" pivotButton="0" quotePrefix="0" xfId="0"/>
    <xf numFmtId="0" fontId="26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left" vertical="center"/>
    </xf>
    <xf numFmtId="0" fontId="8" fillId="13" borderId="2" applyAlignment="1" pivotButton="0" quotePrefix="0" xfId="0">
      <alignment horizontal="center" vertical="center"/>
    </xf>
    <xf numFmtId="9" fontId="12" fillId="13" borderId="2" applyAlignment="1" pivotButton="0" quotePrefix="0" xfId="0">
      <alignment horizontal="center" vertical="center"/>
    </xf>
    <xf numFmtId="0" fontId="22" fillId="13" borderId="2" applyAlignment="1" pivotButton="0" quotePrefix="0" xfId="0">
      <alignment horizontal="left" vertical="center" wrapText="1"/>
    </xf>
    <xf numFmtId="0" fontId="28" fillId="16" borderId="2" applyAlignment="1" pivotButton="0" quotePrefix="0" xfId="0">
      <alignment horizontal="left" vertical="center"/>
    </xf>
    <xf numFmtId="9" fontId="28" fillId="16" borderId="2" applyAlignment="1" pivotButton="0" quotePrefix="0" xfId="0">
      <alignment horizontal="center" vertical="center"/>
    </xf>
    <xf numFmtId="0" fontId="22" fillId="16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/>
    </xf>
    <xf numFmtId="0" fontId="24" fillId="2" borderId="2" applyAlignment="1" pivotButton="0" quotePrefix="0" xfId="0">
      <alignment horizontal="center" vertical="center"/>
    </xf>
    <xf numFmtId="9" fontId="3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left" vertical="center"/>
    </xf>
    <xf numFmtId="0" fontId="15" fillId="13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del circuito de compras por especialidad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GERENCIAL'!D11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GERENCIAL'!$E$11:$H$11</f>
            </numRef>
          </val>
        </ser>
        <ser>
          <idx val="1"/>
          <order val="1"/>
          <tx>
            <strRef>
              <f>'RESUMEN GERENCIAL'!D12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GERENCIAL'!$E$12:$H$12</f>
            </numRef>
          </val>
        </ser>
        <ser>
          <idx val="2"/>
          <order val="2"/>
          <tx>
            <strRef>
              <f>'RESUMEN GERENCIAL'!D13</f>
            </strRef>
          </tx>
          <spPr>
            <a:ln>
              <a:prstDash val="solid"/>
            </a:ln>
          </spPr>
          <cat>
            <numRef>
              <f>'RESUMEN GERENCIAL'!$B$12:$B$13</f>
            </numRef>
          </cat>
          <val>
            <numRef>
              <f>'RESUMEN GERENCIAL'!$E$13:$H$13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Cantidad de RIs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Días RI → OC (adjudicados) / días transcurridos (en gestión)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'ANÁLISIS RI→OC'!C18</f>
            </strRef>
          </tx>
          <spPr>
            <a:ln>
              <a:prstDash val="solid"/>
            </a:ln>
          </spPr>
          <cat>
            <numRef>
              <f>'ANÁLISIS RI→OC'!$B$19:$B$26</f>
            </numRef>
          </cat>
          <val>
            <numRef>
              <f>'ANÁLISIS RI→OC'!$C$19:$C$26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días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Días por tramo del circuito RI → OC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'DÓNDE DEMORA + FUENTES'!C5</f>
            </strRef>
          </tx>
          <spPr>
            <a:ln>
              <a:prstDash val="solid"/>
            </a:ln>
          </spPr>
          <cat>
            <numRef>
              <f>'DÓNDE DEMORA + FUENTES'!$B$6:$B$9</f>
            </numRef>
          </cat>
          <val>
            <numRef>
              <f>'DÓNDE DEMORA + FUENTES'!$C$6:$C$9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días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17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64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57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" customWidth="1" min="9" max="9"/>
    <col width="18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32" customHeight="1">
      <c r="B2" s="1" t="inlineStr">
        <is>
          <t>ANÁLISIS DE TIEMPOS RI → ORDEN DE COMPRA  |  La Calera II CPF2</t>
        </is>
      </c>
    </row>
    <row r="3" ht="20" customHeight="1">
      <c r="B3" s="2" t="inlineStr">
        <is>
          <t>Especialidades: Instrumentación (IN) y Electricidad (EL)   ·   Fuente: Plan 231026 (Rev19)   ·   Corte: 23/10/2026   ·   Evolución 4 sem (18/09→23/10)   ·   RFSU: 03/02/2027</t>
        </is>
      </c>
    </row>
    <row r="5" ht="30" customHeight="1">
      <c r="B5" s="3" t="inlineStr">
        <is>
          <t>RIs TOTALES
IN + EL</t>
        </is>
      </c>
      <c r="E5" s="4" t="inlineStr">
        <is>
          <t>OCs COLOCADAS</t>
        </is>
      </c>
      <c r="H5" s="5" t="inlineStr">
        <is>
          <t>EN GESTIÓN
DE COMPRA</t>
        </is>
      </c>
      <c r="K5" s="6" t="inlineStr">
        <is>
          <t>RIs SIN
EMITIR</t>
        </is>
      </c>
    </row>
    <row r="6" ht="26" customHeight="1">
      <c r="B6" s="7" t="n">
        <v>69</v>
      </c>
      <c r="E6" s="8" t="n">
        <v>46</v>
      </c>
      <c r="H6" s="9" t="n">
        <v>67</v>
      </c>
      <c r="K6" s="10" t="n">
        <v>2</v>
      </c>
    </row>
    <row r="7" ht="26" customHeight="1"/>
    <row r="10" ht="22" customHeight="1">
      <c r="B10" s="11" t="inlineStr">
        <is>
          <t>EMBUDO DE GESTIÓN DE COMPRA POR ESPECIALIDAD</t>
        </is>
      </c>
    </row>
    <row r="11" ht="32" customHeight="1">
      <c r="B11" s="12" t="inlineStr">
        <is>
          <t>Especialidad</t>
        </is>
      </c>
      <c r="C11" s="12" t="inlineStr">
        <is>
          <t>RIs
Totales</t>
        </is>
      </c>
      <c r="D11" s="12" t="inlineStr">
        <is>
          <t>En
Gestión</t>
        </is>
      </c>
      <c r="E11" s="12" t="inlineStr">
        <is>
          <t>En
SOLPED</t>
        </is>
      </c>
      <c r="F11" s="12" t="inlineStr">
        <is>
          <t>En Petición
Ofertas</t>
        </is>
      </c>
      <c r="G11" s="12" t="inlineStr">
        <is>
          <t>En Análisis
Técnico (AT)</t>
        </is>
      </c>
      <c r="H11" s="12" t="inlineStr">
        <is>
          <t>Con OC
Colocada</t>
        </is>
      </c>
    </row>
    <row r="12" ht="22" customHeight="1">
      <c r="B12" s="13" t="inlineStr">
        <is>
          <t>ELECTRICIDAD</t>
        </is>
      </c>
      <c r="C12" s="14" t="n">
        <v>19</v>
      </c>
      <c r="D12" s="14" t="n">
        <v>18</v>
      </c>
      <c r="E12" s="14" t="n">
        <v>0</v>
      </c>
      <c r="F12" s="14" t="n">
        <v>1</v>
      </c>
      <c r="G12" s="14" t="n">
        <v>5</v>
      </c>
      <c r="H12" s="15" t="n">
        <v>12</v>
      </c>
    </row>
    <row r="13" ht="22" customHeight="1">
      <c r="B13" s="16" t="inlineStr">
        <is>
          <t>INSTRUMENTACIÓN</t>
        </is>
      </c>
      <c r="C13" s="17" t="n">
        <v>50</v>
      </c>
      <c r="D13" s="17" t="n">
        <v>49</v>
      </c>
      <c r="E13" s="17" t="n">
        <v>0</v>
      </c>
      <c r="F13" s="17" t="n">
        <v>1</v>
      </c>
      <c r="G13" s="17" t="n">
        <v>14</v>
      </c>
      <c r="H13" s="15" t="n">
        <v>34</v>
      </c>
    </row>
    <row r="34" ht="22" customHeight="1">
      <c r="B34" s="11" t="inlineStr">
        <is>
          <t>HALLAZGOS CLAVE PARA LA DECISIÓN</t>
        </is>
      </c>
    </row>
    <row r="35" ht="46" customHeight="1">
      <c r="B35" s="18" t="inlineStr">
        <is>
          <t>[+]</t>
        </is>
      </c>
      <c r="C35" s="19" t="inlineStr">
        <is>
          <t>HITO – Válvulas de Control ADJUDICADAS a GE Oil &amp; Gas (FE 9/2/27)
Se resuelve el ULTIMO item critico que quedaba sin adjudicar: las valvulas de control se adjudicaron a GE Oil &amp; Gas, con fecha de entrega 9/2/27; la OC esta en gestion. Las valvulas autorreguladoras quedan con el legajo en aprobacion. Con esto, los 7 items criticos IN/EL estan todos adjudicados / con OC.</t>
        </is>
      </c>
    </row>
    <row r="36" ht="46" customHeight="1">
      <c r="B36" s="18" t="inlineStr">
        <is>
          <t>[+]</t>
        </is>
      </c>
      <c r="C36" s="19" t="inlineStr">
        <is>
          <t>ACUMULADO 4 SEMANAS (18/09 → 23/10): OCs IN+EL 36 → 46 (+10)
En el periodo sin reportar: OCs IN+EL 36 → 46 (Instrumentacion 25 → 34, Electricidad 11 → 12). AT IN 23 → 14 (los items avanzaron a OC). En gestion 66 → 67; sin emitir 3 → 2. 46 de las 69 RIs IN+EL ya tienen OC (67%). El grueso de OCs se coloco en las semanas del 09/10 y 23/10.</t>
        </is>
      </c>
    </row>
    <row r="37" ht="46" customHeight="1">
      <c r="B37" s="18" t="inlineStr">
        <is>
          <t>[i]</t>
        </is>
      </c>
      <c r="C37" s="19" t="inlineStr">
        <is>
          <t>FABRICACIÓN EN MARCHA en los adjudicados
PMS (ABB): 100% de materiales; fabricacion iniciada el 9/10 (50 dias), FAT 25/1/27 (Bs. As.). SIS (HIMA): FE 15/12/26 DAP Ezeiza, nacionaliza AESA; documentacion critica enviada. PCS (Inauco): LD codificada, PIE emitido, MC/PL/Layout en revision por AESA; el cronograma mantiene la FE. SE#4/SE#3 (ABB): certificacion de acopio (Bottino) e inspecciones de fabricacion desde el 26/10 (asistencia en Brasil 19/11–11/12).</t>
        </is>
      </c>
    </row>
    <row r="38" ht="46" customHeight="1">
      <c r="B38" s="18" t="inlineStr">
        <is>
          <t>[i]</t>
        </is>
      </c>
      <c r="C38" s="19" t="inlineStr">
        <is>
          <t>CABLES – materiales de 1ra instancia entregados · 2da instancia en gestión
Cables Instrumentacion y Electricos: los materiales en stock de la 1ra instancia fueron ENTREGADOS. Cables Electricos: la Rev.1 (5 km) fue adjudicada a Marlew. Cables Instrumentacion: continua la 2da instancia (29.000 m) en licitacion. Obra los requiere para diciembre-26.</t>
        </is>
      </c>
    </row>
    <row r="40" ht="22" customHeight="1">
      <c r="B40" s="11" t="inlineStr">
        <is>
          <t>EVOLUCIÓN 18/09 → 23/10 – PIPELINE POR ESPECIALIDAD (Cuadro resumen)</t>
        </is>
      </c>
    </row>
    <row r="41" ht="22" customHeight="1">
      <c r="B41" s="12" t="inlineStr">
        <is>
          <t>Especialidad · Etapa</t>
        </is>
      </c>
      <c r="C41" s="12" t="inlineStr">
        <is>
          <t>18/09</t>
        </is>
      </c>
      <c r="D41" s="12" t="inlineStr">
        <is>
          <t>25/09</t>
        </is>
      </c>
      <c r="E41" s="12" t="inlineStr">
        <is>
          <t>09/10</t>
        </is>
      </c>
      <c r="F41" s="12" t="inlineStr">
        <is>
          <t>16/10</t>
        </is>
      </c>
      <c r="G41" s="12" t="inlineStr">
        <is>
          <t>23/10</t>
        </is>
      </c>
      <c r="H41" s="12" t="inlineStr">
        <is>
          <t>Δ período</t>
        </is>
      </c>
    </row>
    <row r="42" ht="18" customHeight="1">
      <c r="B42" s="13" t="inlineStr">
        <is>
          <t>ELECTRICIDAD</t>
        </is>
      </c>
    </row>
    <row r="43" ht="17" customHeight="1">
      <c r="B43" s="20" t="inlineStr">
        <is>
          <t>En SOLPED</t>
        </is>
      </c>
      <c r="C43" s="21" t="n">
        <v>0</v>
      </c>
      <c r="D43" s="21" t="n">
        <v>0</v>
      </c>
      <c r="E43" s="21" t="n">
        <v>0</v>
      </c>
      <c r="F43" s="21" t="n">
        <v>0</v>
      </c>
      <c r="G43" s="22" t="inlineStr">
        <is>
          <t>=</t>
        </is>
      </c>
    </row>
    <row r="44" ht="17" customHeight="1">
      <c r="B44" s="20" t="inlineStr">
        <is>
          <t>En Petición Ofertas</t>
        </is>
      </c>
      <c r="C44" s="21" t="n">
        <v>1</v>
      </c>
      <c r="D44" s="21" t="n">
        <v>1</v>
      </c>
      <c r="E44" s="21" t="n">
        <v>1</v>
      </c>
      <c r="F44" s="21" t="n">
        <v>1</v>
      </c>
      <c r="G44" s="22" t="inlineStr">
        <is>
          <t>=</t>
        </is>
      </c>
    </row>
    <row r="45" ht="17" customHeight="1">
      <c r="B45" s="20" t="inlineStr">
        <is>
          <t>En AT</t>
        </is>
      </c>
      <c r="C45" s="21" t="n">
        <v>6</v>
      </c>
      <c r="D45" s="21" t="n">
        <v>6</v>
      </c>
      <c r="E45" s="21" t="n">
        <v>6</v>
      </c>
      <c r="F45" s="21" t="n">
        <v>6</v>
      </c>
      <c r="G45" s="23" t="inlineStr">
        <is>
          <t>-1</t>
        </is>
      </c>
    </row>
    <row r="46" ht="17" customHeight="1">
      <c r="B46" s="20" t="inlineStr">
        <is>
          <t>Con OC</t>
        </is>
      </c>
      <c r="C46" s="21" t="n">
        <v>11</v>
      </c>
      <c r="D46" s="21" t="n">
        <v>11</v>
      </c>
      <c r="E46" s="21" t="n">
        <v>11</v>
      </c>
      <c r="F46" s="21" t="n">
        <v>11</v>
      </c>
      <c r="G46" s="24" t="inlineStr">
        <is>
          <t>+1</t>
        </is>
      </c>
    </row>
    <row r="47" ht="17" customHeight="1">
      <c r="B47" s="20" t="inlineStr">
        <is>
          <t>En gestión (emitidas)</t>
        </is>
      </c>
      <c r="C47" s="21" t="n">
        <v>18</v>
      </c>
      <c r="D47" s="21" t="n">
        <v>18</v>
      </c>
      <c r="E47" s="21" t="n">
        <v>18</v>
      </c>
      <c r="F47" s="21" t="n">
        <v>18</v>
      </c>
      <c r="G47" s="22" t="inlineStr">
        <is>
          <t>=</t>
        </is>
      </c>
    </row>
    <row r="48" ht="18" customHeight="1">
      <c r="B48" s="16" t="inlineStr">
        <is>
          <t>INSTRUMENTACIÓN</t>
        </is>
      </c>
    </row>
    <row r="49" ht="17" customHeight="1">
      <c r="B49" s="25" t="inlineStr">
        <is>
          <t>En SOLPED</t>
        </is>
      </c>
      <c r="C49" s="21" t="n">
        <v>0</v>
      </c>
      <c r="D49" s="21" t="n">
        <v>0</v>
      </c>
      <c r="E49" s="21" t="n">
        <v>0</v>
      </c>
      <c r="F49" s="21" t="n">
        <v>1</v>
      </c>
      <c r="G49" s="22" t="inlineStr">
        <is>
          <t>=</t>
        </is>
      </c>
    </row>
    <row r="50" ht="17" customHeight="1">
      <c r="B50" s="25" t="inlineStr">
        <is>
          <t>En Petición Ofertas</t>
        </is>
      </c>
      <c r="C50" s="21" t="n">
        <v>0</v>
      </c>
      <c r="D50" s="21" t="n">
        <v>0</v>
      </c>
      <c r="E50" s="21" t="n">
        <v>0</v>
      </c>
      <c r="F50" s="21" t="n">
        <v>0</v>
      </c>
      <c r="G50" s="24" t="inlineStr">
        <is>
          <t>+1</t>
        </is>
      </c>
    </row>
    <row r="51" ht="17" customHeight="1">
      <c r="B51" s="25" t="inlineStr">
        <is>
          <t>En AT</t>
        </is>
      </c>
      <c r="C51" s="21" t="n">
        <v>23</v>
      </c>
      <c r="D51" s="21" t="n">
        <v>23</v>
      </c>
      <c r="E51" s="21" t="n">
        <v>19</v>
      </c>
      <c r="F51" s="21" t="n">
        <v>19</v>
      </c>
      <c r="G51" s="23" t="inlineStr">
        <is>
          <t>-9</t>
        </is>
      </c>
    </row>
    <row r="52" ht="17" customHeight="1">
      <c r="B52" s="25" t="inlineStr">
        <is>
          <t>Con OC</t>
        </is>
      </c>
      <c r="C52" s="21" t="n">
        <v>25</v>
      </c>
      <c r="D52" s="21" t="n">
        <v>25</v>
      </c>
      <c r="E52" s="21" t="n">
        <v>29</v>
      </c>
      <c r="F52" s="21" t="n">
        <v>29</v>
      </c>
      <c r="G52" s="24" t="inlineStr">
        <is>
          <t>+9</t>
        </is>
      </c>
    </row>
    <row r="53" ht="17" customHeight="1">
      <c r="B53" s="25" t="inlineStr">
        <is>
          <t>En gestión (emitidas)</t>
        </is>
      </c>
      <c r="C53" s="21" t="n">
        <v>48</v>
      </c>
      <c r="D53" s="21" t="n">
        <v>48</v>
      </c>
      <c r="E53" s="21" t="n">
        <v>48</v>
      </c>
      <c r="F53" s="21" t="n">
        <v>49</v>
      </c>
      <c r="G53" s="24" t="inlineStr">
        <is>
          <t>+1</t>
        </is>
      </c>
    </row>
    <row r="55" ht="34" customHeight="1">
      <c r="B55" s="26" t="inlineStr">
        <is>
          <t>Período 18/09 → 23/10 (4 semanas)</t>
        </is>
      </c>
      <c r="D55" s="19" t="inlineStr">
        <is>
          <t>+10 OCs IN+EL (36→46): Instrumentación 25→34, Electricidad 11→12. AT IN 23→14. En gestión 66→67; sin emitir 3→2. HITO: Válvulas de control adjudicadas a GE Oil &amp; Gas (FE 9/2/27) – último crítico resuelto.</t>
        </is>
      </c>
    </row>
    <row r="56" ht="34" customHeight="1">
      <c r="B56" s="26" t="inlineStr">
        <is>
          <t>OCs colocadas en el período (IN+EL)</t>
        </is>
      </c>
      <c r="D56" s="19" t="inlineStr">
        <is>
          <t>36 → 46: +10 OCs entre 18/09 y 23/10 (IN 25→34, EL 11→12). Total OCs colocadas IN+EL: 46 (67% de las 69 RIs). Los 7 ítems críticos ya están adjudicados / con OC.</t>
        </is>
      </c>
    </row>
    <row r="57" ht="34" customHeight="1">
      <c r="B57" s="26" t="inlineStr">
        <is>
          <t>Foco actual – seguimiento de fabricación</t>
        </is>
      </c>
      <c r="D57" s="19" t="inlineStr">
        <is>
          <t>Resuelta la adjudicación de válvulas, el foco pasa al SEGUIMIENTO DE FABRICACIÓN y entregas: PMS (fab. desde 9/10, FAT 25/1/27), SIS (FE 15/12/26 Ezeiza), PCS (crono mantiene FE), shelters (inspecciones desde 26/10). Cables: materiales de 1ra instancia entregados; 2da instancia (29.000 m IN) en licitación.</t>
        </is>
      </c>
    </row>
  </sheetData>
  <mergeCells count="29">
    <mergeCell ref="B2:M2"/>
    <mergeCell ref="B40:H40"/>
    <mergeCell ref="B56:C56"/>
    <mergeCell ref="B36"/>
    <mergeCell ref="K6:M7"/>
    <mergeCell ref="B35"/>
    <mergeCell ref="C36:H36"/>
    <mergeCell ref="D57:H57"/>
    <mergeCell ref="B57:C57"/>
    <mergeCell ref="H6:J7"/>
    <mergeCell ref="C38:H38"/>
    <mergeCell ref="B5:D5"/>
    <mergeCell ref="H5:J5"/>
    <mergeCell ref="C37:H37"/>
    <mergeCell ref="B48:H48"/>
    <mergeCell ref="B42:H42"/>
    <mergeCell ref="D56:H56"/>
    <mergeCell ref="E6:G7"/>
    <mergeCell ref="B55:C55"/>
    <mergeCell ref="B6:D7"/>
    <mergeCell ref="B3:M3"/>
    <mergeCell ref="D55:H55"/>
    <mergeCell ref="E5:G5"/>
    <mergeCell ref="K5:M5"/>
    <mergeCell ref="B38"/>
    <mergeCell ref="C35:H35"/>
    <mergeCell ref="B10:H10"/>
    <mergeCell ref="B37"/>
    <mergeCell ref="B34:H3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0" customWidth="1" min="3" max="3"/>
    <col width="3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13" customWidth="1" min="12" max="12"/>
    <col width="30" customWidth="1" min="13" max="13"/>
  </cols>
  <sheetData>
    <row r="2" ht="30" customHeight="1">
      <c r="B2" s="27" t="inlineStr">
        <is>
          <t>ANÁLISIS DETALLADO RI → OC  ·  Ítems Críticos IN / EL</t>
        </is>
      </c>
    </row>
    <row r="3" ht="24" customHeight="1">
      <c r="B3" s="28" t="inlineStr">
        <is>
          <t>Tiempo desde emisión de RI hasta OC efectiva (adjudicados) o días transcurridos sin OC (en gestión).  OC efectiva tomada en fecha KOM para los paquetes adjudicados.</t>
        </is>
      </c>
    </row>
    <row r="5" ht="34" customHeight="1">
      <c r="B5" s="12" t="inlineStr">
        <is>
          <t>Esp.</t>
        </is>
      </c>
      <c r="C5" s="12" t="inlineStr">
        <is>
          <t>Criticidad</t>
        </is>
      </c>
      <c r="D5" s="12" t="inlineStr">
        <is>
          <t>Suministro</t>
        </is>
      </c>
      <c r="E5" s="12" t="inlineStr">
        <is>
          <t>RI
(emisión)</t>
        </is>
      </c>
      <c r="F5" s="12" t="inlineStr">
        <is>
          <t>SOLPED</t>
        </is>
      </c>
      <c r="G5" s="12" t="inlineStr">
        <is>
          <t>Rec.
Ofertas</t>
        </is>
      </c>
      <c r="H5" s="12" t="inlineStr">
        <is>
          <t>AT
cierre</t>
        </is>
      </c>
      <c r="I5" s="12" t="inlineStr">
        <is>
          <t>OC
efectiva</t>
        </is>
      </c>
      <c r="J5" s="12" t="inlineStr">
        <is>
          <t>Nec.
OC</t>
        </is>
      </c>
      <c r="K5" s="12" t="inlineStr">
        <is>
          <t>RI→OC
(días)</t>
        </is>
      </c>
      <c r="L5" s="12" t="inlineStr">
        <is>
          <t>Estado
actual</t>
        </is>
      </c>
      <c r="M5" s="12" t="inlineStr">
        <is>
          <t>Observaciones / Acción</t>
        </is>
      </c>
    </row>
    <row r="6" ht="30" customHeight="1">
      <c r="B6" s="29" t="inlineStr">
        <is>
          <t>EL</t>
        </is>
      </c>
      <c r="C6" s="30" t="inlineStr">
        <is>
          <t>HITO 2</t>
        </is>
      </c>
      <c r="D6" s="31" t="inlineStr">
        <is>
          <t>Shelter Eléctrico SE#4 c/equipamiento</t>
        </is>
      </c>
      <c r="E6" s="21" t="inlineStr">
        <is>
          <t>09/01/26</t>
        </is>
      </c>
      <c r="F6" s="21" t="inlineStr">
        <is>
          <t>21/01/26</t>
        </is>
      </c>
      <c r="G6" s="21" t="inlineStr">
        <is>
          <t>09/02/26</t>
        </is>
      </c>
      <c r="H6" s="21" t="inlineStr">
        <is>
          <t>13/03/26</t>
        </is>
      </c>
      <c r="I6" s="32" t="inlineStr">
        <is>
          <t>18/05/26</t>
        </is>
      </c>
      <c r="J6" s="21" t="inlineStr">
        <is>
          <t>20/05/26</t>
        </is>
      </c>
      <c r="K6" s="33" t="inlineStr">
        <is>
          <t>129</t>
        </is>
      </c>
      <c r="L6" s="34" t="inlineStr">
        <is>
          <t>OC COLOCADA</t>
        </is>
      </c>
      <c r="M6" s="35" t="inlineStr">
        <is>
          <t>OC COLOCADA – KOM 18/5 – 129 d RI→OC. Adjudicado FE 24/4/27. Certificado n°2 emitido</t>
        </is>
      </c>
    </row>
    <row r="7" ht="30" customHeight="1">
      <c r="B7" s="29" t="inlineStr">
        <is>
          <t>EL</t>
        </is>
      </c>
      <c r="C7" s="30" t="inlineStr">
        <is>
          <t>HITO 2</t>
        </is>
      </c>
      <c r="D7" s="31" t="inlineStr">
        <is>
          <t>Shelter Eléctrico SE#3 c/equipamiento</t>
        </is>
      </c>
      <c r="E7" s="21" t="inlineStr">
        <is>
          <t>09/01/26</t>
        </is>
      </c>
      <c r="F7" s="21" t="inlineStr">
        <is>
          <t>21/01/26</t>
        </is>
      </c>
      <c r="G7" s="21" t="inlineStr">
        <is>
          <t>09/02/26</t>
        </is>
      </c>
      <c r="H7" s="21" t="inlineStr">
        <is>
          <t>13/03/26</t>
        </is>
      </c>
      <c r="I7" s="32" t="inlineStr">
        <is>
          <t>18/05/26</t>
        </is>
      </c>
      <c r="J7" s="21" t="inlineStr">
        <is>
          <t>20/05/26</t>
        </is>
      </c>
      <c r="K7" s="33" t="inlineStr">
        <is>
          <t>129</t>
        </is>
      </c>
      <c r="L7" s="34" t="inlineStr">
        <is>
          <t>OC COLOCADA</t>
        </is>
      </c>
      <c r="M7" s="35" t="inlineStr">
        <is>
          <t>OC COLOCADA – FE 15/5/27. En FABRICACIÓN: certificación de acopio (Bottino); inspecciones de fabricación desde 26/10; asistencia en Brasil 19/11–11/12</t>
        </is>
      </c>
    </row>
    <row r="8" ht="30" customHeight="1">
      <c r="B8" s="29" t="inlineStr">
        <is>
          <t>EL</t>
        </is>
      </c>
      <c r="C8" s="30" t="inlineStr">
        <is>
          <t>LLI</t>
        </is>
      </c>
      <c r="D8" s="31" t="inlineStr">
        <is>
          <t>Sistema PMS (Power Management System)</t>
        </is>
      </c>
      <c r="E8" s="21" t="inlineStr">
        <is>
          <t>09/01/26</t>
        </is>
      </c>
      <c r="F8" s="21" t="inlineStr">
        <is>
          <t>21/01/26</t>
        </is>
      </c>
      <c r="G8" s="21" t="inlineStr">
        <is>
          <t>09/02/26</t>
        </is>
      </c>
      <c r="H8" s="21" t="inlineStr">
        <is>
          <t>13/03/26</t>
        </is>
      </c>
      <c r="I8" s="32" t="inlineStr">
        <is>
          <t>22/05/26</t>
        </is>
      </c>
      <c r="J8" s="21" t="inlineStr">
        <is>
          <t>29/05/26</t>
        </is>
      </c>
      <c r="K8" s="36" t="inlineStr">
        <is>
          <t>133</t>
        </is>
      </c>
      <c r="L8" s="34" t="inlineStr">
        <is>
          <t>OC COLOCADA</t>
        </is>
      </c>
      <c r="M8" s="35" t="inlineStr">
        <is>
          <t>OC COLOCADA – 133 d RI→OC. 100% de materiales; fabricación iniciada 9/10 (50 d). FAT 25/1/27 (Bs. As.)</t>
        </is>
      </c>
    </row>
    <row r="9" ht="30" customHeight="1">
      <c r="B9" s="37" t="inlineStr">
        <is>
          <t>IN</t>
        </is>
      </c>
      <c r="C9" s="38" t="inlineStr">
        <is>
          <t>LLI</t>
        </is>
      </c>
      <c r="D9" s="39" t="inlineStr">
        <is>
          <t>Sistema de Control PCS</t>
        </is>
      </c>
      <c r="E9" s="21" t="inlineStr">
        <is>
          <t>03/02/26</t>
        </is>
      </c>
      <c r="F9" s="21" t="inlineStr">
        <is>
          <t>19/02/26</t>
        </is>
      </c>
      <c r="G9" s="21" t="inlineStr">
        <is>
          <t>25/03/26</t>
        </is>
      </c>
      <c r="H9" s="21" t="inlineStr">
        <is>
          <t>05/06/26</t>
        </is>
      </c>
      <c r="I9" s="32" t="inlineStr">
        <is>
          <t>23/07/26</t>
        </is>
      </c>
      <c r="J9" s="21" t="inlineStr">
        <is>
          <t>19/08/26</t>
        </is>
      </c>
      <c r="K9" s="36" t="inlineStr">
        <is>
          <t>170</t>
        </is>
      </c>
      <c r="L9" s="34" t="inlineStr">
        <is>
          <t>OC COLOCADA</t>
        </is>
      </c>
      <c r="M9" s="40" t="inlineStr">
        <is>
          <t>OC (materiales) EMITIDA 4509023773 (23/07) – 170 d RI→OC. LD codificada, PIE emitido. MC/PL/Layout en revisión por AESA. Crono mantiene la FE</t>
        </is>
      </c>
    </row>
    <row r="10" ht="30" customHeight="1">
      <c r="B10" s="37" t="inlineStr">
        <is>
          <t>IN</t>
        </is>
      </c>
      <c r="C10" s="38" t="inlineStr">
        <is>
          <t>LLI</t>
        </is>
      </c>
      <c r="D10" s="39" t="inlineStr">
        <is>
          <t>Sistema de Seguridad SIS</t>
        </is>
      </c>
      <c r="E10" s="21" t="inlineStr">
        <is>
          <t>03/02/26</t>
        </is>
      </c>
      <c r="F10" s="21" t="inlineStr">
        <is>
          <t>19/02/26</t>
        </is>
      </c>
      <c r="G10" s="21" t="inlineStr">
        <is>
          <t>11/03/26</t>
        </is>
      </c>
      <c r="H10" s="21" t="inlineStr">
        <is>
          <t>05/06/26</t>
        </is>
      </c>
      <c r="I10" s="32" t="inlineStr">
        <is>
          <t>03/07/26</t>
        </is>
      </c>
      <c r="J10" s="21" t="inlineStr">
        <is>
          <t>21/06/26</t>
        </is>
      </c>
      <c r="K10" s="36" t="inlineStr">
        <is>
          <t>150</t>
        </is>
      </c>
      <c r="L10" s="34" t="inlineStr">
        <is>
          <t>OC COLOCADA</t>
        </is>
      </c>
      <c r="M10" s="40" t="inlineStr">
        <is>
          <t>OC EMITIDA 4509010341 (03/07) – 150 d RI→OC. KOM 14/8. FE 15/12/26 DAP Ezeiza (nacionaliza AESA). Documentación crítica enviada</t>
        </is>
      </c>
    </row>
    <row r="11" ht="30" customHeight="1">
      <c r="B11" s="37" t="inlineStr">
        <is>
          <t>IN</t>
        </is>
      </c>
      <c r="C11" s="38" t="inlineStr">
        <is>
          <t>LLI</t>
        </is>
      </c>
      <c r="D11" s="39" t="inlineStr">
        <is>
          <t>Válvulas de Control y Autorreguladoras</t>
        </is>
      </c>
      <c r="E11" s="21" t="inlineStr">
        <is>
          <t>23/04/26</t>
        </is>
      </c>
      <c r="F11" s="21" t="inlineStr">
        <is>
          <t>05/05/26</t>
        </is>
      </c>
      <c r="G11" s="21" t="inlineStr">
        <is>
          <t>21/05/26</t>
        </is>
      </c>
      <c r="H11" s="21" t="inlineStr">
        <is>
          <t>—</t>
        </is>
      </c>
      <c r="I11" s="21" t="inlineStr">
        <is>
          <t>—</t>
        </is>
      </c>
      <c r="J11" s="21" t="inlineStr">
        <is>
          <t>26/07/26</t>
        </is>
      </c>
      <c r="K11" s="36" t="inlineStr">
        <is>
          <t>183 *</t>
        </is>
      </c>
      <c r="L11" s="41" t="inlineStr">
        <is>
          <t>EN GESTIÓN</t>
        </is>
      </c>
      <c r="M11" s="40" t="inlineStr">
        <is>
          <t>ADJUDICADAS (válvulas de control) a GE Oil &amp; Gas – FE 9/2/27. OC en gestión. Autorreguladoras: legajo en aprobación. Resuelto el último crítico sin adjudicar. 183 d</t>
        </is>
      </c>
    </row>
    <row r="12" ht="30" customHeight="1">
      <c r="B12" s="37" t="inlineStr">
        <is>
          <t>IN</t>
        </is>
      </c>
      <c r="C12" s="38" t="inlineStr">
        <is>
          <t>MONTO</t>
        </is>
      </c>
      <c r="D12" s="39" t="inlineStr">
        <is>
          <t>Cables de Instrumentación</t>
        </is>
      </c>
      <c r="E12" s="21" t="inlineStr">
        <is>
          <t>15/05/26</t>
        </is>
      </c>
      <c r="F12" s="21" t="inlineStr">
        <is>
          <t>30/05/26</t>
        </is>
      </c>
      <c r="G12" s="21" t="inlineStr">
        <is>
          <t>23/06/26</t>
        </is>
      </c>
      <c r="H12" s="21" t="inlineStr">
        <is>
          <t>12/08/26</t>
        </is>
      </c>
      <c r="I12" s="32" t="inlineStr">
        <is>
          <t>27/08/26</t>
        </is>
      </c>
      <c r="J12" s="21" t="inlineStr">
        <is>
          <t>21/10/26</t>
        </is>
      </c>
      <c r="K12" s="33" t="inlineStr">
        <is>
          <t>104</t>
        </is>
      </c>
      <c r="L12" s="34" t="inlineStr">
        <is>
          <t>OC COLOCADA</t>
        </is>
      </c>
      <c r="M12" s="40" t="inlineStr">
        <is>
          <t>OC COLOCADA 4509060019 (27/08) – 104 d RI→OC. Materiales en stock ENTREGADOS. 2da instancia: 29.000 m en licitación</t>
        </is>
      </c>
    </row>
    <row r="13" ht="30" customHeight="1">
      <c r="B13" s="29" t="inlineStr">
        <is>
          <t>EL</t>
        </is>
      </c>
      <c r="C13" s="30" t="inlineStr">
        <is>
          <t>MONTO</t>
        </is>
      </c>
      <c r="D13" s="31" t="inlineStr">
        <is>
          <t>Cables Eléctricos</t>
        </is>
      </c>
      <c r="E13" s="21" t="inlineStr">
        <is>
          <t>11/06/26</t>
        </is>
      </c>
      <c r="F13" s="21" t="inlineStr">
        <is>
          <t>01/07/26</t>
        </is>
      </c>
      <c r="G13" s="21" t="inlineStr">
        <is>
          <t>22/07/26</t>
        </is>
      </c>
      <c r="H13" s="21" t="inlineStr">
        <is>
          <t>04/08/26</t>
        </is>
      </c>
      <c r="I13" s="32" t="inlineStr">
        <is>
          <t>23/08/26</t>
        </is>
      </c>
      <c r="J13" s="21" t="inlineStr">
        <is>
          <t>18/11/26</t>
        </is>
      </c>
      <c r="K13" s="15" t="inlineStr">
        <is>
          <t>73</t>
        </is>
      </c>
      <c r="L13" s="34" t="inlineStr">
        <is>
          <t>OC COLOCADA</t>
        </is>
      </c>
      <c r="M13" s="35" t="inlineStr">
        <is>
          <t>OC COLOCADA 4509059424 (23/08) a Marlew – 73 d RI→OC. Materiales en stock ENTREGADOS. Rev.1 (5 km) adjudicada a Marlew</t>
        </is>
      </c>
    </row>
    <row r="15" ht="16" customHeight="1">
      <c r="B15" s="42" t="inlineStr">
        <is>
          <t>(*) Para ítems sin OC, el valor es la cantidad de días transcurridos desde la RI hasta el corte (23/10/26), sin orden de compra colocada todavía.</t>
        </is>
      </c>
    </row>
    <row r="17" ht="20" customHeight="1">
      <c r="B17" s="43" t="inlineStr">
        <is>
          <t>TIEMPO RI → OC POR ÍTEM (días)</t>
        </is>
      </c>
    </row>
    <row r="18">
      <c r="B18" s="44" t="inlineStr">
        <is>
          <t>Ítem</t>
        </is>
      </c>
      <c r="C18" s="44" t="inlineStr">
        <is>
          <t>Días RI→OC / transcurridos</t>
        </is>
      </c>
    </row>
    <row r="19">
      <c r="B19" s="45" t="inlineStr">
        <is>
          <t>EL · Shelter Eléctrico SE#4 c/e…</t>
        </is>
      </c>
      <c r="C19" s="46" t="n">
        <v>129</v>
      </c>
    </row>
    <row r="20">
      <c r="B20" s="45" t="inlineStr">
        <is>
          <t>EL · Shelter Eléctrico SE#3 c/e…</t>
        </is>
      </c>
      <c r="C20" s="46" t="n">
        <v>129</v>
      </c>
    </row>
    <row r="21">
      <c r="B21" s="45" t="inlineStr">
        <is>
          <t>EL · Sistema PMS (Power Managem…</t>
        </is>
      </c>
      <c r="C21" s="46" t="n">
        <v>133</v>
      </c>
    </row>
    <row r="22">
      <c r="B22" s="45" t="inlineStr">
        <is>
          <t>IN · Sistema de Control PCS</t>
        </is>
      </c>
      <c r="C22" s="46" t="n">
        <v>170</v>
      </c>
    </row>
    <row r="23">
      <c r="B23" s="45" t="inlineStr">
        <is>
          <t>IN · Sistema de Seguridad SIS</t>
        </is>
      </c>
      <c r="C23" s="46" t="n">
        <v>150</v>
      </c>
    </row>
    <row r="24">
      <c r="B24" s="45" t="inlineStr">
        <is>
          <t>IN · Válvulas de Control y Auto…</t>
        </is>
      </c>
      <c r="C24" s="46" t="n">
        <v>183</v>
      </c>
    </row>
    <row r="25">
      <c r="B25" s="45" t="inlineStr">
        <is>
          <t>IN · Cables de Instrumentación</t>
        </is>
      </c>
      <c r="C25" s="46" t="n">
        <v>104</v>
      </c>
    </row>
    <row r="26">
      <c r="B26" s="45" t="inlineStr">
        <is>
          <t>EL · Cables Eléctricos</t>
        </is>
      </c>
      <c r="C26" s="46" t="n">
        <v>73</v>
      </c>
    </row>
  </sheetData>
  <mergeCells count="4">
    <mergeCell ref="B3:M3"/>
    <mergeCell ref="B2:M2"/>
    <mergeCell ref="B15:M15"/>
    <mergeCell ref="B17:H1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4" customWidth="1" min="4" max="4"/>
    <col width="40" customWidth="1" min="5" max="5"/>
    <col width="3" customWidth="1" min="6" max="6"/>
    <col width="3" customWidth="1" min="7" max="7"/>
    <col width="3" customWidth="1" min="8" max="8"/>
  </cols>
  <sheetData>
    <row r="2" ht="28" customHeight="1">
      <c r="B2" s="47" t="inlineStr">
        <is>
          <t>¿DÓNDE SE CONCENTRA LA DEMORA DEL CIRCUITO?</t>
        </is>
      </c>
    </row>
    <row r="3" ht="22" customHeight="1">
      <c r="B3" s="28" t="inlineStr">
        <is>
          <t>Descomposición del tiempo RI → OC en los 3 paquetes ya adjudicados (ABB) – cadena completa de 129 días</t>
        </is>
      </c>
    </row>
    <row r="5" ht="20" customHeight="1">
      <c r="B5" s="48" t="inlineStr">
        <is>
          <t>Tramo del circuito</t>
        </is>
      </c>
      <c r="C5" s="48" t="inlineStr">
        <is>
          <t>Días</t>
        </is>
      </c>
      <c r="D5" s="48" t="inlineStr">
        <is>
          <t>% del total</t>
        </is>
      </c>
      <c r="E5" s="48" t="inlineStr">
        <is>
          <t>Lectura</t>
        </is>
      </c>
    </row>
    <row r="6" ht="26" customHeight="1">
      <c r="B6" s="49" t="inlineStr">
        <is>
          <t>RI → SOLPED</t>
        </is>
      </c>
      <c r="C6" s="50" t="n">
        <v>12</v>
      </c>
      <c r="D6" s="51" t="n">
        <v>0.09302325581395349</v>
      </c>
      <c r="E6" s="52" t="inlineStr">
        <is>
          <t>Ágil – generación de solicitud de pedido en SAP.</t>
        </is>
      </c>
    </row>
    <row r="7" ht="26" customHeight="1">
      <c r="B7" s="49" t="inlineStr">
        <is>
          <t>SOLPED → Rec.Of.</t>
        </is>
      </c>
      <c r="C7" s="50" t="n">
        <v>19</v>
      </c>
      <c r="D7" s="51" t="n">
        <v>0.1472868217054264</v>
      </c>
      <c r="E7" s="52" t="inlineStr">
        <is>
          <t>Normal – tiempo de mercado para recibir ofertas.</t>
        </is>
      </c>
    </row>
    <row r="8" ht="26" customHeight="1">
      <c r="B8" s="49" t="inlineStr">
        <is>
          <t>Rec.Of. → AT cierre</t>
        </is>
      </c>
      <c r="C8" s="50" t="n">
        <v>32</v>
      </c>
      <c r="D8" s="51" t="n">
        <v>0.248062015503876</v>
      </c>
      <c r="E8" s="52" t="inlineStr">
        <is>
          <t>Análisis técnico; aceptable para equipos complejos.</t>
        </is>
      </c>
    </row>
    <row r="9" ht="26" customHeight="1">
      <c r="B9" s="53" t="inlineStr">
        <is>
          <t>AT cierre → OC</t>
        </is>
      </c>
      <c r="C9" s="36" t="n">
        <v>66</v>
      </c>
      <c r="D9" s="54" t="n">
        <v>0.5116279069767442</v>
      </c>
      <c r="E9" s="55" t="inlineStr">
        <is>
          <t>CRÍTICO – el tramo más largo. Gestión comercial/aprobaciones post-AT.</t>
        </is>
      </c>
    </row>
    <row r="10">
      <c r="B10" s="56" t="inlineStr">
        <is>
          <t>TOTAL RI → OC</t>
        </is>
      </c>
      <c r="C10" s="57" t="n">
        <v>129</v>
      </c>
      <c r="D10" s="58" t="n">
        <v>1</v>
      </c>
      <c r="E10" s="59" t="inlineStr">
        <is>
          <t>≈ 4,3 meses entre RI y OC</t>
        </is>
      </c>
    </row>
    <row r="28" ht="20" customHeight="1">
      <c r="B28" s="43" t="inlineStr">
        <is>
          <t>METODOLOGÍA Y FUENTES DE DATOS</t>
        </is>
      </c>
    </row>
    <row r="29" ht="28" customHeight="1">
      <c r="B29" s="60" t="inlineStr">
        <is>
          <t>Fuente</t>
        </is>
      </c>
      <c r="C29" s="61" t="inlineStr">
        <is>
          <t>Plan de Suministros – La Calera II (231026).xlsx · Rev19</t>
        </is>
      </c>
    </row>
    <row r="30" ht="28" customHeight="1">
      <c r="B30" s="60" t="inlineStr">
        <is>
          <t>Hojas usadas</t>
        </is>
      </c>
      <c r="C30" s="61" t="inlineStr">
        <is>
          <t>Cuadro resumen (pipeline) · Suministros críticos (cadena por ítem) · RI y OC x mes.</t>
        </is>
      </c>
    </row>
    <row r="31" ht="28" customHeight="1">
      <c r="B31" s="60" t="inlineStr">
        <is>
          <t>Fecha de corte</t>
        </is>
      </c>
      <c r="C31" s="61" t="inlineStr">
        <is>
          <t>23/10/2026 (evolución: 18/09 · 25/09 · 09/10 · 16/10 · 23/10)</t>
        </is>
      </c>
    </row>
    <row r="32" ht="28" customHeight="1">
      <c r="B32" s="60" t="inlineStr">
        <is>
          <t>Universo</t>
        </is>
      </c>
      <c r="C32" s="61" t="inlineStr">
        <is>
          <t>IN: 48 RIs · EL: 20 RIs (total 68). Cadena RI→OC detallada disponible para los 8 ítems críticos.</t>
        </is>
      </c>
    </row>
    <row r="33" ht="28" customHeight="1">
      <c r="B33" s="60" t="inlineStr">
        <is>
          <t>Definición OC efectiva</t>
        </is>
      </c>
      <c r="C33" s="61" t="inlineStr">
        <is>
          <t>Para paquetes adjudicados sin fecha formal de OC, se usa la fecha KOM como hito de OC efectiva.</t>
        </is>
      </c>
    </row>
    <row r="34" ht="28" customHeight="1">
      <c r="B34" s="60" t="inlineStr">
        <is>
          <t>Días en gestión</t>
        </is>
      </c>
      <c r="C34" s="61" t="inlineStr">
        <is>
          <t>Para ítems sin OC: días entre RI y fecha de corte (proceso aún abierto).</t>
        </is>
      </c>
    </row>
    <row r="35" ht="28" customHeight="1">
      <c r="B35" s="60" t="inlineStr">
        <is>
          <t>Limitación</t>
        </is>
      </c>
      <c r="C35" s="61" t="inlineStr">
        <is>
          <t>El Plan registra fechas reales de cadena solo para ítems críticos; el resto se reporta a nivel de pipeline agregado (Cuadro resumen).</t>
        </is>
      </c>
    </row>
  </sheetData>
  <mergeCells count="10">
    <mergeCell ref="C33:E33"/>
    <mergeCell ref="C34:E34"/>
    <mergeCell ref="C31:E31"/>
    <mergeCell ref="B3:E3"/>
    <mergeCell ref="B2:E2"/>
    <mergeCell ref="C29:E29"/>
    <mergeCell ref="C30:E30"/>
    <mergeCell ref="B28:E28"/>
    <mergeCell ref="C35:E35"/>
    <mergeCell ref="C32:E3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2026-10-27T16:16:44Z</dcterms:created>
  <dcterms:modified xsi:type="dcterms:W3CDTF">2026-10-27T16:16:44Z</dcterms:modified>
</cp:coreProperties>
</file>