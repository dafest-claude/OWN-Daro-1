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color rgb="00404040"/>
      <sz val="10"/>
    </font>
    <font>
      <name val="Calibri"/>
      <b val="1"/>
      <color rgb="00404040"/>
      <sz val="10"/>
    </font>
    <font>
      <name val="Calibri"/>
      <b val="1"/>
      <color rgb="001F3864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8" fillId="15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18" fillId="16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0" fontId="21" fillId="12" borderId="0" pivotButton="0" quotePrefix="0" xfId="0"/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24" fillId="17" borderId="2" applyAlignment="1" pivotButton="0" quotePrefix="0" xfId="0">
      <alignment horizontal="left" vertical="center"/>
    </xf>
    <xf numFmtId="0" fontId="8" fillId="17" borderId="2" applyAlignment="1" pivotButton="0" quotePrefix="0" xfId="0">
      <alignment horizontal="center" vertical="center"/>
    </xf>
    <xf numFmtId="9" fontId="24" fillId="17" borderId="2" applyAlignment="1" pivotButton="0" quotePrefix="0" xfId="0">
      <alignment horizontal="center" vertical="center"/>
    </xf>
    <xf numFmtId="0" fontId="19" fillId="17" borderId="2" applyAlignment="1" pivotButton="0" quotePrefix="0" xfId="0">
      <alignment horizontal="left" vertical="center" wrapText="1"/>
    </xf>
    <xf numFmtId="0" fontId="25" fillId="11" borderId="2" applyAlignment="1" pivotButton="0" quotePrefix="0" xfId="0">
      <alignment horizontal="left" vertical="center"/>
    </xf>
    <xf numFmtId="9" fontId="25" fillId="11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0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26" fillId="17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de Suministros 120626   ·   Corte: 12/06/2026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68</v>
      </c>
      <c r="E6" s="8" t="n">
        <v>7</v>
      </c>
      <c r="H6" s="9" t="n">
        <v>52</v>
      </c>
      <c r="K6" s="10" t="n">
        <v>16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20</v>
      </c>
      <c r="D12" s="14" t="n">
        <v>12</v>
      </c>
      <c r="E12" s="14" t="n">
        <v>0</v>
      </c>
      <c r="F12" s="14" t="n">
        <v>4</v>
      </c>
      <c r="G12" s="14" t="n">
        <v>2</v>
      </c>
      <c r="H12" s="15" t="n">
        <v>6</v>
      </c>
    </row>
    <row r="13" ht="22" customHeight="1">
      <c r="B13" s="16" t="inlineStr">
        <is>
          <t>INSTRUMENTACIÓN</t>
        </is>
      </c>
      <c r="C13" s="17" t="n">
        <v>48</v>
      </c>
      <c r="D13" s="17" t="n">
        <v>40</v>
      </c>
      <c r="E13" s="17" t="n">
        <v>0</v>
      </c>
      <c r="F13" s="17" t="n">
        <v>18</v>
      </c>
      <c r="G13" s="18" t="n">
        <v>21</v>
      </c>
      <c r="H13" s="19" t="n">
        <v>1</v>
      </c>
    </row>
    <row r="34" ht="22" customHeight="1">
      <c r="B34" s="11" t="inlineStr">
        <is>
          <t>HALLAZGOS CLAVE PARA LA DECISIÓN</t>
        </is>
      </c>
    </row>
    <row r="35" ht="46" customHeight="1">
      <c r="B35" s="20" t="inlineStr">
        <is>
          <t>🟢</t>
        </is>
      </c>
      <c r="C35" s="21" t="inlineStr">
        <is>
          <t>HITO SEMANA: PCS y SIS – AT CERRADO
Ambos sistemas críticos cerraron el Análisis Técnico. PCS (Inauco): AT cerrado, aguardando oferta comercial para adjudicación. SIS (HIMA): AT cerrado, en cierre comercial – SBL solicitado, pendiente oferta de servicios. Superan los 129 días del patrón ABB; OC es la acción prioritaria.</t>
        </is>
      </c>
    </row>
    <row r="36" ht="46" customHeight="1">
      <c r="B36" s="20" t="inlineStr">
        <is>
          <t>🟢</t>
        </is>
      </c>
      <c r="C36" s="21" t="inlineStr">
        <is>
          <t>HITO SEMANA: Cables IN – Ofertas enviadas a AT (12/06)
Cables Instrumentación (23392215/16/13): con SOLPEDs liberadas, hoy 12/06 se enviaron ofertas para AT. NecOC: 21/10/26. Cables EL RI emitida 11/06 – próximo paso: SOLPED.</t>
        </is>
      </c>
    </row>
    <row r="37" ht="46" customHeight="1">
      <c r="B37" s="20" t="inlineStr">
        <is>
          <t>🔴</t>
        </is>
      </c>
      <c r="C37" s="21" t="inlineStr">
        <is>
          <t>CUELLO DE BOTELLA: OC no colocada en paquetes con AT cerrado
PCS (129 d) y SIS (129 d) con AT cerrado pero sin OC. El tramo AT→OC fue el más lento en ABB (66 d / 51%). Reforzar gestión comercial para colocar OC en los próximos 30 días.</t>
        </is>
      </c>
    </row>
    <row r="38" ht="46" customHeight="1">
      <c r="B38" s="20" t="inlineStr">
        <is>
          <t>⚠️</t>
        </is>
      </c>
      <c r="C38" s="21" t="inlineStr">
        <is>
          <t>VÁLVULAS – RIESGO DE DEMORA
En AT desde 22/5. Respuesta ING solicitada para el 10/06 – vencida sin novedad al 12/06. NecOC: 26/07/26 (44 días). Sin respuesta de ingeniería, el AT no puede cerrarse. Acción urgente: confirmar estado y escalar si necesario.</t>
        </is>
      </c>
    </row>
  </sheetData>
  <mergeCells count="20">
    <mergeCell ref="B2:M2"/>
    <mergeCell ref="B36"/>
    <mergeCell ref="K6:M7"/>
    <mergeCell ref="B35"/>
    <mergeCell ref="C36:H36"/>
    <mergeCell ref="H6:J7"/>
    <mergeCell ref="C38:H38"/>
    <mergeCell ref="B5:D5"/>
    <mergeCell ref="H5:J5"/>
    <mergeCell ref="C37:H37"/>
    <mergeCell ref="E6:G7"/>
    <mergeCell ref="B6:D7"/>
    <mergeCell ref="B3:M3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2" t="inlineStr">
        <is>
          <t>ANÁLISIS DETALLADO RI → OC  ·  Ítems Críticos IN / EL</t>
        </is>
      </c>
    </row>
    <row r="3" ht="24" customHeight="1">
      <c r="B3" s="23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24" t="inlineStr">
        <is>
          <t>EL</t>
        </is>
      </c>
      <c r="C6" s="25" t="inlineStr">
        <is>
          <t>HITO 2</t>
        </is>
      </c>
      <c r="D6" s="26" t="inlineStr">
        <is>
          <t>Shelter Eléctrico SE#4 c/equipamiento</t>
        </is>
      </c>
      <c r="E6" s="27" t="inlineStr">
        <is>
          <t>09/01/26</t>
        </is>
      </c>
      <c r="F6" s="27" t="inlineStr">
        <is>
          <t>21/01/26</t>
        </is>
      </c>
      <c r="G6" s="27" t="inlineStr">
        <is>
          <t>09/02/26</t>
        </is>
      </c>
      <c r="H6" s="27" t="inlineStr">
        <is>
          <t>13/03/26</t>
        </is>
      </c>
      <c r="I6" s="28" t="inlineStr">
        <is>
          <t>18/05/26</t>
        </is>
      </c>
      <c r="J6" s="27" t="inlineStr">
        <is>
          <t>20/05/26</t>
        </is>
      </c>
      <c r="K6" s="29" t="inlineStr">
        <is>
          <t>129</t>
        </is>
      </c>
      <c r="L6" s="30" t="inlineStr">
        <is>
          <t>OC COLOCADA</t>
        </is>
      </c>
      <c r="M6" s="31" t="inlineStr">
        <is>
          <t>OC COLOCADA – KOM 18/5 – ajuste OC pendiente (esquema certificación). NecEnt: 23/06/27</t>
        </is>
      </c>
    </row>
    <row r="7" ht="30" customHeight="1">
      <c r="B7" s="24" t="inlineStr">
        <is>
          <t>EL</t>
        </is>
      </c>
      <c r="C7" s="25" t="inlineStr">
        <is>
          <t>HITO 2</t>
        </is>
      </c>
      <c r="D7" s="26" t="inlineStr">
        <is>
          <t>Shelter Eléctrico SE#3 c/equipamiento</t>
        </is>
      </c>
      <c r="E7" s="27" t="inlineStr">
        <is>
          <t>09/01/26</t>
        </is>
      </c>
      <c r="F7" s="27" t="inlineStr">
        <is>
          <t>21/01/26</t>
        </is>
      </c>
      <c r="G7" s="27" t="inlineStr">
        <is>
          <t>09/02/26</t>
        </is>
      </c>
      <c r="H7" s="27" t="inlineStr">
        <is>
          <t>13/03/26</t>
        </is>
      </c>
      <c r="I7" s="28" t="inlineStr">
        <is>
          <t>18/05/26</t>
        </is>
      </c>
      <c r="J7" s="27" t="inlineStr">
        <is>
          <t>20/05/26</t>
        </is>
      </c>
      <c r="K7" s="29" t="inlineStr">
        <is>
          <t>129</t>
        </is>
      </c>
      <c r="L7" s="30" t="inlineStr">
        <is>
          <t>OC COLOCADA</t>
        </is>
      </c>
      <c r="M7" s="31" t="inlineStr">
        <is>
          <t>OC COLOCADA – KOM 18/5 – ajuste OC pendiente (esquema certificación). NecEnt: 24/05/27</t>
        </is>
      </c>
    </row>
    <row r="8" ht="30" customHeight="1">
      <c r="B8" s="24" t="inlineStr">
        <is>
          <t>EL</t>
        </is>
      </c>
      <c r="C8" s="25" t="inlineStr">
        <is>
          <t>LLI</t>
        </is>
      </c>
      <c r="D8" s="26" t="inlineStr">
        <is>
          <t>Sistema PMS (Power Management System)</t>
        </is>
      </c>
      <c r="E8" s="27" t="inlineStr">
        <is>
          <t>09/01/26</t>
        </is>
      </c>
      <c r="F8" s="27" t="inlineStr">
        <is>
          <t>21/01/26</t>
        </is>
      </c>
      <c r="G8" s="27" t="inlineStr">
        <is>
          <t>09/02/26</t>
        </is>
      </c>
      <c r="H8" s="27" t="inlineStr">
        <is>
          <t>13/03/26</t>
        </is>
      </c>
      <c r="I8" s="28" t="inlineStr">
        <is>
          <t>22/05/26</t>
        </is>
      </c>
      <c r="J8" s="27" t="inlineStr">
        <is>
          <t>29/05/26</t>
        </is>
      </c>
      <c r="K8" s="18" t="inlineStr">
        <is>
          <t>133</t>
        </is>
      </c>
      <c r="L8" s="30" t="inlineStr">
        <is>
          <t>OC COLOCADA</t>
        </is>
      </c>
      <c r="M8" s="31" t="inlineStr">
        <is>
          <t>OC COLOCADA – KOM 22/5 – ajuste OC pendiente (esquema certificación). NecEnt: 02/06/27</t>
        </is>
      </c>
    </row>
    <row r="9" ht="30" customHeight="1">
      <c r="B9" s="32" t="inlineStr">
        <is>
          <t>IN</t>
        </is>
      </c>
      <c r="C9" s="33" t="inlineStr">
        <is>
          <t>LLI</t>
        </is>
      </c>
      <c r="D9" s="34" t="inlineStr">
        <is>
          <t>Sistema de Control PCS</t>
        </is>
      </c>
      <c r="E9" s="27" t="inlineStr">
        <is>
          <t>03/02/26</t>
        </is>
      </c>
      <c r="F9" s="27" t="inlineStr">
        <is>
          <t>19/02/26</t>
        </is>
      </c>
      <c r="G9" s="27" t="inlineStr">
        <is>
          <t>25/03/26</t>
        </is>
      </c>
      <c r="H9" s="27" t="inlineStr">
        <is>
          <t>—</t>
        </is>
      </c>
      <c r="I9" s="27" t="inlineStr">
        <is>
          <t>—</t>
        </is>
      </c>
      <c r="J9" s="27" t="inlineStr">
        <is>
          <t>19/08/26</t>
        </is>
      </c>
      <c r="K9" s="29" t="inlineStr">
        <is>
          <t>129 *</t>
        </is>
      </c>
      <c r="L9" s="35" t="inlineStr">
        <is>
          <t>EN AT</t>
        </is>
      </c>
      <c r="M9" s="36" t="inlineStr">
        <is>
          <t>AT CERRADO – aguarda oferta comercial Inauco para adjudicación</t>
        </is>
      </c>
    </row>
    <row r="10" ht="30" customHeight="1">
      <c r="B10" s="32" t="inlineStr">
        <is>
          <t>IN</t>
        </is>
      </c>
      <c r="C10" s="33" t="inlineStr">
        <is>
          <t>LLI</t>
        </is>
      </c>
      <c r="D10" s="34" t="inlineStr">
        <is>
          <t>Sistema de Seguridad SIS</t>
        </is>
      </c>
      <c r="E10" s="27" t="inlineStr">
        <is>
          <t>03/02/26</t>
        </is>
      </c>
      <c r="F10" s="27" t="inlineStr">
        <is>
          <t>19/02/26</t>
        </is>
      </c>
      <c r="G10" s="27" t="inlineStr">
        <is>
          <t>11/03/26</t>
        </is>
      </c>
      <c r="H10" s="27" t="inlineStr">
        <is>
          <t>—</t>
        </is>
      </c>
      <c r="I10" s="27" t="inlineStr">
        <is>
          <t>—</t>
        </is>
      </c>
      <c r="J10" s="27" t="inlineStr">
        <is>
          <t>21/06/26</t>
        </is>
      </c>
      <c r="K10" s="29" t="inlineStr">
        <is>
          <t>129 *</t>
        </is>
      </c>
      <c r="L10" s="35" t="inlineStr">
        <is>
          <t>EN AT</t>
        </is>
      </c>
      <c r="M10" s="36" t="inlineStr">
        <is>
          <t>AT CERRADO – cierre comercial (SBL solicitado). Pendiente oferta servicios HIMA-Arg</t>
        </is>
      </c>
    </row>
    <row r="11" ht="30" customHeight="1">
      <c r="B11" s="32" t="inlineStr">
        <is>
          <t>IN</t>
        </is>
      </c>
      <c r="C11" s="33" t="inlineStr">
        <is>
          <t>LLI</t>
        </is>
      </c>
      <c r="D11" s="34" t="inlineStr">
        <is>
          <t>Válvulas de Control y Autorreguladoras</t>
        </is>
      </c>
      <c r="E11" s="27" t="inlineStr">
        <is>
          <t>23/04/26</t>
        </is>
      </c>
      <c r="F11" s="27" t="inlineStr">
        <is>
          <t>05/05/26</t>
        </is>
      </c>
      <c r="G11" s="27" t="inlineStr">
        <is>
          <t>21/05/26</t>
        </is>
      </c>
      <c r="H11" s="27" t="inlineStr">
        <is>
          <t>—</t>
        </is>
      </c>
      <c r="I11" s="27" t="inlineStr">
        <is>
          <t>—</t>
        </is>
      </c>
      <c r="J11" s="27" t="inlineStr">
        <is>
          <t>26/07/26</t>
        </is>
      </c>
      <c r="K11" s="15" t="inlineStr">
        <is>
          <t>50 *</t>
        </is>
      </c>
      <c r="L11" s="35" t="inlineStr">
        <is>
          <t>EN AT</t>
        </is>
      </c>
      <c r="M11" s="36" t="inlineStr">
        <is>
          <t>EN AT desde 22/5 – respuesta ING vencida al 10/06 (sin novedad). RIESGO DE DEMORA</t>
        </is>
      </c>
    </row>
    <row r="12" ht="30" customHeight="1">
      <c r="B12" s="32" t="inlineStr">
        <is>
          <t>IN</t>
        </is>
      </c>
      <c r="C12" s="33" t="inlineStr">
        <is>
          <t>MONTO</t>
        </is>
      </c>
      <c r="D12" s="34" t="inlineStr">
        <is>
          <t>Cables de Instrumentación</t>
        </is>
      </c>
      <c r="E12" s="27" t="inlineStr">
        <is>
          <t>15/05/26</t>
        </is>
      </c>
      <c r="F12" s="27" t="inlineStr">
        <is>
          <t>—</t>
        </is>
      </c>
      <c r="G12" s="27" t="inlineStr">
        <is>
          <t>—</t>
        </is>
      </c>
      <c r="H12" s="27" t="inlineStr">
        <is>
          <t>—</t>
        </is>
      </c>
      <c r="I12" s="27" t="inlineStr">
        <is>
          <t>—</t>
        </is>
      </c>
      <c r="J12" s="27" t="inlineStr">
        <is>
          <t>21/10/26</t>
        </is>
      </c>
      <c r="K12" s="15" t="inlineStr">
        <is>
          <t>28 *</t>
        </is>
      </c>
      <c r="L12" s="35" t="inlineStr">
        <is>
          <t>EN AT</t>
        </is>
      </c>
      <c r="M12" s="36" t="inlineStr">
        <is>
          <t>Ofertas enviadas a AT el 12/06 – inicio proceso licitatorio</t>
        </is>
      </c>
    </row>
    <row r="13" ht="30" customHeight="1">
      <c r="B13" s="24" t="inlineStr">
        <is>
          <t>EL</t>
        </is>
      </c>
      <c r="C13" s="25" t="inlineStr">
        <is>
          <t>MONTO</t>
        </is>
      </c>
      <c r="D13" s="26" t="inlineStr">
        <is>
          <t>Cables Eléctricos</t>
        </is>
      </c>
      <c r="E13" s="27" t="inlineStr">
        <is>
          <t>11/06/26</t>
        </is>
      </c>
      <c r="F13" s="27" t="inlineStr">
        <is>
          <t>—</t>
        </is>
      </c>
      <c r="G13" s="27" t="inlineStr">
        <is>
          <t>—</t>
        </is>
      </c>
      <c r="H13" s="27" t="inlineStr">
        <is>
          <t>—</t>
        </is>
      </c>
      <c r="I13" s="27" t="inlineStr">
        <is>
          <t>—</t>
        </is>
      </c>
      <c r="J13" s="27" t="inlineStr">
        <is>
          <t>18/11/26</t>
        </is>
      </c>
      <c r="K13" s="15" t="inlineStr">
        <is>
          <t>1 *</t>
        </is>
      </c>
      <c r="L13" s="37" t="inlineStr">
        <is>
          <t>EN GESTIÓN</t>
        </is>
      </c>
      <c r="M13" s="31" t="inlineStr">
        <is>
          <t>RI emitida 11/06/26 – sin SOLPED aún</t>
        </is>
      </c>
    </row>
    <row r="15" ht="16" customHeight="1">
      <c r="B15" s="38" t="inlineStr">
        <is>
          <t>(*) Para ítems sin OC, el valor es la cantidad de días transcurridos desde la RI hasta el corte (12/06/26), sin orden de compra colocada todavía.</t>
        </is>
      </c>
    </row>
    <row r="17" ht="20" customHeight="1">
      <c r="B17" s="39" t="inlineStr">
        <is>
          <t>TIEMPO RI → OC POR ÍTEM (días)</t>
        </is>
      </c>
    </row>
    <row r="18">
      <c r="B18" s="40" t="inlineStr">
        <is>
          <t>Ítem</t>
        </is>
      </c>
      <c r="C18" s="40" t="inlineStr">
        <is>
          <t>Días RI→OC / transcurridos</t>
        </is>
      </c>
    </row>
    <row r="19">
      <c r="B19" s="41" t="inlineStr">
        <is>
          <t>EL · Shelter Eléctrico SE#4 c/e…</t>
        </is>
      </c>
      <c r="C19" s="42" t="n">
        <v>129</v>
      </c>
    </row>
    <row r="20">
      <c r="B20" s="41" t="inlineStr">
        <is>
          <t>EL · Shelter Eléctrico SE#3 c/e…</t>
        </is>
      </c>
      <c r="C20" s="42" t="n">
        <v>129</v>
      </c>
    </row>
    <row r="21">
      <c r="B21" s="41" t="inlineStr">
        <is>
          <t>EL · Sistema PMS (Power Managem…</t>
        </is>
      </c>
      <c r="C21" s="42" t="n">
        <v>133</v>
      </c>
    </row>
    <row r="22">
      <c r="B22" s="41" t="inlineStr">
        <is>
          <t>IN · Sistema de Control PCS</t>
        </is>
      </c>
      <c r="C22" s="42" t="n">
        <v>129</v>
      </c>
    </row>
    <row r="23">
      <c r="B23" s="41" t="inlineStr">
        <is>
          <t>IN · Sistema de Seguridad SIS</t>
        </is>
      </c>
      <c r="C23" s="42" t="n">
        <v>129</v>
      </c>
    </row>
    <row r="24">
      <c r="B24" s="41" t="inlineStr">
        <is>
          <t>IN · Válvulas de Control y Auto…</t>
        </is>
      </c>
      <c r="C24" s="42" t="n">
        <v>50</v>
      </c>
    </row>
    <row r="25">
      <c r="B25" s="41" t="inlineStr">
        <is>
          <t>IN · Cables de Instrumentación</t>
        </is>
      </c>
      <c r="C25" s="42" t="n">
        <v>28</v>
      </c>
    </row>
    <row r="26">
      <c r="B26" s="41" t="inlineStr">
        <is>
          <t>EL · Cables Eléctricos</t>
        </is>
      </c>
      <c r="C26" s="42" t="n">
        <v>1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3" t="inlineStr">
        <is>
          <t>¿DÓNDE SE CONCENTRA LA DEMORA DEL CIRCUITO?</t>
        </is>
      </c>
    </row>
    <row r="3" ht="22" customHeight="1">
      <c r="B3" s="23" t="inlineStr">
        <is>
          <t>Descomposición del tiempo RI → OC en los 3 paquetes ya adjudicados (ABB) – cadena completa de 129 días</t>
        </is>
      </c>
    </row>
    <row r="5" ht="20" customHeight="1">
      <c r="B5" s="44" t="inlineStr">
        <is>
          <t>Tramo del circuito</t>
        </is>
      </c>
      <c r="C5" s="44" t="inlineStr">
        <is>
          <t>Días</t>
        </is>
      </c>
      <c r="D5" s="44" t="inlineStr">
        <is>
          <t>% del total</t>
        </is>
      </c>
      <c r="E5" s="44" t="inlineStr">
        <is>
          <t>Lectura</t>
        </is>
      </c>
    </row>
    <row r="6" ht="26" customHeight="1">
      <c r="B6" s="45" t="inlineStr">
        <is>
          <t>RI → SOLPED</t>
        </is>
      </c>
      <c r="C6" s="46" t="n">
        <v>12</v>
      </c>
      <c r="D6" s="47" t="n">
        <v>0.09302325581395349</v>
      </c>
      <c r="E6" s="48" t="inlineStr">
        <is>
          <t>Ágil – generación de solicitud de pedido en SAP.</t>
        </is>
      </c>
    </row>
    <row r="7" ht="26" customHeight="1">
      <c r="B7" s="45" t="inlineStr">
        <is>
          <t>SOLPED → Rec.Of.</t>
        </is>
      </c>
      <c r="C7" s="46" t="n">
        <v>19</v>
      </c>
      <c r="D7" s="47" t="n">
        <v>0.1472868217054264</v>
      </c>
      <c r="E7" s="48" t="inlineStr">
        <is>
          <t>Normal – tiempo de mercado para recibir ofertas.</t>
        </is>
      </c>
    </row>
    <row r="8" ht="26" customHeight="1">
      <c r="B8" s="45" t="inlineStr">
        <is>
          <t>Rec.Of. → AT cierre</t>
        </is>
      </c>
      <c r="C8" s="46" t="n">
        <v>32</v>
      </c>
      <c r="D8" s="47" t="n">
        <v>0.248062015503876</v>
      </c>
      <c r="E8" s="48" t="inlineStr">
        <is>
          <t>Análisis técnico; aceptable para equipos complejos.</t>
        </is>
      </c>
    </row>
    <row r="9" ht="26" customHeight="1">
      <c r="B9" s="49" t="inlineStr">
        <is>
          <t>AT cierre → OC</t>
        </is>
      </c>
      <c r="C9" s="18" t="n">
        <v>66</v>
      </c>
      <c r="D9" s="50" t="n">
        <v>0.5116279069767442</v>
      </c>
      <c r="E9" s="51" t="inlineStr">
        <is>
          <t>CRÍTICO – el tramo más largo. Gestión comercial/aprobaciones post-AT.</t>
        </is>
      </c>
    </row>
    <row r="10">
      <c r="B10" s="52" t="inlineStr">
        <is>
          <t>TOTAL RI → OC</t>
        </is>
      </c>
      <c r="C10" s="53" t="n">
        <v>129</v>
      </c>
      <c r="D10" s="54" t="n">
        <v>1</v>
      </c>
      <c r="E10" s="55" t="inlineStr">
        <is>
          <t>≈ 4,3 meses entre RI y OC</t>
        </is>
      </c>
    </row>
    <row r="28" ht="20" customHeight="1">
      <c r="B28" s="39" t="inlineStr">
        <is>
          <t>METODOLOGÍA Y FUENTES DE DATOS</t>
        </is>
      </c>
    </row>
    <row r="29" ht="28" customHeight="1">
      <c r="B29" s="56" t="inlineStr">
        <is>
          <t>Fuente</t>
        </is>
      </c>
      <c r="C29" s="57" t="inlineStr">
        <is>
          <t>Plan de Suministros – La Calera II (120626).xlsx</t>
        </is>
      </c>
    </row>
    <row r="30" ht="28" customHeight="1">
      <c r="B30" s="56" t="inlineStr">
        <is>
          <t>Hojas usadas</t>
        </is>
      </c>
      <c r="C30" s="57" t="inlineStr">
        <is>
          <t>Cuadro resumen (pipeline) · Suministros críticos (cadena por ítem) · RI y OC x mes.</t>
        </is>
      </c>
    </row>
    <row r="31" ht="28" customHeight="1">
      <c r="B31" s="56" t="inlineStr">
        <is>
          <t>Fecha de corte</t>
        </is>
      </c>
      <c r="C31" s="57" t="inlineStr">
        <is>
          <t>12/06/2026</t>
        </is>
      </c>
    </row>
    <row r="32" ht="28" customHeight="1">
      <c r="B32" s="56" t="inlineStr">
        <is>
          <t>Universo</t>
        </is>
      </c>
      <c r="C32" s="57" t="inlineStr">
        <is>
          <t>IN: 48 RIs · EL: 20 RIs (total 68). Cadena RI→OC detallada disponible para los 8 ítems críticos.</t>
        </is>
      </c>
    </row>
    <row r="33" ht="28" customHeight="1">
      <c r="B33" s="56" t="inlineStr">
        <is>
          <t>Definición OC efectiva</t>
        </is>
      </c>
      <c r="C33" s="57" t="inlineStr">
        <is>
          <t>Para paquetes adjudicados sin fecha formal de OC, se usa la fecha KOM como hito de OC efectiva.</t>
        </is>
      </c>
    </row>
    <row r="34" ht="28" customHeight="1">
      <c r="B34" s="56" t="inlineStr">
        <is>
          <t>Días en gestión</t>
        </is>
      </c>
      <c r="C34" s="57" t="inlineStr">
        <is>
          <t>Para ítems sin OC: días entre RI y fecha de corte (proceso aún abierto).</t>
        </is>
      </c>
    </row>
    <row r="35" ht="28" customHeight="1">
      <c r="B35" s="56" t="inlineStr">
        <is>
          <t>Limitación</t>
        </is>
      </c>
      <c r="C35" s="57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2026-06-12T11:57:55Z</dcterms:created>
  <dcterms:modified xsi:type="dcterms:W3CDTF">2026-06-12T11:57:55Z</dcterms:modified>
</cp:coreProperties>
</file>