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1F3864"/>
      <sz val="10"/>
    </font>
    <font>
      <name val="Calibri"/>
      <color rgb="00404040"/>
      <sz val="10"/>
    </font>
    <font>
      <name val="Calibri"/>
      <b val="1"/>
      <color rgb="00548235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4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170726 (Rev6)   ·   Corte: 17/07/2026   ·   Evolución 3 semanas (26/06→17/07)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67</v>
      </c>
      <c r="E6" s="8" t="n">
        <v>15</v>
      </c>
      <c r="H6" s="9" t="n">
        <v>59</v>
      </c>
      <c r="K6" s="10" t="n">
        <v>8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15</v>
      </c>
      <c r="E12" s="14" t="n">
        <v>0</v>
      </c>
      <c r="F12" s="14" t="n">
        <v>2</v>
      </c>
      <c r="G12" s="14" t="n">
        <v>5</v>
      </c>
      <c r="H12" s="15" t="n">
        <v>8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44</v>
      </c>
      <c r="E13" s="17" t="n">
        <v>0</v>
      </c>
      <c r="F13" s="17" t="n">
        <v>4</v>
      </c>
      <c r="G13" s="18" t="n">
        <v>33</v>
      </c>
      <c r="H13" s="15" t="n">
        <v>7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BALANCE 3 SEMANAS (26/06 → 17/07): +4 OCs colocadas IN+EL (11 → 15)
Avance sostenido del circuito de compras en las ultimas 3 semanas. OCs IN+EL: 11 → 15 (+4): Instrumentacion 5 → 7 (+2) y Electricidad 6 → 8 (+2). SOLPED en proceso: 5 → 0 (todas avanzaron). En Analisis Tecnico: 36 → 38 (+2). El grueso del movimiento ocurrio en la semana del 10/07.</t>
        </is>
      </c>
    </row>
    <row r="36" ht="46" customHeight="1">
      <c r="B36" s="19" t="inlineStr">
        <is>
          <t>[+]</t>
        </is>
      </c>
      <c r="C36" s="20" t="inlineStr">
        <is>
          <t>RESUELTO – SIS: OC EMITIDA (4509010341) el 03/07 – 150 d RI→OC
El item mas critico de la revision anterior (SIS, NecOC 21/06 vencida) quedo RESUELTO: se emitio la OC 4509010341 a HIMA el 03/07 (150 d RI→OC). Se gestiona SBL y KOM; el proveedor aun no acepto formalmente la OC (seguimiento). PCS (Inauco): OC por materiales en proceso de emision; servicios aun en discusion con PP. NecOC 19/08 (33 d).</t>
        </is>
      </c>
    </row>
    <row r="37" ht="46" customHeight="1">
      <c r="B37" s="19" t="inlineStr">
        <is>
          <t>[!]</t>
        </is>
      </c>
      <c r="C37" s="20" t="inlineStr">
        <is>
          <t>ESTANCADO – VÁLVULAS DE CONTROL: sin avance en 3 semanas (85 d sin OC)
Unico critico sin movimiento en todo el periodo. Sigue EN AT desde 22/05, aguardando respuesta de ING por cambios de proceso en especificaciones. NecOC 26/07 (solo 9 dias restantes). ES AHORA EL MAYOR RIESGO. Accion: escalar a gerencia de proyecto e ingenieria para destrabar el AT esta semana.</t>
        </is>
      </c>
    </row>
    <row r="38" ht="46" customHeight="1">
      <c r="B38" s="19" t="inlineStr">
        <is>
          <t>[i]</t>
        </is>
      </c>
      <c r="C38" s="20" t="inlineStr">
        <is>
          <t>CABLES – avanzando hacia compra: IN ofertas recibidas 23/06 · EL apertura 20/07
Cables Instrumentacion: ofertas recibidas 23/06, en AT (63 d desde RI, NecOC 21/10). Cables Electricos: 2 SOLPED liberadas, apertura de ofertas prevista 20/07 (36 d desde RI, NecOC 18/11). Shelters SE#3/SE#4 (ABB): en fabricacion – Certif. n°1 emitido, Certif. 2 en proceso. Obra requiere cables dic-26.</t>
        </is>
      </c>
    </row>
    <row r="40" ht="22" customHeight="1">
      <c r="B40" s="11" t="inlineStr">
        <is>
          <t>EVOLUCIÓN 3 SEMANAS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26/06</t>
        </is>
      </c>
      <c r="D41" s="12" t="inlineStr">
        <is>
          <t>03/07</t>
        </is>
      </c>
      <c r="E41" s="12" t="inlineStr">
        <is>
          <t>10/07</t>
        </is>
      </c>
      <c r="F41" s="12" t="inlineStr">
        <is>
          <t>17/07</t>
        </is>
      </c>
      <c r="G41" s="12" t="inlineStr">
        <is>
          <t>Δ 3 sem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2</v>
      </c>
      <c r="D43" s="22" t="n">
        <v>2</v>
      </c>
      <c r="E43" s="22" t="n">
        <v>0</v>
      </c>
      <c r="F43" s="22" t="n">
        <v>0</v>
      </c>
      <c r="G43" s="23" t="inlineStr">
        <is>
          <t>-2</t>
        </is>
      </c>
    </row>
    <row r="44" ht="17" customHeight="1">
      <c r="B44" s="21" t="inlineStr">
        <is>
          <t>En Petición Ofertas</t>
        </is>
      </c>
      <c r="C44" s="22" t="n">
        <v>2</v>
      </c>
      <c r="D44" s="22" t="n">
        <v>2</v>
      </c>
      <c r="E44" s="22" t="n">
        <v>2</v>
      </c>
      <c r="F44" s="22" t="n">
        <v>2</v>
      </c>
      <c r="G44" s="24" t="inlineStr">
        <is>
          <t>=</t>
        </is>
      </c>
    </row>
    <row r="45" ht="17" customHeight="1">
      <c r="B45" s="21" t="inlineStr">
        <is>
          <t>En AT</t>
        </is>
      </c>
      <c r="C45" s="22" t="n">
        <v>5</v>
      </c>
      <c r="D45" s="22" t="n">
        <v>5</v>
      </c>
      <c r="E45" s="22" t="n">
        <v>5</v>
      </c>
      <c r="F45" s="22" t="n">
        <v>5</v>
      </c>
      <c r="G45" s="24" t="inlineStr">
        <is>
          <t>=</t>
        </is>
      </c>
    </row>
    <row r="46" ht="17" customHeight="1">
      <c r="B46" s="21" t="inlineStr">
        <is>
          <t>Con OC</t>
        </is>
      </c>
      <c r="C46" s="22" t="n">
        <v>6</v>
      </c>
      <c r="D46" s="22" t="n">
        <v>6</v>
      </c>
      <c r="E46" s="22" t="n">
        <v>8</v>
      </c>
      <c r="F46" s="22" t="n">
        <v>8</v>
      </c>
      <c r="G46" s="25" t="inlineStr">
        <is>
          <t>+2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4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3</v>
      </c>
      <c r="D49" s="22" t="n">
        <v>3</v>
      </c>
      <c r="E49" s="22" t="n">
        <v>0</v>
      </c>
      <c r="F49" s="22" t="n">
        <v>0</v>
      </c>
      <c r="G49" s="23" t="inlineStr">
        <is>
          <t>-3</t>
        </is>
      </c>
    </row>
    <row r="50" ht="17" customHeight="1">
      <c r="B50" s="26" t="inlineStr">
        <is>
          <t>En Petición Ofertas</t>
        </is>
      </c>
      <c r="C50" s="22" t="n">
        <v>4</v>
      </c>
      <c r="D50" s="22" t="n">
        <v>4</v>
      </c>
      <c r="E50" s="22" t="n">
        <v>4</v>
      </c>
      <c r="F50" s="22" t="n">
        <v>4</v>
      </c>
      <c r="G50" s="24" t="inlineStr">
        <is>
          <t>=</t>
        </is>
      </c>
    </row>
    <row r="51" ht="17" customHeight="1">
      <c r="B51" s="26" t="inlineStr">
        <is>
          <t>En AT</t>
        </is>
      </c>
      <c r="C51" s="22" t="n">
        <v>31</v>
      </c>
      <c r="D51" s="22" t="n">
        <v>31</v>
      </c>
      <c r="E51" s="22" t="n">
        <v>33</v>
      </c>
      <c r="F51" s="22" t="n">
        <v>33</v>
      </c>
      <c r="G51" s="25" t="inlineStr">
        <is>
          <t>+2</t>
        </is>
      </c>
    </row>
    <row r="52" ht="17" customHeight="1">
      <c r="B52" s="26" t="inlineStr">
        <is>
          <t>Con OC</t>
        </is>
      </c>
      <c r="C52" s="22" t="n">
        <v>5</v>
      </c>
      <c r="D52" s="22" t="n">
        <v>5</v>
      </c>
      <c r="E52" s="22" t="n">
        <v>7</v>
      </c>
      <c r="F52" s="22" t="n">
        <v>7</v>
      </c>
      <c r="G52" s="25" t="inlineStr">
        <is>
          <t>+2</t>
        </is>
      </c>
    </row>
    <row r="53" ht="17" customHeight="1">
      <c r="B53" s="26" t="inlineStr">
        <is>
          <t>En gestión (emitidas)</t>
        </is>
      </c>
      <c r="C53" s="22" t="n">
        <v>43</v>
      </c>
      <c r="D53" s="22" t="n">
        <v>43</v>
      </c>
      <c r="E53" s="22" t="n">
        <v>44</v>
      </c>
      <c r="F53" s="22" t="n">
        <v>44</v>
      </c>
      <c r="G53" s="25" t="inlineStr">
        <is>
          <t>+1</t>
        </is>
      </c>
    </row>
    <row r="55" ht="34" customHeight="1">
      <c r="B55" s="27" t="inlineStr">
        <is>
          <t>SOLPED en las 3 semanas (IN+EL)</t>
        </is>
      </c>
      <c r="D55" s="20" t="inlineStr">
        <is>
          <t>5 → 0: las 5 SOLPED en proceso se liberaron/avanzaron; quedan 0 en trámite. Cables EL: 2 SOLPED liberadas (apertura 20/07).</t>
        </is>
      </c>
    </row>
    <row r="56" ht="34" customHeight="1">
      <c r="B56" s="27" t="inlineStr">
        <is>
          <t>Órdenes de compra NUEVAS (IN+EL)</t>
        </is>
      </c>
      <c r="D56" s="20" t="inlineStr">
        <is>
          <t>11 → 15: +4 OCs en 3 semanas (IN 5→7, EL 6→8). Destacada: SIS OC 4509010341 (crítico resuelto). Total OCs colocadas IN+EL: 15.</t>
        </is>
      </c>
    </row>
    <row r="57" ht="34" customHeight="1">
      <c r="B57" s="27" t="inlineStr">
        <is>
          <t>Ofertas para seguir la compra</t>
        </is>
      </c>
      <c r="D57" s="20" t="inlineStr">
        <is>
          <t>En petición de ofertas: EL 2 · IN 4 = 6 ítems. Ofertas recibidas y en AT: Cables IN (23/06). Próxima apertura: Cables EL 20/07. En AT: 36 → 38 (+2).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Fabricación: Certif. n°1 emitido, Certif. 2 en proceso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 – 129 d RI→OC. Fabricación: Certif. n°1 emitido, Certif. 2 en proceso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ajustada. NecEnt: 02/06/27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Seguridad SIS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11/03/26</t>
        </is>
      </c>
      <c r="H9" s="22" t="inlineStr">
        <is>
          <t>05/06/26</t>
        </is>
      </c>
      <c r="I9" s="33" t="inlineStr">
        <is>
          <t>03/07/26</t>
        </is>
      </c>
      <c r="J9" s="22" t="inlineStr">
        <is>
          <t>21/06/26</t>
        </is>
      </c>
      <c r="K9" s="18" t="inlineStr">
        <is>
          <t>150</t>
        </is>
      </c>
      <c r="L9" s="35" t="inlineStr">
        <is>
          <t>OC COLOCADA</t>
        </is>
      </c>
      <c r="M9" s="40" t="inlineStr">
        <is>
          <t>OC EMITIDA 4509010341 (03/07) – 150 d RI→OC – resuelve el crítico NecOC 21/06. Se gestiona SBL y KOM; proveedor aún no aceptó la OC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Control PCS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25/03/26</t>
        </is>
      </c>
      <c r="H10" s="22" t="inlineStr">
        <is>
          <t>05/06/26</t>
        </is>
      </c>
      <c r="I10" s="22" t="inlineStr">
        <is>
          <t>—</t>
        </is>
      </c>
      <c r="J10" s="22" t="inlineStr">
        <is>
          <t>19/08/26</t>
        </is>
      </c>
      <c r="K10" s="18" t="inlineStr">
        <is>
          <t>164 *</t>
        </is>
      </c>
      <c r="L10" s="41" t="inlineStr">
        <is>
          <t>EN AT</t>
        </is>
      </c>
      <c r="M10" s="40" t="inlineStr">
        <is>
          <t>AT cerrado 05/06. OC por MATERIALES en proceso de emisión; servicios en discusión con PP. Sin OC formal aún. 164 d desde RI. NecOC 19/08 (33 d)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15" t="inlineStr">
        <is>
          <t>85 *</t>
        </is>
      </c>
      <c r="L11" s="41" t="inlineStr">
        <is>
          <t>EN AT</t>
        </is>
      </c>
      <c r="M11" s="40" t="inlineStr">
        <is>
          <t>EN AT desde 22/5 – SIN AVANCE en las 3 semanas. Rta ING pendiente. 85 d sin OC. NecOC 26/07 (9 d): RIESGO ALTO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—</t>
        </is>
      </c>
      <c r="I12" s="22" t="inlineStr">
        <is>
          <t>—</t>
        </is>
      </c>
      <c r="J12" s="22" t="inlineStr">
        <is>
          <t>21/10/26</t>
        </is>
      </c>
      <c r="K12" s="15" t="inlineStr">
        <is>
          <t>63 *</t>
        </is>
      </c>
      <c r="L12" s="41" t="inlineStr">
        <is>
          <t>EN AT</t>
        </is>
      </c>
      <c r="M12" s="40" t="inlineStr">
        <is>
          <t>SOLPEDs liberadas 30/05 – ofertas recibidas 23/06, en AT. 63 d desde RI. NecOC: 21/10/26. Obra requiere cables dic-26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—</t>
        </is>
      </c>
      <c r="H13" s="22" t="inlineStr">
        <is>
          <t>—</t>
        </is>
      </c>
      <c r="I13" s="22" t="inlineStr">
        <is>
          <t>—</t>
        </is>
      </c>
      <c r="J13" s="22" t="inlineStr">
        <is>
          <t>18/11/26</t>
        </is>
      </c>
      <c r="K13" s="15" t="inlineStr">
        <is>
          <t>36 *</t>
        </is>
      </c>
      <c r="L13" s="42" t="inlineStr">
        <is>
          <t>EN GESTIÓN</t>
        </is>
      </c>
      <c r="M13" s="36" t="inlineStr">
        <is>
          <t>2 SOLPED liberadas – apertura de ofertas prevista 20/07. 36 d desde RI. NecOC: 18/11/26. Obra requiere cables dic-26</t>
        </is>
      </c>
    </row>
    <row r="15" ht="16" customHeight="1">
      <c r="B15" s="43" t="inlineStr">
        <is>
          <t>(*) Para ítems sin OC, el valor es la cantidad de días transcurridos desde la RI hasta el corte (26/06/26), sin orden de compra colocada todavía.</t>
        </is>
      </c>
    </row>
    <row r="17" ht="20" customHeight="1">
      <c r="B17" s="44" t="inlineStr">
        <is>
          <t>TIEMPO RI → OC POR ÍTEM (días)</t>
        </is>
      </c>
    </row>
    <row r="18">
      <c r="B18" s="45" t="inlineStr">
        <is>
          <t>Ítem</t>
        </is>
      </c>
      <c r="C18" s="45" t="inlineStr">
        <is>
          <t>Días RI→OC / transcurridos</t>
        </is>
      </c>
    </row>
    <row r="19">
      <c r="B19" s="46" t="inlineStr">
        <is>
          <t>EL · Shelter Eléctrico SE#4 c/e…</t>
        </is>
      </c>
      <c r="C19" s="47" t="n">
        <v>129</v>
      </c>
    </row>
    <row r="20">
      <c r="B20" s="46" t="inlineStr">
        <is>
          <t>EL · Shelter Eléctrico SE#3 c/e…</t>
        </is>
      </c>
      <c r="C20" s="47" t="n">
        <v>129</v>
      </c>
    </row>
    <row r="21">
      <c r="B21" s="46" t="inlineStr">
        <is>
          <t>EL · Sistema PMS (Power Managem…</t>
        </is>
      </c>
      <c r="C21" s="47" t="n">
        <v>133</v>
      </c>
    </row>
    <row r="22">
      <c r="B22" s="46" t="inlineStr">
        <is>
          <t>IN · Sistema de Seguridad SIS</t>
        </is>
      </c>
      <c r="C22" s="47" t="n">
        <v>150</v>
      </c>
    </row>
    <row r="23">
      <c r="B23" s="46" t="inlineStr">
        <is>
          <t>IN · Sistema de Control PCS</t>
        </is>
      </c>
      <c r="C23" s="47" t="n">
        <v>164</v>
      </c>
    </row>
    <row r="24">
      <c r="B24" s="46" t="inlineStr">
        <is>
          <t>IN · Válvulas de Control y Auto…</t>
        </is>
      </c>
      <c r="C24" s="47" t="n">
        <v>85</v>
      </c>
    </row>
    <row r="25">
      <c r="B25" s="46" t="inlineStr">
        <is>
          <t>IN · Cables de Instrumentación</t>
        </is>
      </c>
      <c r="C25" s="47" t="n">
        <v>63</v>
      </c>
    </row>
    <row r="26">
      <c r="B26" s="46" t="inlineStr">
        <is>
          <t>EL · Cables Eléctricos</t>
        </is>
      </c>
      <c r="C26" s="47" t="n">
        <v>36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8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9" t="inlineStr">
        <is>
          <t>Tramo del circuito</t>
        </is>
      </c>
      <c r="C5" s="49" t="inlineStr">
        <is>
          <t>Días</t>
        </is>
      </c>
      <c r="D5" s="49" t="inlineStr">
        <is>
          <t>% del total</t>
        </is>
      </c>
      <c r="E5" s="49" t="inlineStr">
        <is>
          <t>Lectura</t>
        </is>
      </c>
    </row>
    <row r="6" ht="26" customHeight="1">
      <c r="B6" s="50" t="inlineStr">
        <is>
          <t>RI → SOLPED</t>
        </is>
      </c>
      <c r="C6" s="51" t="n">
        <v>12</v>
      </c>
      <c r="D6" s="52" t="n">
        <v>0.09302325581395349</v>
      </c>
      <c r="E6" s="53" t="inlineStr">
        <is>
          <t>Ágil – generación de solicitud de pedido en SAP.</t>
        </is>
      </c>
    </row>
    <row r="7" ht="26" customHeight="1">
      <c r="B7" s="50" t="inlineStr">
        <is>
          <t>SOLPED → Rec.Of.</t>
        </is>
      </c>
      <c r="C7" s="51" t="n">
        <v>19</v>
      </c>
      <c r="D7" s="52" t="n">
        <v>0.1472868217054264</v>
      </c>
      <c r="E7" s="53" t="inlineStr">
        <is>
          <t>Normal – tiempo de mercado para recibir ofertas.</t>
        </is>
      </c>
    </row>
    <row r="8" ht="26" customHeight="1">
      <c r="B8" s="50" t="inlineStr">
        <is>
          <t>Rec.Of. → AT cierre</t>
        </is>
      </c>
      <c r="C8" s="51" t="n">
        <v>32</v>
      </c>
      <c r="D8" s="52" t="n">
        <v>0.248062015503876</v>
      </c>
      <c r="E8" s="53" t="inlineStr">
        <is>
          <t>Análisis técnico; aceptable para equipos complejos.</t>
        </is>
      </c>
    </row>
    <row r="9" ht="26" customHeight="1">
      <c r="B9" s="54" t="inlineStr">
        <is>
          <t>AT cierre → OC</t>
        </is>
      </c>
      <c r="C9" s="18" t="n">
        <v>66</v>
      </c>
      <c r="D9" s="55" t="n">
        <v>0.5116279069767442</v>
      </c>
      <c r="E9" s="56" t="inlineStr">
        <is>
          <t>CRÍTICO – el tramo más largo. Gestión comercial/aprobaciones post-AT.</t>
        </is>
      </c>
    </row>
    <row r="10">
      <c r="B10" s="57" t="inlineStr">
        <is>
          <t>TOTAL RI → OC</t>
        </is>
      </c>
      <c r="C10" s="58" t="n">
        <v>129</v>
      </c>
      <c r="D10" s="59" t="n">
        <v>1</v>
      </c>
      <c r="E10" s="60" t="inlineStr">
        <is>
          <t>≈ 4,3 meses entre RI y OC</t>
        </is>
      </c>
    </row>
    <row r="28" ht="20" customHeight="1">
      <c r="B28" s="44" t="inlineStr">
        <is>
          <t>METODOLOGÍA Y FUENTES DE DATOS</t>
        </is>
      </c>
    </row>
    <row r="29" ht="28" customHeight="1">
      <c r="B29" s="61" t="inlineStr">
        <is>
          <t>Fuente</t>
        </is>
      </c>
      <c r="C29" s="62" t="inlineStr">
        <is>
          <t>Plan de Suministros – La Calera II (170726).xlsx · Rev6</t>
        </is>
      </c>
    </row>
    <row r="30" ht="28" customHeight="1">
      <c r="B30" s="61" t="inlineStr">
        <is>
          <t>Hojas usadas</t>
        </is>
      </c>
      <c r="C30" s="62" t="inlineStr">
        <is>
          <t>Cuadro resumen (pipeline) · Suministros críticos (cadena por ítem) · RI y OC x mes.</t>
        </is>
      </c>
    </row>
    <row r="31" ht="28" customHeight="1">
      <c r="B31" s="61" t="inlineStr">
        <is>
          <t>Fecha de corte</t>
        </is>
      </c>
      <c r="C31" s="62" t="inlineStr">
        <is>
          <t>17/07/2026 (evolución 3 semanas: 26/06 · 03/07 · 10/07 · 17/07)</t>
        </is>
      </c>
    </row>
    <row r="32" ht="28" customHeight="1">
      <c r="B32" s="61" t="inlineStr">
        <is>
          <t>Universo</t>
        </is>
      </c>
      <c r="C32" s="62" t="inlineStr">
        <is>
          <t>IN: 48 RIs · EL: 20 RIs (total 68). Cadena RI→OC detallada disponible para los 8 ítems críticos.</t>
        </is>
      </c>
    </row>
    <row r="33" ht="28" customHeight="1">
      <c r="B33" s="61" t="inlineStr">
        <is>
          <t>Definición OC efectiva</t>
        </is>
      </c>
      <c r="C33" s="62" t="inlineStr">
        <is>
          <t>Para paquetes adjudicados sin fecha formal de OC, se usa la fecha KOM como hito de OC efectiva.</t>
        </is>
      </c>
    </row>
    <row r="34" ht="28" customHeight="1">
      <c r="B34" s="61" t="inlineStr">
        <is>
          <t>Días en gestión</t>
        </is>
      </c>
      <c r="C34" s="62" t="inlineStr">
        <is>
          <t>Para ítems sin OC: días entre RI y fecha de corte (proceso aún abierto).</t>
        </is>
      </c>
    </row>
    <row r="35" ht="28" customHeight="1">
      <c r="B35" s="61" t="inlineStr">
        <is>
          <t>Limitación</t>
        </is>
      </c>
      <c r="C35" s="62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2026-07-17T12:27:39Z</dcterms:created>
  <dcterms:modified xsi:type="dcterms:W3CDTF">2026-07-17T12:27:39Z</dcterms:modified>
</cp:coreProperties>
</file>