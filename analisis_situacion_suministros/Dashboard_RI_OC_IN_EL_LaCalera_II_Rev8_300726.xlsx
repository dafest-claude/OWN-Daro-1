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b val="1"/>
      <color rgb="001F3864"/>
      <sz val="10"/>
    </font>
    <font>
      <name val="Calibri"/>
      <b val="1"/>
      <color rgb="00548235"/>
      <sz val="10"/>
    </font>
    <font>
      <name val="Calibri"/>
      <color rgb="00404040"/>
      <sz val="10"/>
    </font>
    <font>
      <name val="Calibri"/>
      <b val="1"/>
      <color rgb="001F3864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548235"/>
      <sz val="9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b val="1"/>
      <color rgb="0040404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12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20" fillId="9" borderId="2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23" fillId="10" borderId="2" applyAlignment="1" pivotButton="0" quotePrefix="0" xfId="0">
      <alignment horizontal="left" vertical="center" wrapText="1"/>
    </xf>
    <xf numFmtId="0" fontId="22" fillId="17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center" vertical="center"/>
    </xf>
    <xf numFmtId="0" fontId="25" fillId="12" borderId="0" pivotButton="0" quotePrefix="0" xfId="0"/>
    <xf numFmtId="0" fontId="2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9" fontId="15" fillId="14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28" fillId="11" borderId="2" applyAlignment="1" pivotButton="0" quotePrefix="0" xfId="0">
      <alignment horizontal="left" vertical="center"/>
    </xf>
    <xf numFmtId="9" fontId="28" fillId="11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4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RI→OC'!$B$19:$B$26</f>
            </numRef>
          </cat>
          <val>
            <numRef>
              <f>'ANÁLISIS RI→OC'!$C$19:$C$26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57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300726 (Rev8)   ·   Corte: 30/07/2026   ·   Evolución (03/07→30/07)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68</v>
      </c>
      <c r="E6" s="8" t="n">
        <v>18</v>
      </c>
      <c r="H6" s="9" t="n">
        <v>60</v>
      </c>
      <c r="K6" s="10" t="n">
        <v>8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19</v>
      </c>
      <c r="D12" s="14" t="n">
        <v>15</v>
      </c>
      <c r="E12" s="14" t="n">
        <v>0</v>
      </c>
      <c r="F12" s="14" t="n">
        <v>3</v>
      </c>
      <c r="G12" s="14" t="n">
        <v>4</v>
      </c>
      <c r="H12" s="15" t="n">
        <v>8</v>
      </c>
    </row>
    <row r="13" ht="22" customHeight="1">
      <c r="B13" s="16" t="inlineStr">
        <is>
          <t>INSTRUMENTACIÓN</t>
        </is>
      </c>
      <c r="C13" s="17" t="n">
        <v>49</v>
      </c>
      <c r="D13" s="17" t="n">
        <v>45</v>
      </c>
      <c r="E13" s="17" t="n">
        <v>1</v>
      </c>
      <c r="F13" s="17" t="n">
        <v>4</v>
      </c>
      <c r="G13" s="18" t="n">
        <v>30</v>
      </c>
      <c r="H13" s="15" t="n">
        <v>10</v>
      </c>
    </row>
    <row r="34" ht="22" customHeight="1">
      <c r="B34" s="11" t="inlineStr">
        <is>
          <t>HALLAZGOS CLAVE PARA LA DECISIÓN</t>
        </is>
      </c>
    </row>
    <row r="35" ht="46" customHeight="1">
      <c r="B35" s="19" t="inlineStr">
        <is>
          <t>[+]</t>
        </is>
      </c>
      <c r="C35" s="20" t="inlineStr">
        <is>
          <t>RESUELTO – Shelter SE#3 (ABB): OCA de USD 125k APROBADA
La decision pendiente del corte anterior quedo cerrada: la OCA (orden de cambio) de USD 125.000 del Shelter SE#3 fue APROBADA; resta la emision de la OC modificatoria. El proyecto continua gestiones para reducir el plazo de entrega de la sala. PMS (ABB): OC por cambio de alcance en proceso de emision (incluye estudios en la provision).</t>
        </is>
      </c>
    </row>
    <row r="36" ht="46" customHeight="1">
      <c r="B36" s="19" t="inlineStr">
        <is>
          <t>[!]</t>
        </is>
      </c>
      <c r="C36" s="20" t="inlineStr">
        <is>
          <t>CRÍTICO – VÁLVULAS DE CONTROL: NecOC 26/07 VENCIDA – 98 d sin OC
Sigue EN AT desde 22/05, sin OC. La Necesidad de OC (26/07) YA SE VENCIO al corte 30/07. 98 dias desde la RI. Compromiso del plan: en julio debe salir el AT con las valvulas aprobadas para adjudicar al menos un parcial. ES EL MAYOR RIESGO de compra IN/EL – escalar a ingenieria y proveedores (Emerson / Baker Hughes) de inmediato.</t>
        </is>
      </c>
    </row>
    <row r="37" ht="46" customHeight="1">
      <c r="B37" s="19" t="inlineStr">
        <is>
          <t>[+]</t>
        </is>
      </c>
      <c r="C37" s="20" t="inlineStr">
        <is>
          <t>AVANCE IN: +1 RI emitida (48 → 49) · OCs IN+EL estables en 18
Instrumentacion sumo 1 nueva RI al circuito (48 → 49 RIs; emitidas 44 → 45), ahora en proceso de SOLPED. Las OCs IN+EL se mantienen en 18 (sin nuevas esta semana). AT y peticion de ofertas sin cambios. PCS (Inauco): KOM programada para la primera semana de agosto. SIS: OC emitida – faltan cerrar puntos por PP.</t>
        </is>
      </c>
    </row>
    <row r="38" ht="46" customHeight="1">
      <c r="B38" s="19" t="inlineStr">
        <is>
          <t>[i]</t>
        </is>
      </c>
      <c r="C38" s="20" t="inlineStr">
        <is>
          <t>CABLES en Análisis Técnico
Cables Electricos: ofertas en AT desde el 22/07 (49 d desde RI, NecOC 18/11). Cables Instrumentacion: esta semana saldria el AT + revision de RI con ajuste de cantidades (76 d, NecOC 21/10). Ambos deben estar en obra para diciembre-26.</t>
        </is>
      </c>
    </row>
    <row r="40" ht="22" customHeight="1">
      <c r="B40" s="11" t="inlineStr">
        <is>
          <t>EVOLUCIÓN 03/07 → 30/07 – PIPELINE POR ESPECIALIDAD (Cuadro resumen)</t>
        </is>
      </c>
    </row>
    <row r="41" ht="22" customHeight="1">
      <c r="B41" s="12" t="inlineStr">
        <is>
          <t>Especialidad · Etapa</t>
        </is>
      </c>
      <c r="C41" s="12" t="inlineStr">
        <is>
          <t>03/07</t>
        </is>
      </c>
      <c r="D41" s="12" t="inlineStr">
        <is>
          <t>10/07</t>
        </is>
      </c>
      <c r="E41" s="12" t="inlineStr">
        <is>
          <t>17/07</t>
        </is>
      </c>
      <c r="F41" s="12" t="inlineStr">
        <is>
          <t>24/07</t>
        </is>
      </c>
      <c r="G41" s="12" t="inlineStr">
        <is>
          <t>30/07</t>
        </is>
      </c>
      <c r="H41" s="12" t="inlineStr">
        <is>
          <t>Δ período</t>
        </is>
      </c>
    </row>
    <row r="42" ht="18" customHeight="1">
      <c r="B42" s="13" t="inlineStr">
        <is>
          <t>ELECTRICIDAD</t>
        </is>
      </c>
    </row>
    <row r="43" ht="17" customHeight="1">
      <c r="B43" s="21" t="inlineStr">
        <is>
          <t>En SOLPED</t>
        </is>
      </c>
      <c r="C43" s="22" t="n">
        <v>2</v>
      </c>
      <c r="D43" s="22" t="n">
        <v>0</v>
      </c>
      <c r="E43" s="22" t="n">
        <v>0</v>
      </c>
      <c r="F43" s="22" t="n">
        <v>0</v>
      </c>
      <c r="G43" s="23" t="inlineStr">
        <is>
          <t>-2</t>
        </is>
      </c>
    </row>
    <row r="44" ht="17" customHeight="1">
      <c r="B44" s="21" t="inlineStr">
        <is>
          <t>En Petición Ofertas</t>
        </is>
      </c>
      <c r="C44" s="22" t="n">
        <v>2</v>
      </c>
      <c r="D44" s="22" t="n">
        <v>2</v>
      </c>
      <c r="E44" s="22" t="n">
        <v>2</v>
      </c>
      <c r="F44" s="22" t="n">
        <v>3</v>
      </c>
      <c r="G44" s="24" t="inlineStr">
        <is>
          <t>+1</t>
        </is>
      </c>
    </row>
    <row r="45" ht="17" customHeight="1">
      <c r="B45" s="21" t="inlineStr">
        <is>
          <t>En AT</t>
        </is>
      </c>
      <c r="C45" s="22" t="n">
        <v>5</v>
      </c>
      <c r="D45" s="22" t="n">
        <v>5</v>
      </c>
      <c r="E45" s="22" t="n">
        <v>5</v>
      </c>
      <c r="F45" s="22" t="n">
        <v>4</v>
      </c>
      <c r="G45" s="23" t="inlineStr">
        <is>
          <t>-1</t>
        </is>
      </c>
    </row>
    <row r="46" ht="17" customHeight="1">
      <c r="B46" s="21" t="inlineStr">
        <is>
          <t>Con OC</t>
        </is>
      </c>
      <c r="C46" s="22" t="n">
        <v>6</v>
      </c>
      <c r="D46" s="22" t="n">
        <v>8</v>
      </c>
      <c r="E46" s="22" t="n">
        <v>8</v>
      </c>
      <c r="F46" s="22" t="n">
        <v>8</v>
      </c>
      <c r="G46" s="24" t="inlineStr">
        <is>
          <t>+2</t>
        </is>
      </c>
    </row>
    <row r="47" ht="17" customHeight="1">
      <c r="B47" s="21" t="inlineStr">
        <is>
          <t>En gestión (emitidas)</t>
        </is>
      </c>
      <c r="C47" s="22" t="n">
        <v>15</v>
      </c>
      <c r="D47" s="22" t="n">
        <v>15</v>
      </c>
      <c r="E47" s="22" t="n">
        <v>15</v>
      </c>
      <c r="F47" s="22" t="n">
        <v>15</v>
      </c>
      <c r="G47" s="25" t="inlineStr">
        <is>
          <t>=</t>
        </is>
      </c>
    </row>
    <row r="48" ht="18" customHeight="1">
      <c r="B48" s="16" t="inlineStr">
        <is>
          <t>INSTRUMENTACIÓN</t>
        </is>
      </c>
    </row>
    <row r="49" ht="17" customHeight="1">
      <c r="B49" s="26" t="inlineStr">
        <is>
          <t>En SOLPED</t>
        </is>
      </c>
      <c r="C49" s="22" t="n">
        <v>3</v>
      </c>
      <c r="D49" s="22" t="n">
        <v>0</v>
      </c>
      <c r="E49" s="22" t="n">
        <v>0</v>
      </c>
      <c r="F49" s="22" t="n">
        <v>0</v>
      </c>
      <c r="G49" s="23" t="inlineStr">
        <is>
          <t>-2</t>
        </is>
      </c>
    </row>
    <row r="50" ht="17" customHeight="1">
      <c r="B50" s="26" t="inlineStr">
        <is>
          <t>En Petición Ofertas</t>
        </is>
      </c>
      <c r="C50" s="22" t="n">
        <v>4</v>
      </c>
      <c r="D50" s="22" t="n">
        <v>4</v>
      </c>
      <c r="E50" s="22" t="n">
        <v>4</v>
      </c>
      <c r="F50" s="22" t="n">
        <v>4</v>
      </c>
      <c r="G50" s="25" t="inlineStr">
        <is>
          <t>=</t>
        </is>
      </c>
    </row>
    <row r="51" ht="17" customHeight="1">
      <c r="B51" s="26" t="inlineStr">
        <is>
          <t>En AT</t>
        </is>
      </c>
      <c r="C51" s="22" t="n">
        <v>31</v>
      </c>
      <c r="D51" s="22" t="n">
        <v>33</v>
      </c>
      <c r="E51" s="22" t="n">
        <v>33</v>
      </c>
      <c r="F51" s="22" t="n">
        <v>30</v>
      </c>
      <c r="G51" s="23" t="inlineStr">
        <is>
          <t>-1</t>
        </is>
      </c>
    </row>
    <row r="52" ht="17" customHeight="1">
      <c r="B52" s="26" t="inlineStr">
        <is>
          <t>Con OC</t>
        </is>
      </c>
      <c r="C52" s="22" t="n">
        <v>5</v>
      </c>
      <c r="D52" s="22" t="n">
        <v>7</v>
      </c>
      <c r="E52" s="22" t="n">
        <v>7</v>
      </c>
      <c r="F52" s="22" t="n">
        <v>10</v>
      </c>
      <c r="G52" s="24" t="inlineStr">
        <is>
          <t>+5</t>
        </is>
      </c>
    </row>
    <row r="53" ht="17" customHeight="1">
      <c r="B53" s="26" t="inlineStr">
        <is>
          <t>En gestión (emitidas)</t>
        </is>
      </c>
      <c r="C53" s="22" t="n">
        <v>43</v>
      </c>
      <c r="D53" s="22" t="n">
        <v>44</v>
      </c>
      <c r="E53" s="22" t="n">
        <v>44</v>
      </c>
      <c r="F53" s="22" t="n">
        <v>44</v>
      </c>
      <c r="G53" s="24" t="inlineStr">
        <is>
          <t>+2</t>
        </is>
      </c>
    </row>
    <row r="55" ht="34" customHeight="1">
      <c r="B55" s="27" t="inlineStr">
        <is>
          <t>Última semana (24/07 → 30/07)</t>
        </is>
      </c>
      <c r="D55" s="20" t="inlineStr">
        <is>
          <t>IN sumó +1 RI (48→49, en SOLPED); emitidas 44→45. OCs IN+EL sin cambio (18). Shelter SE#3: OCA USD 125k APROBADA (pendiente emisión OC). Válvulas: NecOC 26/07 VENCIDA.</t>
        </is>
      </c>
    </row>
    <row r="56" ht="34" customHeight="1">
      <c r="B56" s="27" t="inlineStr">
        <is>
          <t>OCs colocadas en el período (IN+EL)</t>
        </is>
      </c>
      <c r="D56" s="20" t="inlineStr">
        <is>
          <t>11 → 18: +7 OCs entre 03/07 y 30/07 (IN 5→10, EL 6→8). Hito: SIS OC 4509010341 emitida (03/07). Total OCs colocadas IN+EL: 18.</t>
        </is>
      </c>
    </row>
    <row r="57" ht="34" customHeight="1">
      <c r="B57" s="27" t="inlineStr">
        <is>
          <t>Ofertas / decisiones pendientes</t>
        </is>
      </c>
      <c r="D57" s="20" t="inlineStr">
        <is>
          <t>En petición de ofertas: EL 3 · IN 4 = 7 ítems. VÁLVULAS: NecOC 26/07 vencida sin OC – RIESGO ALTO. PMS/SE#3: OCs modificatorias en emisión. PCS: KOM 1ª sem. agosto. Cables (IN/EL): en AT.</t>
        </is>
      </c>
    </row>
  </sheetData>
  <mergeCells count="29">
    <mergeCell ref="B2:M2"/>
    <mergeCell ref="B40:H40"/>
    <mergeCell ref="B56:C56"/>
    <mergeCell ref="B36"/>
    <mergeCell ref="K6:M7"/>
    <mergeCell ref="B35"/>
    <mergeCell ref="C36:H36"/>
    <mergeCell ref="D57:H57"/>
    <mergeCell ref="B57:C57"/>
    <mergeCell ref="H6:J7"/>
    <mergeCell ref="C38:H38"/>
    <mergeCell ref="B5:D5"/>
    <mergeCell ref="H5:J5"/>
    <mergeCell ref="C37:H37"/>
    <mergeCell ref="B48:H48"/>
    <mergeCell ref="B42:H42"/>
    <mergeCell ref="D56:H56"/>
    <mergeCell ref="E6:G7"/>
    <mergeCell ref="B55:C55"/>
    <mergeCell ref="B6:D7"/>
    <mergeCell ref="B3:M3"/>
    <mergeCell ref="D55:H55"/>
    <mergeCell ref="E5:G5"/>
    <mergeCell ref="K5:M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8" t="inlineStr">
        <is>
          <t>ANÁLISIS DETALLADO RI → OC  ·  Ítems Críticos IN / EL</t>
        </is>
      </c>
    </row>
    <row r="3" ht="24" customHeight="1">
      <c r="B3" s="29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30" t="inlineStr">
        <is>
          <t>EL</t>
        </is>
      </c>
      <c r="C6" s="31" t="inlineStr">
        <is>
          <t>HITO 2</t>
        </is>
      </c>
      <c r="D6" s="32" t="inlineStr">
        <is>
          <t>Shelter Eléctrico SE#4 c/equipamiento</t>
        </is>
      </c>
      <c r="E6" s="22" t="inlineStr">
        <is>
          <t>09/01/26</t>
        </is>
      </c>
      <c r="F6" s="22" t="inlineStr">
        <is>
          <t>21/01/26</t>
        </is>
      </c>
      <c r="G6" s="22" t="inlineStr">
        <is>
          <t>09/02/26</t>
        </is>
      </c>
      <c r="H6" s="22" t="inlineStr">
        <is>
          <t>13/03/26</t>
        </is>
      </c>
      <c r="I6" s="33" t="inlineStr">
        <is>
          <t>18/05/26</t>
        </is>
      </c>
      <c r="J6" s="22" t="inlineStr">
        <is>
          <t>20/05/26</t>
        </is>
      </c>
      <c r="K6" s="34" t="inlineStr">
        <is>
          <t>129</t>
        </is>
      </c>
      <c r="L6" s="35" t="inlineStr">
        <is>
          <t>OC COLOCADA</t>
        </is>
      </c>
      <c r="M6" s="36" t="inlineStr">
        <is>
          <t>OC COLOCADA – KOM 18/5 – 129 d RI→OC. Fabricación: Certif. n°1 emitido, Certif. 2 en gestión</t>
        </is>
      </c>
    </row>
    <row r="7" ht="30" customHeight="1">
      <c r="B7" s="30" t="inlineStr">
        <is>
          <t>EL</t>
        </is>
      </c>
      <c r="C7" s="31" t="inlineStr">
        <is>
          <t>HITO 2</t>
        </is>
      </c>
      <c r="D7" s="32" t="inlineStr">
        <is>
          <t>Shelter Eléctrico SE#3 c/equipamiento</t>
        </is>
      </c>
      <c r="E7" s="22" t="inlineStr">
        <is>
          <t>09/01/26</t>
        </is>
      </c>
      <c r="F7" s="22" t="inlineStr">
        <is>
          <t>21/01/26</t>
        </is>
      </c>
      <c r="G7" s="22" t="inlineStr">
        <is>
          <t>09/02/26</t>
        </is>
      </c>
      <c r="H7" s="22" t="inlineStr">
        <is>
          <t>13/03/26</t>
        </is>
      </c>
      <c r="I7" s="33" t="inlineStr">
        <is>
          <t>18/05/26</t>
        </is>
      </c>
      <c r="J7" s="22" t="inlineStr">
        <is>
          <t>20/05/26</t>
        </is>
      </c>
      <c r="K7" s="34" t="inlineStr">
        <is>
          <t>129</t>
        </is>
      </c>
      <c r="L7" s="35" t="inlineStr">
        <is>
          <t>OC COLOCADA</t>
        </is>
      </c>
      <c r="M7" s="36" t="inlineStr">
        <is>
          <t>OC COLOCADA – KOM 18/5. OCA de USD 125k APROBADA – pendiente de emisión de OC. Gestiones para reducir plazo de entrega de la sala</t>
        </is>
      </c>
    </row>
    <row r="8" ht="30" customHeight="1">
      <c r="B8" s="30" t="inlineStr">
        <is>
          <t>EL</t>
        </is>
      </c>
      <c r="C8" s="31" t="inlineStr">
        <is>
          <t>LLI</t>
        </is>
      </c>
      <c r="D8" s="32" t="inlineStr">
        <is>
          <t>Sistema PMS (Power Management System)</t>
        </is>
      </c>
      <c r="E8" s="22" t="inlineStr">
        <is>
          <t>09/01/26</t>
        </is>
      </c>
      <c r="F8" s="22" t="inlineStr">
        <is>
          <t>21/01/26</t>
        </is>
      </c>
      <c r="G8" s="22" t="inlineStr">
        <is>
          <t>09/02/26</t>
        </is>
      </c>
      <c r="H8" s="22" t="inlineStr">
        <is>
          <t>13/03/26</t>
        </is>
      </c>
      <c r="I8" s="33" t="inlineStr">
        <is>
          <t>22/05/26</t>
        </is>
      </c>
      <c r="J8" s="22" t="inlineStr">
        <is>
          <t>29/05/26</t>
        </is>
      </c>
      <c r="K8" s="18" t="inlineStr">
        <is>
          <t>133</t>
        </is>
      </c>
      <c r="L8" s="35" t="inlineStr">
        <is>
          <t>OC COLOCADA</t>
        </is>
      </c>
      <c r="M8" s="36" t="inlineStr">
        <is>
          <t>OC COLOCADA – KOM 22/5 – 133 d RI→OC. OC (cambio de alcance) en proceso de emisión, incluye estudios en la provisión</t>
        </is>
      </c>
    </row>
    <row r="9" ht="30" customHeight="1">
      <c r="B9" s="37" t="inlineStr">
        <is>
          <t>IN</t>
        </is>
      </c>
      <c r="C9" s="38" t="inlineStr">
        <is>
          <t>LLI</t>
        </is>
      </c>
      <c r="D9" s="39" t="inlineStr">
        <is>
          <t>Sistema de Seguridad SIS</t>
        </is>
      </c>
      <c r="E9" s="22" t="inlineStr">
        <is>
          <t>03/02/26</t>
        </is>
      </c>
      <c r="F9" s="22" t="inlineStr">
        <is>
          <t>19/02/26</t>
        </is>
      </c>
      <c r="G9" s="22" t="inlineStr">
        <is>
          <t>11/03/26</t>
        </is>
      </c>
      <c r="H9" s="22" t="inlineStr">
        <is>
          <t>05/06/26</t>
        </is>
      </c>
      <c r="I9" s="33" t="inlineStr">
        <is>
          <t>03/07/26</t>
        </is>
      </c>
      <c r="J9" s="22" t="inlineStr">
        <is>
          <t>21/06/26</t>
        </is>
      </c>
      <c r="K9" s="18" t="inlineStr">
        <is>
          <t>150</t>
        </is>
      </c>
      <c r="L9" s="35" t="inlineStr">
        <is>
          <t>OC COLOCADA</t>
        </is>
      </c>
      <c r="M9" s="40" t="inlineStr">
        <is>
          <t>OC EMITIDA 4509010341 (03/07) – 150 d RI→OC. Se gestiona SBL; proveedor aún no aceptó la OC – faltan cerrar puntos por PP</t>
        </is>
      </c>
    </row>
    <row r="10" ht="30" customHeight="1">
      <c r="B10" s="37" t="inlineStr">
        <is>
          <t>IN</t>
        </is>
      </c>
      <c r="C10" s="38" t="inlineStr">
        <is>
          <t>LLI</t>
        </is>
      </c>
      <c r="D10" s="39" t="inlineStr">
        <is>
          <t>Sistema de Control PCS</t>
        </is>
      </c>
      <c r="E10" s="22" t="inlineStr">
        <is>
          <t>03/02/26</t>
        </is>
      </c>
      <c r="F10" s="22" t="inlineStr">
        <is>
          <t>19/02/26</t>
        </is>
      </c>
      <c r="G10" s="22" t="inlineStr">
        <is>
          <t>25/03/26</t>
        </is>
      </c>
      <c r="H10" s="22" t="inlineStr">
        <is>
          <t>05/06/26</t>
        </is>
      </c>
      <c r="I10" s="22" t="inlineStr">
        <is>
          <t>—</t>
        </is>
      </c>
      <c r="J10" s="22" t="inlineStr">
        <is>
          <t>19/08/26</t>
        </is>
      </c>
      <c r="K10" s="18" t="inlineStr">
        <is>
          <t>177 *</t>
        </is>
      </c>
      <c r="L10" s="41" t="inlineStr">
        <is>
          <t>EN AT</t>
        </is>
      </c>
      <c r="M10" s="40" t="inlineStr">
        <is>
          <t>AT cerrado 05/06. OC por MATERIALES en proceso de emisión; servicios de asistencia en campo en discusión con PP. KOM primera semana de agosto. 177 d desde RI. NecOC 19/08 (20 d)</t>
        </is>
      </c>
    </row>
    <row r="11" ht="30" customHeight="1">
      <c r="B11" s="37" t="inlineStr">
        <is>
          <t>IN</t>
        </is>
      </c>
      <c r="C11" s="38" t="inlineStr">
        <is>
          <t>LLI</t>
        </is>
      </c>
      <c r="D11" s="39" t="inlineStr">
        <is>
          <t>Válvulas de Control y Autorreguladoras</t>
        </is>
      </c>
      <c r="E11" s="22" t="inlineStr">
        <is>
          <t>23/04/26</t>
        </is>
      </c>
      <c r="F11" s="22" t="inlineStr">
        <is>
          <t>05/05/26</t>
        </is>
      </c>
      <c r="G11" s="22" t="inlineStr">
        <is>
          <t>21/05/26</t>
        </is>
      </c>
      <c r="H11" s="22" t="inlineStr">
        <is>
          <t>—</t>
        </is>
      </c>
      <c r="I11" s="22" t="inlineStr">
        <is>
          <t>—</t>
        </is>
      </c>
      <c r="J11" s="22" t="inlineStr">
        <is>
          <t>26/07/26</t>
        </is>
      </c>
      <c r="K11" s="34" t="inlineStr">
        <is>
          <t>98 *</t>
        </is>
      </c>
      <c r="L11" s="41" t="inlineStr">
        <is>
          <t>EN AT</t>
        </is>
      </c>
      <c r="M11" s="40" t="inlineStr">
        <is>
          <t>EN AT desde 22/5. NecOC 26/07 VENCIDA al 30/07. 98 d sin OC. En julio debe salir el AT con las válvulas aprobadas para adjudicar al menos un parcial. RIESGO ALTO</t>
        </is>
      </c>
    </row>
    <row r="12" ht="30" customHeight="1">
      <c r="B12" s="37" t="inlineStr">
        <is>
          <t>IN</t>
        </is>
      </c>
      <c r="C12" s="38" t="inlineStr">
        <is>
          <t>MONTO</t>
        </is>
      </c>
      <c r="D12" s="39" t="inlineStr">
        <is>
          <t>Cables de Instrumentación</t>
        </is>
      </c>
      <c r="E12" s="22" t="inlineStr">
        <is>
          <t>15/05/26</t>
        </is>
      </c>
      <c r="F12" s="22" t="inlineStr">
        <is>
          <t>30/05/26</t>
        </is>
      </c>
      <c r="G12" s="22" t="inlineStr">
        <is>
          <t>23/06/26</t>
        </is>
      </c>
      <c r="H12" s="22" t="inlineStr">
        <is>
          <t>—</t>
        </is>
      </c>
      <c r="I12" s="22" t="inlineStr">
        <is>
          <t>—</t>
        </is>
      </c>
      <c r="J12" s="22" t="inlineStr">
        <is>
          <t>21/10/26</t>
        </is>
      </c>
      <c r="K12" s="15" t="inlineStr">
        <is>
          <t>76 *</t>
        </is>
      </c>
      <c r="L12" s="41" t="inlineStr">
        <is>
          <t>EN AT</t>
        </is>
      </c>
      <c r="M12" s="40" t="inlineStr">
        <is>
          <t>SOLPEDs liberadas 30/05 – en AT. Esta semana saldría el AT + revisión de RI con ajuste de cantidades. 76 d desde RI. NecOC: 21/10/26</t>
        </is>
      </c>
    </row>
    <row r="13" ht="30" customHeight="1">
      <c r="B13" s="30" t="inlineStr">
        <is>
          <t>EL</t>
        </is>
      </c>
      <c r="C13" s="31" t="inlineStr">
        <is>
          <t>MONTO</t>
        </is>
      </c>
      <c r="D13" s="32" t="inlineStr">
        <is>
          <t>Cables Eléctricos</t>
        </is>
      </c>
      <c r="E13" s="22" t="inlineStr">
        <is>
          <t>11/06/26</t>
        </is>
      </c>
      <c r="F13" s="22" t="inlineStr">
        <is>
          <t>01/07/26</t>
        </is>
      </c>
      <c r="G13" s="22" t="inlineStr">
        <is>
          <t>22/07/26</t>
        </is>
      </c>
      <c r="H13" s="22" t="inlineStr">
        <is>
          <t>—</t>
        </is>
      </c>
      <c r="I13" s="22" t="inlineStr">
        <is>
          <t>—</t>
        </is>
      </c>
      <c r="J13" s="22" t="inlineStr">
        <is>
          <t>18/11/26</t>
        </is>
      </c>
      <c r="K13" s="15" t="inlineStr">
        <is>
          <t>49 *</t>
        </is>
      </c>
      <c r="L13" s="41" t="inlineStr">
        <is>
          <t>EN AT</t>
        </is>
      </c>
      <c r="M13" s="36" t="inlineStr">
        <is>
          <t>2 SOLPED liberadas – ofertas enviadas a AT el 22/07 (en AT). 49 d desde RI. NecOC: 18/11/26. Obra requiere cables dic-26</t>
        </is>
      </c>
    </row>
    <row r="15" ht="16" customHeight="1">
      <c r="B15" s="42" t="inlineStr">
        <is>
          <t>(*) Para ítems sin OC, el valor es la cantidad de días transcurridos desde la RI hasta el corte (30/07/26), sin orden de compra colocada todavía.</t>
        </is>
      </c>
    </row>
    <row r="17" ht="20" customHeight="1">
      <c r="B17" s="43" t="inlineStr">
        <is>
          <t>TIEMPO RI → OC POR ÍTEM (días)</t>
        </is>
      </c>
    </row>
    <row r="18">
      <c r="B18" s="44" t="inlineStr">
        <is>
          <t>Ítem</t>
        </is>
      </c>
      <c r="C18" s="44" t="inlineStr">
        <is>
          <t>Días RI→OC / transcurridos</t>
        </is>
      </c>
    </row>
    <row r="19">
      <c r="B19" s="45" t="inlineStr">
        <is>
          <t>EL · Shelter Eléctrico SE#4 c/e…</t>
        </is>
      </c>
      <c r="C19" s="46" t="n">
        <v>129</v>
      </c>
    </row>
    <row r="20">
      <c r="B20" s="45" t="inlineStr">
        <is>
          <t>EL · Shelter Eléctrico SE#3 c/e…</t>
        </is>
      </c>
      <c r="C20" s="46" t="n">
        <v>129</v>
      </c>
    </row>
    <row r="21">
      <c r="B21" s="45" t="inlineStr">
        <is>
          <t>EL · Sistema PMS (Power Managem…</t>
        </is>
      </c>
      <c r="C21" s="46" t="n">
        <v>133</v>
      </c>
    </row>
    <row r="22">
      <c r="B22" s="45" t="inlineStr">
        <is>
          <t>IN · Sistema de Seguridad SIS</t>
        </is>
      </c>
      <c r="C22" s="46" t="n">
        <v>150</v>
      </c>
    </row>
    <row r="23">
      <c r="B23" s="45" t="inlineStr">
        <is>
          <t>IN · Sistema de Control PCS</t>
        </is>
      </c>
      <c r="C23" s="46" t="n">
        <v>177</v>
      </c>
    </row>
    <row r="24">
      <c r="B24" s="45" t="inlineStr">
        <is>
          <t>IN · Válvulas de Control y Auto…</t>
        </is>
      </c>
      <c r="C24" s="46" t="n">
        <v>98</v>
      </c>
    </row>
    <row r="25">
      <c r="B25" s="45" t="inlineStr">
        <is>
          <t>IN · Cables de Instrumentación</t>
        </is>
      </c>
      <c r="C25" s="46" t="n">
        <v>76</v>
      </c>
    </row>
    <row r="26">
      <c r="B26" s="45" t="inlineStr">
        <is>
          <t>EL · Cables Eléctricos</t>
        </is>
      </c>
      <c r="C26" s="46" t="n">
        <v>49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7" t="inlineStr">
        <is>
          <t>¿DÓNDE SE CONCENTRA LA DEMORA DEL CIRCUITO?</t>
        </is>
      </c>
    </row>
    <row r="3" ht="22" customHeight="1">
      <c r="B3" s="29" t="inlineStr">
        <is>
          <t>Descomposición del tiempo RI → OC en los 3 paquetes ya adjudicados (ABB) – cadena completa de 129 días</t>
        </is>
      </c>
    </row>
    <row r="5" ht="20" customHeight="1">
      <c r="B5" s="48" t="inlineStr">
        <is>
          <t>Tramo del circuito</t>
        </is>
      </c>
      <c r="C5" s="48" t="inlineStr">
        <is>
          <t>Días</t>
        </is>
      </c>
      <c r="D5" s="48" t="inlineStr">
        <is>
          <t>% del total</t>
        </is>
      </c>
      <c r="E5" s="48" t="inlineStr">
        <is>
          <t>Lectura</t>
        </is>
      </c>
    </row>
    <row r="6" ht="26" customHeight="1">
      <c r="B6" s="49" t="inlineStr">
        <is>
          <t>RI → SOLPED</t>
        </is>
      </c>
      <c r="C6" s="50" t="n">
        <v>12</v>
      </c>
      <c r="D6" s="51" t="n">
        <v>0.09302325581395349</v>
      </c>
      <c r="E6" s="52" t="inlineStr">
        <is>
          <t>Ágil – generación de solicitud de pedido en SAP.</t>
        </is>
      </c>
    </row>
    <row r="7" ht="26" customHeight="1">
      <c r="B7" s="49" t="inlineStr">
        <is>
          <t>SOLPED → Rec.Of.</t>
        </is>
      </c>
      <c r="C7" s="50" t="n">
        <v>19</v>
      </c>
      <c r="D7" s="51" t="n">
        <v>0.1472868217054264</v>
      </c>
      <c r="E7" s="52" t="inlineStr">
        <is>
          <t>Normal – tiempo de mercado para recibir ofertas.</t>
        </is>
      </c>
    </row>
    <row r="8" ht="26" customHeight="1">
      <c r="B8" s="49" t="inlineStr">
        <is>
          <t>Rec.Of. → AT cierre</t>
        </is>
      </c>
      <c r="C8" s="50" t="n">
        <v>32</v>
      </c>
      <c r="D8" s="51" t="n">
        <v>0.248062015503876</v>
      </c>
      <c r="E8" s="52" t="inlineStr">
        <is>
          <t>Análisis técnico; aceptable para equipos complejos.</t>
        </is>
      </c>
    </row>
    <row r="9" ht="26" customHeight="1">
      <c r="B9" s="53" t="inlineStr">
        <is>
          <t>AT cierre → OC</t>
        </is>
      </c>
      <c r="C9" s="18" t="n">
        <v>66</v>
      </c>
      <c r="D9" s="54" t="n">
        <v>0.5116279069767442</v>
      </c>
      <c r="E9" s="55" t="inlineStr">
        <is>
          <t>CRÍTICO – el tramo más largo. Gestión comercial/aprobaciones post-AT.</t>
        </is>
      </c>
    </row>
    <row r="10">
      <c r="B10" s="56" t="inlineStr">
        <is>
          <t>TOTAL RI → OC</t>
        </is>
      </c>
      <c r="C10" s="57" t="n">
        <v>129</v>
      </c>
      <c r="D10" s="58" t="n">
        <v>1</v>
      </c>
      <c r="E10" s="59" t="inlineStr">
        <is>
          <t>≈ 4,3 meses entre RI y OC</t>
        </is>
      </c>
    </row>
    <row r="28" ht="20" customHeight="1">
      <c r="B28" s="43" t="inlineStr">
        <is>
          <t>METODOLOGÍA Y FUENTES DE DATOS</t>
        </is>
      </c>
    </row>
    <row r="29" ht="28" customHeight="1">
      <c r="B29" s="60" t="inlineStr">
        <is>
          <t>Fuente</t>
        </is>
      </c>
      <c r="C29" s="61" t="inlineStr">
        <is>
          <t>Plan de Suministros – La Calera II (300726).xlsx · Rev8</t>
        </is>
      </c>
    </row>
    <row r="30" ht="28" customHeight="1">
      <c r="B30" s="60" t="inlineStr">
        <is>
          <t>Hojas usadas</t>
        </is>
      </c>
      <c r="C30" s="61" t="inlineStr">
        <is>
          <t>Cuadro resumen (pipeline) · Suministros críticos (cadena por ítem) · RI y OC x mes.</t>
        </is>
      </c>
    </row>
    <row r="31" ht="28" customHeight="1">
      <c r="B31" s="60" t="inlineStr">
        <is>
          <t>Fecha de corte</t>
        </is>
      </c>
      <c r="C31" s="61" t="inlineStr">
        <is>
          <t>30/07/2026 (evolución: 03/07 · 10/07 · 17/07 · 24/07 · 30/07)</t>
        </is>
      </c>
    </row>
    <row r="32" ht="28" customHeight="1">
      <c r="B32" s="60" t="inlineStr">
        <is>
          <t>Universo</t>
        </is>
      </c>
      <c r="C32" s="61" t="inlineStr">
        <is>
          <t>IN: 48 RIs · EL: 20 RIs (total 68). Cadena RI→OC detallada disponible para los 8 ítems críticos.</t>
        </is>
      </c>
    </row>
    <row r="33" ht="28" customHeight="1">
      <c r="B33" s="60" t="inlineStr">
        <is>
          <t>Definición OC efectiva</t>
        </is>
      </c>
      <c r="C33" s="61" t="inlineStr">
        <is>
          <t>Para paquetes adjudicados sin fecha formal de OC, se usa la fecha KOM como hito de OC efectiva.</t>
        </is>
      </c>
    </row>
    <row r="34" ht="28" customHeight="1">
      <c r="B34" s="60" t="inlineStr">
        <is>
          <t>Días en gestión</t>
        </is>
      </c>
      <c r="C34" s="61" t="inlineStr">
        <is>
          <t>Para ítems sin OC: días entre RI y fecha de corte (proceso aún abierto).</t>
        </is>
      </c>
    </row>
    <row r="35" ht="28" customHeight="1">
      <c r="B35" s="60" t="inlineStr">
        <is>
          <t>Limitación</t>
        </is>
      </c>
      <c r="C35" s="61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2026-07-31T15:33:18Z</dcterms:created>
  <dcterms:modified xsi:type="dcterms:W3CDTF">2026-07-31T15:33:18Z</dcterms:modified>
</cp:coreProperties>
</file>