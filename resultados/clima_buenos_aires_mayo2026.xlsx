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ma Buenos Aires" sheetId="1" state="visible" r:id="rId1"/>
    <sheet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78B4"/>
      <sz val="10"/>
    </font>
    <font>
      <name val="Calibri"/>
      <b val="1"/>
      <color rgb="001F3864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Temperaturas Diarias – Buenos Aires (Mayo 2026)</a:t>
            </a:r>
          </a:p>
        </rich>
      </tx>
    </title>
    <plotArea>
      <lineChart>
        <grouping val="standard"/>
        <ser>
          <idx val="0"/>
          <order val="0"/>
          <tx>
            <strRef>
              <f>'Clima Buenos Aires'!D3</f>
            </strRef>
          </tx>
          <spPr>
            <a:ln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'Clima Buenos Aires'!$A$4:$A$24</f>
            </numRef>
          </cat>
          <val>
            <numRef>
              <f>'Clima Buenos Aires'!$D$4:$D$24</f>
            </numRef>
          </val>
        </ser>
        <ser>
          <idx val="1"/>
          <order val="1"/>
          <tx>
            <strRef>
              <f>'Clima Buenos Aires'!E3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'Clima Buenos Aires'!$A$4:$A$24</f>
            </numRef>
          </cat>
          <val>
            <numRef>
              <f>'Clima Buenos Aires'!$E$4:$E$24</f>
            </numRef>
          </val>
        </ser>
        <ser>
          <idx val="2"/>
          <order val="2"/>
          <tx>
            <strRef>
              <f>'Clima Buenos Aires'!F3</f>
            </strRef>
          </tx>
          <spPr>
            <a:ln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'Clima Buenos Aires'!$A$4:$A$24</f>
            </numRef>
          </cat>
          <val>
            <numRef>
              <f>'Clima Buenos Aires'!$F$4:$F$24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Temperatura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Precipitación Diaria – Buenos Aires (Mayo 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'Clima Buenos Aires'!G3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'Clima Buenos Aires'!$A$4:$A$24</f>
            </numRef>
          </cat>
          <val>
            <numRef>
              <f>'Clima Buenos Aires'!$G$4:$G$24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22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3" customWidth="1" min="4" max="4"/>
    <col width="13" customWidth="1" min="5" max="5"/>
    <col width="14" customWidth="1" min="6" max="6"/>
    <col width="18" customWidth="1" min="7" max="7"/>
    <col width="17" customWidth="1" min="8" max="8"/>
    <col width="17" customWidth="1" min="9" max="9"/>
    <col width="10" customWidth="1" min="10" max="10"/>
  </cols>
  <sheetData>
    <row r="1" ht="30" customHeight="1">
      <c r="A1" s="1" t="inlineStr">
        <is>
          <t>DATOS METEOROLÓGICOS – BUENOS AIRES, ARGENTINA</t>
        </is>
      </c>
    </row>
    <row r="2" ht="18" customHeight="1">
      <c r="A2" s="2" t="inlineStr">
        <is>
          <t>Período: 01/05/2026 al 21/05/2026  |  Fuente: Open-Meteo Archive API</t>
        </is>
      </c>
    </row>
    <row r="3" ht="40" customHeight="1">
      <c r="A3" s="3" t="inlineStr">
        <is>
          <t>Fecha</t>
        </is>
      </c>
      <c r="B3" s="3" t="inlineStr">
        <is>
          <t>Día</t>
        </is>
      </c>
      <c r="C3" s="3" t="inlineStr">
        <is>
          <t>Condición</t>
        </is>
      </c>
      <c r="D3" s="3" t="inlineStr">
        <is>
          <t>T° Máx (°C)</t>
        </is>
      </c>
      <c r="E3" s="3" t="inlineStr">
        <is>
          <t>T° Mín (°C)</t>
        </is>
      </c>
      <c r="F3" s="3" t="inlineStr">
        <is>
          <t>T° Media (°C)</t>
        </is>
      </c>
      <c r="G3" s="3" t="inlineStr">
        <is>
          <t>Precipitación (mm)</t>
        </is>
      </c>
      <c r="H3" s="3" t="inlineStr">
        <is>
          <t>Viento Máx (km/h)</t>
        </is>
      </c>
      <c r="I3" s="3" t="inlineStr">
        <is>
          <t>Ráfaga Máx (km/h)</t>
        </is>
      </c>
      <c r="J3" s="3" t="inlineStr">
        <is>
          <t>Sol (hs)</t>
        </is>
      </c>
    </row>
    <row r="4">
      <c r="A4" s="4" t="n">
        <v>46143</v>
      </c>
      <c r="B4" s="5" t="inlineStr">
        <is>
          <t>Viernes</t>
        </is>
      </c>
      <c r="C4" s="5" t="inlineStr">
        <is>
          <t>Nublado</t>
        </is>
      </c>
      <c r="D4" s="6" t="n">
        <v>24</v>
      </c>
      <c r="E4" s="7" t="n">
        <v>16.6</v>
      </c>
      <c r="F4" s="7" t="n">
        <v>20</v>
      </c>
      <c r="G4" s="7" t="n">
        <v>0</v>
      </c>
      <c r="H4" s="7" t="n">
        <v>19.1</v>
      </c>
      <c r="I4" s="7" t="n">
        <v>43.2</v>
      </c>
      <c r="J4" s="7" t="n">
        <v>10</v>
      </c>
    </row>
    <row r="5">
      <c r="A5" s="8" t="n">
        <v>46144</v>
      </c>
      <c r="B5" s="9" t="inlineStr">
        <is>
          <t>Sábado</t>
        </is>
      </c>
      <c r="C5" s="9" t="inlineStr">
        <is>
          <t>Nublado</t>
        </is>
      </c>
      <c r="D5" s="10" t="n">
        <v>17.5</v>
      </c>
      <c r="E5" s="10" t="n">
        <v>10.2</v>
      </c>
      <c r="F5" s="10" t="n">
        <v>13.3</v>
      </c>
      <c r="G5" s="10" t="n">
        <v>0</v>
      </c>
      <c r="H5" s="10" t="n">
        <v>19.3</v>
      </c>
      <c r="I5" s="10" t="n">
        <v>46.4</v>
      </c>
      <c r="J5" s="10" t="n">
        <v>10.2</v>
      </c>
    </row>
    <row r="6">
      <c r="A6" s="4" t="n">
        <v>46145</v>
      </c>
      <c r="B6" s="5" t="inlineStr">
        <is>
          <t>Domingo</t>
        </is>
      </c>
      <c r="C6" s="5" t="inlineStr">
        <is>
          <t>Nublado</t>
        </is>
      </c>
      <c r="D6" s="7" t="n">
        <v>17</v>
      </c>
      <c r="E6" s="7" t="n">
        <v>5.2</v>
      </c>
      <c r="F6" s="7" t="n">
        <v>11.8</v>
      </c>
      <c r="G6" s="7" t="n">
        <v>0</v>
      </c>
      <c r="H6" s="7" t="n">
        <v>16.4</v>
      </c>
      <c r="I6" s="7" t="n">
        <v>36</v>
      </c>
      <c r="J6" s="7" t="n">
        <v>10.1</v>
      </c>
    </row>
    <row r="7">
      <c r="A7" s="8" t="n">
        <v>46146</v>
      </c>
      <c r="B7" s="9" t="inlineStr">
        <is>
          <t>Lunes</t>
        </is>
      </c>
      <c r="C7" s="9" t="inlineStr">
        <is>
          <t>Nublado</t>
        </is>
      </c>
      <c r="D7" s="10" t="n">
        <v>21.4</v>
      </c>
      <c r="E7" s="10" t="n">
        <v>10.8</v>
      </c>
      <c r="F7" s="10" t="n">
        <v>15.9</v>
      </c>
      <c r="G7" s="10" t="n">
        <v>0</v>
      </c>
      <c r="H7" s="10" t="n">
        <v>16.2</v>
      </c>
      <c r="I7" s="10" t="n">
        <v>34.9</v>
      </c>
      <c r="J7" s="10" t="n">
        <v>9.199999999999999</v>
      </c>
    </row>
    <row r="8">
      <c r="A8" s="4" t="n">
        <v>46147</v>
      </c>
      <c r="B8" s="5" t="inlineStr">
        <is>
          <t>Martes</t>
        </is>
      </c>
      <c r="C8" s="5" t="inlineStr">
        <is>
          <t>Lluvia leve</t>
        </is>
      </c>
      <c r="D8" s="6" t="n">
        <v>22.4</v>
      </c>
      <c r="E8" s="7" t="n">
        <v>14.7</v>
      </c>
      <c r="F8" s="7" t="n">
        <v>18.4</v>
      </c>
      <c r="G8" s="11" t="n">
        <v>3.7</v>
      </c>
      <c r="H8" s="7" t="n">
        <v>15.2</v>
      </c>
      <c r="I8" s="7" t="n">
        <v>32.4</v>
      </c>
      <c r="J8" s="7" t="n">
        <v>7.5</v>
      </c>
    </row>
    <row r="9">
      <c r="A9" s="8" t="n">
        <v>46148</v>
      </c>
      <c r="B9" s="9" t="inlineStr">
        <is>
          <t>Miércoles</t>
        </is>
      </c>
      <c r="C9" s="9" t="inlineStr">
        <is>
          <t>Lluvia intensa</t>
        </is>
      </c>
      <c r="D9" s="6" t="n">
        <v>23.8</v>
      </c>
      <c r="E9" s="10" t="n">
        <v>17.5</v>
      </c>
      <c r="F9" s="10" t="n">
        <v>20.2</v>
      </c>
      <c r="G9" s="11" t="n">
        <v>45.5</v>
      </c>
      <c r="H9" s="10" t="n">
        <v>20.7</v>
      </c>
      <c r="I9" s="10" t="n">
        <v>62.6</v>
      </c>
      <c r="J9" s="10" t="n">
        <v>7.9</v>
      </c>
    </row>
    <row r="10">
      <c r="A10" s="4" t="n">
        <v>46149</v>
      </c>
      <c r="B10" s="5" t="inlineStr">
        <is>
          <t>Jueves</t>
        </is>
      </c>
      <c r="C10" s="5" t="inlineStr">
        <is>
          <t>Llovizna leve</t>
        </is>
      </c>
      <c r="D10" s="7" t="n">
        <v>20.1</v>
      </c>
      <c r="E10" s="7" t="n">
        <v>11.7</v>
      </c>
      <c r="F10" s="7" t="n">
        <v>16.1</v>
      </c>
      <c r="G10" s="11" t="n">
        <v>0.5</v>
      </c>
      <c r="H10" s="7" t="n">
        <v>23.2</v>
      </c>
      <c r="I10" s="7" t="n">
        <v>52.6</v>
      </c>
      <c r="J10" s="7" t="n">
        <v>1.1</v>
      </c>
    </row>
    <row r="11">
      <c r="A11" s="8" t="n">
        <v>46150</v>
      </c>
      <c r="B11" s="9" t="inlineStr">
        <is>
          <t>Viernes</t>
        </is>
      </c>
      <c r="C11" s="9" t="inlineStr">
        <is>
          <t>Llovizna leve</t>
        </is>
      </c>
      <c r="D11" s="10" t="n">
        <v>12.8</v>
      </c>
      <c r="E11" s="10" t="n">
        <v>8.1</v>
      </c>
      <c r="F11" s="10" t="n">
        <v>10.1</v>
      </c>
      <c r="G11" s="11" t="n">
        <v>1.1</v>
      </c>
      <c r="H11" s="10" t="n">
        <v>26.3</v>
      </c>
      <c r="I11" s="10" t="n">
        <v>61.9</v>
      </c>
      <c r="J11" s="10" t="n">
        <v>7</v>
      </c>
    </row>
    <row r="12">
      <c r="A12" s="4" t="n">
        <v>46151</v>
      </c>
      <c r="B12" s="5" t="inlineStr">
        <is>
          <t>Sábado</t>
        </is>
      </c>
      <c r="C12" s="5" t="inlineStr">
        <is>
          <t>Llovizna moderada</t>
        </is>
      </c>
      <c r="D12" s="7" t="n">
        <v>12.1</v>
      </c>
      <c r="E12" s="7" t="n">
        <v>6.6</v>
      </c>
      <c r="F12" s="7" t="n">
        <v>9.5</v>
      </c>
      <c r="G12" s="11" t="n">
        <v>3</v>
      </c>
      <c r="H12" s="7" t="n">
        <v>26.5</v>
      </c>
      <c r="I12" s="7" t="n">
        <v>61.9</v>
      </c>
      <c r="J12" s="7" t="n">
        <v>4.9</v>
      </c>
    </row>
    <row r="13">
      <c r="A13" s="8" t="n">
        <v>46152</v>
      </c>
      <c r="B13" s="9" t="inlineStr">
        <is>
          <t>Domingo</t>
        </is>
      </c>
      <c r="C13" s="9" t="inlineStr">
        <is>
          <t>Cielo despejado</t>
        </is>
      </c>
      <c r="D13" s="10" t="n">
        <v>14.9</v>
      </c>
      <c r="E13" s="10" t="n">
        <v>5</v>
      </c>
      <c r="F13" s="10" t="n">
        <v>9.6</v>
      </c>
      <c r="G13" s="10" t="n">
        <v>0</v>
      </c>
      <c r="H13" s="10" t="n">
        <v>18.4</v>
      </c>
      <c r="I13" s="10" t="n">
        <v>45</v>
      </c>
      <c r="J13" s="10" t="n">
        <v>10</v>
      </c>
    </row>
    <row r="14">
      <c r="A14" s="4" t="n">
        <v>46153</v>
      </c>
      <c r="B14" s="5" t="inlineStr">
        <is>
          <t>Lunes</t>
        </is>
      </c>
      <c r="C14" s="5" t="inlineStr">
        <is>
          <t>Cielo despejado</t>
        </is>
      </c>
      <c r="D14" s="7" t="n">
        <v>16.6</v>
      </c>
      <c r="E14" s="7" t="n">
        <v>4.7</v>
      </c>
      <c r="F14" s="7" t="n">
        <v>10.7</v>
      </c>
      <c r="G14" s="7" t="n">
        <v>0</v>
      </c>
      <c r="H14" s="7" t="n">
        <v>16.3</v>
      </c>
      <c r="I14" s="7" t="n">
        <v>34.6</v>
      </c>
      <c r="J14" s="7" t="n">
        <v>10</v>
      </c>
    </row>
    <row r="15">
      <c r="A15" s="8" t="n">
        <v>46154</v>
      </c>
      <c r="B15" s="9" t="inlineStr">
        <is>
          <t>Martes</t>
        </is>
      </c>
      <c r="C15" s="9" t="inlineStr">
        <is>
          <t>Parcialmente nublado</t>
        </is>
      </c>
      <c r="D15" s="10" t="n">
        <v>21</v>
      </c>
      <c r="E15" s="10" t="n">
        <v>9.6</v>
      </c>
      <c r="F15" s="10" t="n">
        <v>14.5</v>
      </c>
      <c r="G15" s="10" t="n">
        <v>0</v>
      </c>
      <c r="H15" s="10" t="n">
        <v>17.6</v>
      </c>
      <c r="I15" s="10" t="n">
        <v>38.5</v>
      </c>
      <c r="J15" s="10" t="n">
        <v>10</v>
      </c>
    </row>
    <row r="16">
      <c r="A16" s="4" t="n">
        <v>46155</v>
      </c>
      <c r="B16" s="5" t="inlineStr">
        <is>
          <t>Miércoles</t>
        </is>
      </c>
      <c r="C16" s="5" t="inlineStr">
        <is>
          <t>Nublado</t>
        </is>
      </c>
      <c r="D16" s="7" t="n">
        <v>15.1</v>
      </c>
      <c r="E16" s="7" t="n">
        <v>7.3</v>
      </c>
      <c r="F16" s="7" t="n">
        <v>11.7</v>
      </c>
      <c r="G16" s="7" t="n">
        <v>0</v>
      </c>
      <c r="H16" s="7" t="n">
        <v>10.2</v>
      </c>
      <c r="I16" s="7" t="n">
        <v>29.5</v>
      </c>
      <c r="J16" s="7" t="n">
        <v>8</v>
      </c>
    </row>
    <row r="17">
      <c r="A17" s="8" t="n">
        <v>46156</v>
      </c>
      <c r="B17" s="9" t="inlineStr">
        <is>
          <t>Jueves</t>
        </is>
      </c>
      <c r="C17" s="9" t="inlineStr">
        <is>
          <t>Nublado</t>
        </is>
      </c>
      <c r="D17" s="10" t="n">
        <v>16.4</v>
      </c>
      <c r="E17" s="10" t="n">
        <v>8.1</v>
      </c>
      <c r="F17" s="10" t="n">
        <v>12.3</v>
      </c>
      <c r="G17" s="10" t="n">
        <v>0</v>
      </c>
      <c r="H17" s="10" t="n">
        <v>10</v>
      </c>
      <c r="I17" s="10" t="n">
        <v>26.3</v>
      </c>
      <c r="J17" s="10" t="n">
        <v>9.9</v>
      </c>
    </row>
    <row r="18">
      <c r="A18" s="4" t="n">
        <v>46157</v>
      </c>
      <c r="B18" s="5" t="inlineStr">
        <is>
          <t>Viernes</t>
        </is>
      </c>
      <c r="C18" s="5" t="inlineStr">
        <is>
          <t>Nublado</t>
        </is>
      </c>
      <c r="D18" s="7" t="n">
        <v>16.1</v>
      </c>
      <c r="E18" s="7" t="n">
        <v>7.4</v>
      </c>
      <c r="F18" s="7" t="n">
        <v>12</v>
      </c>
      <c r="G18" s="7" t="n">
        <v>0</v>
      </c>
      <c r="H18" s="7" t="n">
        <v>10.3</v>
      </c>
      <c r="I18" s="7" t="n">
        <v>27.4</v>
      </c>
      <c r="J18" s="7" t="n">
        <v>9.9</v>
      </c>
    </row>
    <row r="19">
      <c r="A19" s="8" t="n">
        <v>46158</v>
      </c>
      <c r="B19" s="9" t="inlineStr">
        <is>
          <t>Sábado</t>
        </is>
      </c>
      <c r="C19" s="9" t="inlineStr">
        <is>
          <t>Llovizna leve</t>
        </is>
      </c>
      <c r="D19" s="10" t="n">
        <v>13.7</v>
      </c>
      <c r="E19" s="10" t="n">
        <v>9.9</v>
      </c>
      <c r="F19" s="10" t="n">
        <v>12.2</v>
      </c>
      <c r="G19" s="11" t="n">
        <v>0.3</v>
      </c>
      <c r="H19" s="10" t="n">
        <v>16.6</v>
      </c>
      <c r="I19" s="10" t="n">
        <v>38.2</v>
      </c>
      <c r="J19" s="10" t="n">
        <v>1.4</v>
      </c>
    </row>
    <row r="20">
      <c r="A20" s="4" t="n">
        <v>46159</v>
      </c>
      <c r="B20" s="5" t="inlineStr">
        <is>
          <t>Domingo</t>
        </is>
      </c>
      <c r="C20" s="5" t="inlineStr">
        <is>
          <t>Llovizna leve</t>
        </is>
      </c>
      <c r="D20" s="7" t="n">
        <v>13.5</v>
      </c>
      <c r="E20" s="7" t="n">
        <v>7.8</v>
      </c>
      <c r="F20" s="7" t="n">
        <v>10.3</v>
      </c>
      <c r="G20" s="11" t="n">
        <v>0.5</v>
      </c>
      <c r="H20" s="7" t="n">
        <v>14.9</v>
      </c>
      <c r="I20" s="7" t="n">
        <v>36.7</v>
      </c>
      <c r="J20" s="7" t="n">
        <v>8.300000000000001</v>
      </c>
    </row>
    <row r="21">
      <c r="A21" s="8" t="n">
        <v>46160</v>
      </c>
      <c r="B21" s="9" t="inlineStr">
        <is>
          <t>Lunes</t>
        </is>
      </c>
      <c r="C21" s="9" t="inlineStr">
        <is>
          <t>Cielo despejado</t>
        </is>
      </c>
      <c r="D21" s="10" t="n">
        <v>15.8</v>
      </c>
      <c r="E21" s="10" t="n">
        <v>4.7</v>
      </c>
      <c r="F21" s="10" t="n">
        <v>9.800000000000001</v>
      </c>
      <c r="G21" s="10" t="n">
        <v>0</v>
      </c>
      <c r="H21" s="10" t="n">
        <v>10.5</v>
      </c>
      <c r="I21" s="10" t="n">
        <v>29.2</v>
      </c>
      <c r="J21" s="10" t="n">
        <v>9.9</v>
      </c>
    </row>
    <row r="22">
      <c r="A22" s="4" t="n">
        <v>46161</v>
      </c>
      <c r="B22" s="5" t="inlineStr">
        <is>
          <t>Martes</t>
        </is>
      </c>
      <c r="C22" s="5" t="inlineStr">
        <is>
          <t>Cielo despejado</t>
        </is>
      </c>
      <c r="D22" s="7" t="n">
        <v>17.2</v>
      </c>
      <c r="E22" s="7" t="n">
        <v>5.9</v>
      </c>
      <c r="F22" s="7" t="n">
        <v>11.1</v>
      </c>
      <c r="G22" s="7" t="n">
        <v>0</v>
      </c>
      <c r="H22" s="7" t="n">
        <v>11.7</v>
      </c>
      <c r="I22" s="7" t="n">
        <v>29.2</v>
      </c>
      <c r="J22" s="7" t="n">
        <v>9.9</v>
      </c>
    </row>
    <row r="23">
      <c r="A23" s="8" t="n">
        <v>46162</v>
      </c>
      <c r="B23" s="9" t="inlineStr">
        <is>
          <t>Miércoles</t>
        </is>
      </c>
      <c r="C23" s="9" t="inlineStr">
        <is>
          <t>Nublado</t>
        </is>
      </c>
      <c r="D23" s="10" t="n">
        <v>14.2</v>
      </c>
      <c r="E23" s="10" t="n">
        <v>7.1</v>
      </c>
      <c r="F23" s="10" t="n">
        <v>11</v>
      </c>
      <c r="G23" s="10" t="n">
        <v>0</v>
      </c>
      <c r="H23" s="10" t="n">
        <v>14.6</v>
      </c>
      <c r="I23" s="10" t="n">
        <v>35.6</v>
      </c>
      <c r="J23" s="10" t="n">
        <v>5.7</v>
      </c>
    </row>
    <row r="24">
      <c r="A24" s="4" t="n">
        <v>46163</v>
      </c>
      <c r="B24" s="5" t="inlineStr">
        <is>
          <t>Jueves</t>
        </is>
      </c>
      <c r="C24" s="5" t="inlineStr">
        <is>
          <t>Nublado</t>
        </is>
      </c>
      <c r="D24" s="12" t="n">
        <v>11.4</v>
      </c>
      <c r="E24" s="7" t="n">
        <v>5.8</v>
      </c>
      <c r="F24" s="7" t="n">
        <v>9</v>
      </c>
      <c r="G24" s="7" t="n">
        <v>0</v>
      </c>
      <c r="H24" s="7" t="n">
        <v>9.800000000000001</v>
      </c>
      <c r="I24" s="7" t="n">
        <v>22.7</v>
      </c>
      <c r="J24" s="7" t="n">
        <v>9.800000000000001</v>
      </c>
    </row>
    <row r="25" ht="18" customHeight="1">
      <c r="A25" s="13" t="inlineStr">
        <is>
          <t>RESUMEN DEL PERÍODO</t>
        </is>
      </c>
      <c r="D25" s="14">
        <f>AVERAGE(D4:D24)</f>
        <v/>
      </c>
      <c r="E25" s="14">
        <f>AVERAGE(E4:E24)</f>
        <v/>
      </c>
      <c r="F25" s="14">
        <f>AVERAGE(F4:F24)</f>
        <v/>
      </c>
      <c r="G25" s="14">
        <f>SUM(G4:G24)</f>
        <v/>
      </c>
      <c r="H25" s="14">
        <f>AVERAGE(H4:H24)</f>
        <v/>
      </c>
      <c r="I25" s="14">
        <f>MAX(I4:I24)</f>
        <v/>
      </c>
      <c r="J25" s="14">
        <f>AVERAGE(J4:J24)</f>
        <v/>
      </c>
    </row>
  </sheetData>
  <mergeCells count="3">
    <mergeCell ref="A25:C25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Gráficos de temperatura y precipitación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2026-05-21T16:05:06Z</dcterms:created>
  <dcterms:modified xsi:type="dcterms:W3CDTF">2026-05-21T16:05:06Z</dcterms:modified>
</cp:coreProperties>
</file>