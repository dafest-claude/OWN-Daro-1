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Gantt_Maestro" sheetId="1" state="visible" r:id="rId1"/>
    <sheet name="2_Freezing_Points" sheetId="2" state="visible" r:id="rId2"/>
    <sheet name="3_Camino_Critico" sheetId="3" state="visible" r:id="rId3"/>
    <sheet name="4_Seguimiento_Hitos" sheetId="4" state="visible" r:id="rId4"/>
    <sheet name="5_Alertas_Riesg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444444"/>
      <sz val="7"/>
    </font>
    <font>
      <name val="Calibri"/>
      <b val="1"/>
      <color rgb="00FFFFFF"/>
      <sz val="9"/>
    </font>
    <font>
      <name val="Calibri"/>
      <b val="1"/>
      <color rgb="00FFFFFF"/>
      <sz val="7"/>
    </font>
    <font>
      <name val="Calibri"/>
      <b val="1"/>
      <color rgb="00880000"/>
      <sz val="8"/>
    </font>
    <font>
      <name val="Calibri"/>
      <b val="1"/>
      <color rgb="00880000"/>
      <sz val="9"/>
    </font>
    <font>
      <name val="Calibri"/>
      <color rgb="00000000"/>
      <sz val="8"/>
    </font>
    <font>
      <name val="Calibri"/>
      <b val="1"/>
      <color rgb="00000000"/>
      <sz val="8"/>
    </font>
    <font>
      <name val="Calibri"/>
      <color rgb="00999999"/>
      <sz val="7"/>
    </font>
    <font>
      <b val="1"/>
      <color rgb="00FFFFFF"/>
      <sz val="7"/>
    </font>
    <font>
      <name val="Calibri"/>
      <b val="1"/>
      <color rgb="002E75B6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375623"/>
      <sz val="8"/>
    </font>
    <font>
      <name val="Calibri"/>
      <color rgb="001F4E79"/>
      <sz val="9"/>
    </font>
    <font>
      <name val="Calibri"/>
      <b val="1"/>
      <color rgb="009C0006"/>
      <sz val="8"/>
    </font>
    <font>
      <name val="Calibri"/>
      <b val="1"/>
      <color rgb="00FFFFFF"/>
      <sz val="8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880000"/>
      <sz val="10"/>
    </font>
    <font>
      <name val="Calibri"/>
      <b val="1"/>
      <color rgb="002E75B6"/>
      <sz val="9"/>
    </font>
    <font>
      <name val="Calibri"/>
      <color rgb="00999999"/>
      <sz val="9"/>
    </font>
    <font>
      <name val="Calibri"/>
      <b val="1"/>
      <color rgb="009C5700"/>
      <sz val="9"/>
    </font>
    <font>
      <name val="Calibri"/>
      <color rgb="009C5700"/>
      <sz val="8"/>
    </font>
    <font>
      <name val="Calibri"/>
      <i val="1"/>
      <color rgb="00000000"/>
      <sz val="7"/>
    </font>
    <font>
      <name val="Calibri"/>
      <color rgb="009C0006"/>
      <sz val="8"/>
    </font>
    <font>
      <name val="Calibri"/>
      <b val="1"/>
      <color rgb="00CC0000"/>
      <sz val="9"/>
    </font>
    <font>
      <name val="Calibri"/>
      <b val="1"/>
      <color rgb="00FFFFFF"/>
      <sz val="11"/>
    </font>
    <font>
      <name val="Calibri"/>
      <b val="1"/>
      <color rgb="00375623"/>
      <sz val="9"/>
    </font>
    <font>
      <name val="Calibri"/>
      <b val="1"/>
      <color rgb="009C0006"/>
      <sz val="9"/>
    </font>
    <font>
      <name val="Calibri"/>
      <b val="1"/>
      <color rgb="009C5700"/>
      <sz val="8"/>
    </font>
    <font>
      <name val="Calibri"/>
      <i val="1"/>
      <color rgb="00000000"/>
      <sz val="8"/>
    </font>
    <font>
      <name val="Calibri"/>
      <b val="1"/>
      <color rgb="007B3F00"/>
      <sz val="9"/>
    </font>
    <font>
      <name val="Calibri"/>
      <b val="1"/>
      <color rgb="007B3F00"/>
      <sz val="8"/>
    </font>
  </fonts>
  <fills count="28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FF0F0"/>
      </patternFill>
    </fill>
    <fill>
      <patternFill patternType="solid">
        <fgColor rgb="00F8F8F8"/>
      </patternFill>
    </fill>
    <fill>
      <patternFill patternType="solid">
        <fgColor rgb="00F3F3F3"/>
      </patternFill>
    </fill>
    <fill>
      <patternFill patternType="solid">
        <fgColor rgb="00B8860B"/>
      </patternFill>
    </fill>
    <fill>
      <patternFill patternType="solid">
        <fgColor rgb="00FFF8DC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7030A0"/>
      </patternFill>
    </fill>
    <fill>
      <patternFill patternType="solid">
        <fgColor rgb="00880000"/>
      </patternFill>
    </fill>
    <fill>
      <patternFill patternType="solid">
        <fgColor rgb="00FFE0E0"/>
      </patternFill>
    </fill>
    <fill>
      <patternFill patternType="solid">
        <fgColor rgb="00FF0000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8F8"/>
      </patternFill>
    </fill>
    <fill>
      <patternFill patternType="solid">
        <fgColor rgb="00FFE0B2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0" fillId="7" borderId="2" pivotButton="0" quotePrefix="0" xfId="0"/>
    <xf numFmtId="0" fontId="10" fillId="2" borderId="3" applyAlignment="1" pivotButton="0" quotePrefix="0" xfId="0">
      <alignment horizontal="center" vertical="center"/>
    </xf>
    <xf numFmtId="0" fontId="0" fillId="7" borderId="3" pivotButton="0" quotePrefix="0" xfId="0"/>
    <xf numFmtId="0" fontId="0" fillId="8" borderId="3" pivotButton="0" quotePrefix="0" xfId="0"/>
    <xf numFmtId="0" fontId="0" fillId="8" borderId="2" pivotButton="0" quotePrefix="0" xfId="0"/>
    <xf numFmtId="0" fontId="10" fillId="2" borderId="2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2" pivotButton="0" quotePrefix="0" xfId="0"/>
    <xf numFmtId="0" fontId="13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0" fillId="12" borderId="3" pivotButton="0" quotePrefix="0" xfId="0"/>
    <xf numFmtId="0" fontId="0" fillId="12" borderId="2" pivotButton="0" quotePrefix="0" xfId="0"/>
    <xf numFmtId="0" fontId="14" fillId="13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11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0" fillId="15" borderId="2" pivotButton="0" quotePrefix="0" xfId="0"/>
    <xf numFmtId="0" fontId="3" fillId="16" borderId="0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2" pivotButton="0" quotePrefix="0" xfId="0"/>
    <xf numFmtId="0" fontId="10" fillId="11" borderId="2" applyAlignment="1" pivotButton="0" quotePrefix="0" xfId="0">
      <alignment horizontal="center" vertical="center"/>
    </xf>
    <xf numFmtId="0" fontId="10" fillId="18" borderId="3" applyAlignment="1" pivotButton="0" quotePrefix="0" xfId="0">
      <alignment horizontal="center" vertical="center"/>
    </xf>
    <xf numFmtId="0" fontId="0" fillId="18" borderId="3" pivotButton="0" quotePrefix="0" xfId="0"/>
    <xf numFmtId="0" fontId="0" fillId="18" borderId="2" pivotButton="0" quotePrefix="0" xfId="0"/>
    <xf numFmtId="0" fontId="0" fillId="15" borderId="3" pivotButton="0" quotePrefix="0" xfId="0"/>
    <xf numFmtId="0" fontId="8" fillId="17" borderId="1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11" fillId="20" borderId="1" applyAlignment="1" pivotButton="0" quotePrefix="0" xfId="0">
      <alignment horizontal="center" vertical="center"/>
    </xf>
    <xf numFmtId="0" fontId="15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0" fillId="19" borderId="3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3" fillId="21" borderId="0" applyAlignment="1" pivotButton="0" quotePrefix="0" xfId="0">
      <alignment horizontal="left" vertical="center"/>
    </xf>
    <xf numFmtId="0" fontId="11" fillId="22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0" fillId="21" borderId="3" pivotButton="0" quotePrefix="0" xfId="0"/>
    <xf numFmtId="0" fontId="0" fillId="21" borderId="2" pivotButton="0" quotePrefix="0" xfId="0"/>
    <xf numFmtId="0" fontId="5" fillId="22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/>
    </xf>
    <xf numFmtId="0" fontId="16" fillId="23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/>
    </xf>
    <xf numFmtId="0" fontId="18" fillId="16" borderId="4" applyAlignment="1" pivotButton="0" quotePrefix="0" xfId="0">
      <alignment horizontal="center" vertical="center"/>
    </xf>
    <xf numFmtId="0" fontId="0" fillId="0" borderId="4" pivotButton="0" quotePrefix="0" xfId="0"/>
    <xf numFmtId="0" fontId="19" fillId="16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/>
    </xf>
    <xf numFmtId="0" fontId="20" fillId="10" borderId="4" applyAlignment="1" pivotButton="0" quotePrefix="0" xfId="0">
      <alignment horizontal="center" vertical="center"/>
    </xf>
    <xf numFmtId="0" fontId="21" fillId="10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 wrapText="1"/>
    </xf>
    <xf numFmtId="0" fontId="13" fillId="10" borderId="4" applyAlignment="1" pivotButton="0" quotePrefix="0" xfId="0">
      <alignment horizontal="center" vertical="center"/>
    </xf>
    <xf numFmtId="0" fontId="22" fillId="24" borderId="4" applyAlignment="1" pivotButton="0" quotePrefix="0" xfId="0">
      <alignment horizontal="center" vertical="center"/>
    </xf>
    <xf numFmtId="0" fontId="23" fillId="25" borderId="4" applyAlignment="1" pivotButton="0" quotePrefix="0" xfId="0">
      <alignment horizontal="center" vertical="center"/>
    </xf>
    <xf numFmtId="0" fontId="24" fillId="10" borderId="4" applyAlignment="1" pivotButton="0" quotePrefix="0" xfId="0">
      <alignment horizontal="left" vertical="center" wrapText="1"/>
    </xf>
    <xf numFmtId="0" fontId="25" fillId="10" borderId="4" applyAlignment="1" pivotButton="0" quotePrefix="0" xfId="0">
      <alignment horizontal="left" vertical="center" wrapText="1"/>
    </xf>
    <xf numFmtId="0" fontId="20" fillId="14" borderId="4" applyAlignment="1" pivotButton="0" quotePrefix="0" xfId="0">
      <alignment horizontal="center" vertical="center"/>
    </xf>
    <xf numFmtId="0" fontId="21" fillId="14" borderId="4" applyAlignment="1" pivotButton="0" quotePrefix="0" xfId="0">
      <alignment horizontal="center" vertical="center"/>
    </xf>
    <xf numFmtId="0" fontId="12" fillId="14" borderId="4" applyAlignment="1" pivotButton="0" quotePrefix="0" xfId="0">
      <alignment horizontal="left" vertical="center" wrapText="1"/>
    </xf>
    <xf numFmtId="0" fontId="13" fillId="14" borderId="4" applyAlignment="1" pivotButton="0" quotePrefix="0" xfId="0">
      <alignment horizontal="center" vertical="center"/>
    </xf>
    <xf numFmtId="0" fontId="24" fillId="14" borderId="4" applyAlignment="1" pivotButton="0" quotePrefix="0" xfId="0">
      <alignment horizontal="left" vertical="center" wrapText="1"/>
    </xf>
    <xf numFmtId="0" fontId="25" fillId="14" borderId="4" applyAlignment="1" pivotButton="0" quotePrefix="0" xfId="0">
      <alignment horizontal="left" vertical="center" wrapText="1"/>
    </xf>
    <xf numFmtId="0" fontId="20" fillId="17" borderId="4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13" fillId="17" borderId="4" applyAlignment="1" pivotButton="0" quotePrefix="0" xfId="0">
      <alignment horizontal="left" vertical="center" wrapText="1"/>
    </xf>
    <xf numFmtId="0" fontId="26" fillId="17" borderId="4" applyAlignment="1" pivotButton="0" quotePrefix="0" xfId="0">
      <alignment horizontal="left" vertical="center" wrapText="1"/>
    </xf>
    <xf numFmtId="0" fontId="25" fillId="17" borderId="4" applyAlignment="1" pivotButton="0" quotePrefix="0" xfId="0">
      <alignment horizontal="left" vertical="center" wrapText="1"/>
    </xf>
    <xf numFmtId="0" fontId="3" fillId="23" borderId="0" applyAlignment="1" pivotButton="0" quotePrefix="0" xfId="0">
      <alignment horizontal="left" vertical="center"/>
    </xf>
    <xf numFmtId="0" fontId="18" fillId="2" borderId="4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center" vertical="center"/>
    </xf>
    <xf numFmtId="0" fontId="27" fillId="6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 wrapText="1"/>
    </xf>
    <xf numFmtId="0" fontId="5" fillId="17" borderId="4" applyAlignment="1" pivotButton="0" quotePrefix="0" xfId="0">
      <alignment horizontal="center" vertical="center"/>
    </xf>
    <xf numFmtId="0" fontId="12" fillId="17" borderId="4" applyAlignment="1" pivotButton="0" quotePrefix="0" xfId="0">
      <alignment horizontal="left" vertical="center" wrapText="1"/>
    </xf>
    <xf numFmtId="0" fontId="7" fillId="17" borderId="4" applyAlignment="1" pivotButton="0" quotePrefix="0" xfId="0">
      <alignment horizontal="center" vertical="center"/>
    </xf>
    <xf numFmtId="0" fontId="8" fillId="17" borderId="4" applyAlignment="1" pivotButton="0" quotePrefix="0" xfId="0">
      <alignment horizontal="center" vertical="center"/>
    </xf>
    <xf numFmtId="0" fontId="12" fillId="17" borderId="4" applyAlignment="1" pivotButton="0" quotePrefix="0" xfId="0">
      <alignment horizontal="center" vertical="center"/>
    </xf>
    <xf numFmtId="0" fontId="7" fillId="17" borderId="4" applyAlignment="1" pivotButton="0" quotePrefix="0" xfId="0">
      <alignment horizontal="left" vertical="center" wrapText="1"/>
    </xf>
    <xf numFmtId="0" fontId="27" fillId="17" borderId="4" applyAlignment="1" pivotButton="0" quotePrefix="0" xfId="0">
      <alignment horizontal="center" vertical="center"/>
    </xf>
    <xf numFmtId="0" fontId="20" fillId="23" borderId="4" applyAlignment="1" pivotButton="0" quotePrefix="0" xfId="0">
      <alignment horizontal="center" vertical="center"/>
    </xf>
    <xf numFmtId="0" fontId="5" fillId="23" borderId="4" applyAlignment="1" pivotButton="0" quotePrefix="0" xfId="0">
      <alignment horizontal="center" vertical="center"/>
    </xf>
    <xf numFmtId="0" fontId="12" fillId="23" borderId="4" applyAlignment="1" pivotButton="0" quotePrefix="0" xfId="0">
      <alignment horizontal="left" vertical="center" wrapText="1"/>
    </xf>
    <xf numFmtId="0" fontId="7" fillId="23" borderId="4" applyAlignment="1" pivotButton="0" quotePrefix="0" xfId="0">
      <alignment horizontal="center" vertical="center"/>
    </xf>
    <xf numFmtId="0" fontId="8" fillId="23" borderId="4" applyAlignment="1" pivotButton="0" quotePrefix="0" xfId="0">
      <alignment horizontal="center" vertical="center"/>
    </xf>
    <xf numFmtId="0" fontId="12" fillId="23" borderId="4" applyAlignment="1" pivotButton="0" quotePrefix="0" xfId="0">
      <alignment horizontal="center" vertical="center"/>
    </xf>
    <xf numFmtId="0" fontId="26" fillId="23" borderId="4" applyAlignment="1" pivotButton="0" quotePrefix="0" xfId="0">
      <alignment horizontal="left" vertical="center" wrapText="1"/>
    </xf>
    <xf numFmtId="0" fontId="28" fillId="3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29" fillId="13" borderId="4" applyAlignment="1" pivotButton="0" quotePrefix="0" xfId="0">
      <alignment horizontal="left" vertical="center"/>
    </xf>
    <xf numFmtId="0" fontId="12" fillId="13" borderId="4" applyAlignment="1" pivotButton="0" quotePrefix="0" xfId="0">
      <alignment horizontal="left" vertical="center"/>
    </xf>
    <xf numFmtId="0" fontId="29" fillId="13" borderId="4" applyAlignment="1" pivotButton="0" quotePrefix="0" xfId="0">
      <alignment horizontal="center" vertical="center"/>
    </xf>
    <xf numFmtId="0" fontId="30" fillId="23" borderId="4" applyAlignment="1" pivotButton="0" quotePrefix="0" xfId="0">
      <alignment horizontal="left" vertical="center"/>
    </xf>
    <xf numFmtId="0" fontId="12" fillId="23" borderId="4" applyAlignment="1" pivotButton="0" quotePrefix="0" xfId="0">
      <alignment horizontal="left" vertical="center"/>
    </xf>
    <xf numFmtId="0" fontId="30" fillId="23" borderId="4" applyAlignment="1" pivotButton="0" quotePrefix="0" xfId="0">
      <alignment horizontal="center" vertical="center"/>
    </xf>
    <xf numFmtId="0" fontId="29" fillId="22" borderId="4" applyAlignment="1" pivotButton="0" quotePrefix="0" xfId="0">
      <alignment horizontal="left" vertical="center"/>
    </xf>
    <xf numFmtId="0" fontId="12" fillId="22" borderId="4" applyAlignment="1" pivotButton="0" quotePrefix="0" xfId="0">
      <alignment horizontal="left" vertical="center"/>
    </xf>
    <xf numFmtId="0" fontId="29" fillId="22" borderId="4" applyAlignment="1" pivotButton="0" quotePrefix="0" xfId="0">
      <alignment horizontal="center" vertical="center"/>
    </xf>
    <xf numFmtId="0" fontId="23" fillId="25" borderId="4" applyAlignment="1" pivotButton="0" quotePrefix="0" xfId="0">
      <alignment horizontal="left" vertical="center"/>
    </xf>
    <xf numFmtId="0" fontId="12" fillId="25" borderId="4" applyAlignment="1" pivotButton="0" quotePrefix="0" xfId="0">
      <alignment horizontal="left" vertical="center"/>
    </xf>
    <xf numFmtId="0" fontId="18" fillId="3" borderId="4" applyAlignment="1" pivotButton="0" quotePrefix="0" xfId="0">
      <alignment horizontal="center" vertical="center"/>
    </xf>
    <xf numFmtId="0" fontId="19" fillId="5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6" fillId="17" borderId="4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31" fillId="25" borderId="4" applyAlignment="1" pivotButton="0" quotePrefix="0" xfId="0">
      <alignment horizontal="center" vertical="center"/>
    </xf>
    <xf numFmtId="0" fontId="8" fillId="14" borderId="4" applyAlignment="1" pivotButton="0" quotePrefix="0" xfId="0">
      <alignment horizontal="center" vertical="center"/>
    </xf>
    <xf numFmtId="0" fontId="11" fillId="14" borderId="4" applyAlignment="1" pivotButton="0" quotePrefix="0" xfId="0">
      <alignment horizontal="center" vertical="center"/>
    </xf>
    <xf numFmtId="0" fontId="13" fillId="14" borderId="4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11" fillId="26" borderId="4" applyAlignment="1" pivotButton="0" quotePrefix="0" xfId="0">
      <alignment horizontal="center" vertical="center"/>
    </xf>
    <xf numFmtId="0" fontId="12" fillId="26" borderId="4" applyAlignment="1" pivotButton="0" quotePrefix="0" xfId="0">
      <alignment horizontal="left" vertical="center" wrapText="1"/>
    </xf>
    <xf numFmtId="0" fontId="7" fillId="26" borderId="4" applyAlignment="1" pivotButton="0" quotePrefix="0" xfId="0">
      <alignment horizontal="center" vertical="center"/>
    </xf>
    <xf numFmtId="0" fontId="8" fillId="26" borderId="4" applyAlignment="1" pivotButton="0" quotePrefix="0" xfId="0">
      <alignment horizontal="center" vertical="center"/>
    </xf>
    <xf numFmtId="0" fontId="25" fillId="26" borderId="4" applyAlignment="1" pivotButton="0" quotePrefix="0" xfId="0">
      <alignment horizontal="left" vertical="center" wrapText="1"/>
    </xf>
    <xf numFmtId="0" fontId="11" fillId="20" borderId="4" applyAlignment="1" pivotButton="0" quotePrefix="0" xfId="0">
      <alignment horizontal="center" vertical="center"/>
    </xf>
    <xf numFmtId="0" fontId="12" fillId="20" borderId="4" applyAlignment="1" pivotButton="0" quotePrefix="0" xfId="0">
      <alignment horizontal="left" vertical="center" wrapText="1"/>
    </xf>
    <xf numFmtId="0" fontId="7" fillId="20" borderId="4" applyAlignment="1" pivotButton="0" quotePrefix="0" xfId="0">
      <alignment horizontal="center" vertical="center"/>
    </xf>
    <xf numFmtId="0" fontId="8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left" vertical="center"/>
    </xf>
    <xf numFmtId="0" fontId="30" fillId="23" borderId="4" applyAlignment="1" pivotButton="0" quotePrefix="0" xfId="0">
      <alignment horizontal="left" vertical="center" wrapText="1"/>
    </xf>
    <xf numFmtId="0" fontId="7" fillId="23" borderId="4" applyAlignment="1" pivotButton="0" quotePrefix="0" xfId="0">
      <alignment horizontal="left" vertical="center" wrapText="1"/>
    </xf>
    <xf numFmtId="0" fontId="6" fillId="23" borderId="4" applyAlignment="1" pivotButton="0" quotePrefix="0" xfId="0">
      <alignment horizontal="center" vertical="center"/>
    </xf>
    <xf numFmtId="0" fontId="32" fillId="23" borderId="4" applyAlignment="1" pivotButton="0" quotePrefix="0" xfId="0">
      <alignment horizontal="left" vertical="center" wrapText="1"/>
    </xf>
    <xf numFmtId="0" fontId="16" fillId="23" borderId="4" applyAlignment="1" pivotButton="0" quotePrefix="0" xfId="0">
      <alignment horizontal="center" vertical="center"/>
    </xf>
    <xf numFmtId="0" fontId="23" fillId="25" borderId="4" applyAlignment="1" pivotButton="0" quotePrefix="0" xfId="0">
      <alignment horizontal="left" vertical="center" wrapText="1"/>
    </xf>
    <xf numFmtId="0" fontId="7" fillId="25" borderId="4" applyAlignment="1" pivotButton="0" quotePrefix="0" xfId="0">
      <alignment horizontal="left" vertical="center" wrapText="1"/>
    </xf>
    <xf numFmtId="0" fontId="6" fillId="25" borderId="4" applyAlignment="1" pivotButton="0" quotePrefix="0" xfId="0">
      <alignment horizontal="center" vertical="center"/>
    </xf>
    <xf numFmtId="0" fontId="32" fillId="25" borderId="4" applyAlignment="1" pivotButton="0" quotePrefix="0" xfId="0">
      <alignment horizontal="left" vertical="center" wrapText="1"/>
    </xf>
    <xf numFmtId="0" fontId="33" fillId="27" borderId="4" applyAlignment="1" pivotButton="0" quotePrefix="0" xfId="0">
      <alignment horizontal="center" vertical="center"/>
    </xf>
    <xf numFmtId="0" fontId="33" fillId="27" borderId="4" applyAlignment="1" pivotButton="0" quotePrefix="0" xfId="0">
      <alignment horizontal="left" vertical="center" wrapText="1"/>
    </xf>
    <xf numFmtId="0" fontId="7" fillId="27" borderId="4" applyAlignment="1" pivotButton="0" quotePrefix="0" xfId="0">
      <alignment horizontal="left" vertical="center" wrapText="1"/>
    </xf>
    <xf numFmtId="0" fontId="6" fillId="27" borderId="4" applyAlignment="1" pivotButton="0" quotePrefix="0" xfId="0">
      <alignment horizontal="center" vertical="center"/>
    </xf>
    <xf numFmtId="0" fontId="32" fillId="27" borderId="4" applyAlignment="1" pivotButton="0" quotePrefix="0" xfId="0">
      <alignment horizontal="left" vertical="center" wrapText="1"/>
    </xf>
    <xf numFmtId="0" fontId="34" fillId="27" borderId="4" applyAlignment="1" pivotButton="0" quotePrefix="0" xfId="0">
      <alignment horizontal="center" vertical="center"/>
    </xf>
    <xf numFmtId="0" fontId="29" fillId="13" borderId="4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left" vertical="center" wrapText="1"/>
    </xf>
    <xf numFmtId="0" fontId="6" fillId="13" borderId="4" applyAlignment="1" pivotButton="0" quotePrefix="0" xfId="0">
      <alignment horizontal="center" vertical="center"/>
    </xf>
    <xf numFmtId="0" fontId="32" fillId="13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77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1" customWidth="1" min="4" max="4"/>
    <col width="11" customWidth="1" min="5" max="5"/>
    <col width="10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  <col width="2.2" customWidth="1" min="60" max="60"/>
    <col width="2.2" customWidth="1" min="61" max="61"/>
    <col width="2.2" customWidth="1" min="62" max="62"/>
    <col width="2.2" customWidth="1" min="63" max="63"/>
    <col width="2.2" customWidth="1" min="64" max="64"/>
    <col width="2.2" customWidth="1" min="65" max="65"/>
    <col width="2.2" customWidth="1" min="66" max="66"/>
    <col width="2.2" customWidth="1" min="67" max="67"/>
    <col width="2.2" customWidth="1" min="68" max="68"/>
    <col width="2.2" customWidth="1" min="69" max="69"/>
    <col width="2.2" customWidth="1" min="70" max="70"/>
    <col width="2.2" customWidth="1" min="71" max="71"/>
    <col width="2.2" customWidth="1" min="72" max="72"/>
    <col width="2.2" customWidth="1" min="73" max="73"/>
    <col width="2.2" customWidth="1" min="74" max="74"/>
    <col width="2.2" customWidth="1" min="75" max="75"/>
    <col width="2.2" customWidth="1" min="76" max="76"/>
    <col width="2.2" customWidth="1" min="77" max="77"/>
    <col width="2.2" customWidth="1" min="78" max="78"/>
    <col width="2.2" customWidth="1" min="79" max="79"/>
    <col width="2.2" customWidth="1" min="80" max="80"/>
    <col width="2.2" customWidth="1" min="81" max="81"/>
    <col width="2.2" customWidth="1" min="82" max="82"/>
    <col width="2.2" customWidth="1" min="83" max="83"/>
    <col width="2.2" customWidth="1" min="84" max="84"/>
    <col width="2.2" customWidth="1" min="85" max="85"/>
    <col width="2.2" customWidth="1" min="86" max="86"/>
    <col width="2.2" customWidth="1" min="87" max="87"/>
    <col width="2.2" customWidth="1" min="88" max="88"/>
    <col width="2.2" customWidth="1" min="89" max="89"/>
    <col width="2.2" customWidth="1" min="90" max="90"/>
    <col width="2.2" customWidth="1" min="91" max="91"/>
    <col width="2.2" customWidth="1" min="92" max="92"/>
    <col width="2.2" customWidth="1" min="93" max="93"/>
    <col width="2.2" customWidth="1" min="94" max="94"/>
    <col width="2.2" customWidth="1" min="95" max="95"/>
    <col width="2.2" customWidth="1" min="96" max="96"/>
    <col width="2.2" customWidth="1" min="97" max="97"/>
    <col width="2.2" customWidth="1" min="98" max="98"/>
    <col width="2.2" customWidth="1" min="99" max="99"/>
    <col width="2.2" customWidth="1" min="100" max="100"/>
    <col width="2.2" customWidth="1" min="101" max="101"/>
    <col width="2.2" customWidth="1" min="102" max="102"/>
  </cols>
  <sheetData>
    <row r="1" ht="30" customHeight="1">
      <c r="A1" s="1" t="inlineStr">
        <is>
          <t>GANTT MAESTRO DE SEGUIMIENTO — PROVISIÓN ABB  |  CPF-2 LA CALERA II (VACA MUERTA)  |  RFSU: 31/01/2028</t>
        </is>
      </c>
    </row>
    <row r="2" ht="13" customHeight="1">
      <c r="A2" s="2" t="inlineStr">
        <is>
          <t>■ ★ Cadena Crítica (S#3)    ■ Actividades Paralelas (S#4/PMS)    ■ FAT / Ensayos    ■ Despacho    ■ Integración/Comisionado    ■ ◆ Freezing Point    ■ § Hito de Pago    ■ ★ Hito Contractual</t>
        </is>
      </c>
    </row>
    <row r="3" ht="14" customHeight="1">
      <c r="G3" s="3" t="inlineStr">
        <is>
          <t>2026</t>
        </is>
      </c>
      <c r="AP3" s="3" t="inlineStr">
        <is>
          <t>2027</t>
        </is>
      </c>
      <c r="CQ3" s="3" t="inlineStr">
        <is>
          <t>2028</t>
        </is>
      </c>
    </row>
    <row r="4" ht="13" customHeight="1">
      <c r="G4" s="4" t="inlineStr">
        <is>
          <t>May</t>
        </is>
      </c>
      <c r="L4" s="5" t="inlineStr">
        <is>
          <t>Jun</t>
        </is>
      </c>
      <c r="P4" s="4" t="inlineStr">
        <is>
          <t>Jul</t>
        </is>
      </c>
      <c r="U4" s="5" t="inlineStr">
        <is>
          <t>Ago</t>
        </is>
      </c>
      <c r="Y4" s="4" t="inlineStr">
        <is>
          <t>Sep</t>
        </is>
      </c>
      <c r="AC4" s="5" t="inlineStr">
        <is>
          <t>Oct</t>
        </is>
      </c>
      <c r="AH4" s="4" t="inlineStr">
        <is>
          <t>Nov</t>
        </is>
      </c>
      <c r="AL4" s="5" t="inlineStr">
        <is>
          <t>Dic</t>
        </is>
      </c>
      <c r="AP4" s="4" t="inlineStr">
        <is>
          <t>Ene</t>
        </is>
      </c>
      <c r="AU4" s="5" t="inlineStr">
        <is>
          <t>Feb</t>
        </is>
      </c>
      <c r="AY4" s="4" t="inlineStr">
        <is>
          <t>Mar</t>
        </is>
      </c>
      <c r="BC4" s="5" t="inlineStr">
        <is>
          <t>Abr</t>
        </is>
      </c>
      <c r="BH4" s="4" t="inlineStr">
        <is>
          <t>May</t>
        </is>
      </c>
      <c r="BL4" s="5" t="inlineStr">
        <is>
          <t>Jun</t>
        </is>
      </c>
      <c r="BP4" s="4" t="inlineStr">
        <is>
          <t>Jul</t>
        </is>
      </c>
      <c r="BU4" s="5" t="inlineStr">
        <is>
          <t>Ago</t>
        </is>
      </c>
      <c r="BY4" s="4" t="inlineStr">
        <is>
          <t>Sep</t>
        </is>
      </c>
      <c r="CC4" s="5" t="inlineStr">
        <is>
          <t>Oct</t>
        </is>
      </c>
      <c r="CH4" s="4" t="inlineStr">
        <is>
          <t>Nov</t>
        </is>
      </c>
      <c r="CL4" s="5" t="inlineStr">
        <is>
          <t>Dic</t>
        </is>
      </c>
      <c r="CQ4" s="4" t="inlineStr">
        <is>
          <t>Ene</t>
        </is>
      </c>
      <c r="CU4" s="5" t="inlineStr">
        <is>
          <t>Feb</t>
        </is>
      </c>
    </row>
    <row r="5" ht="20" customHeight="1">
      <c r="A5" s="3" t="inlineStr">
        <is>
          <t>ID</t>
        </is>
      </c>
      <c r="B5" s="3" t="inlineStr">
        <is>
          <t>Actividad / Hito</t>
        </is>
      </c>
      <c r="C5" s="3" t="inlineStr">
        <is>
          <t>OC</t>
        </is>
      </c>
      <c r="D5" s="3" t="inlineStr">
        <is>
          <t>Inicio Plan</t>
        </is>
      </c>
      <c r="E5" s="3" t="inlineStr">
        <is>
          <t>Fin Plan</t>
        </is>
      </c>
      <c r="F5" s="3" t="inlineStr">
        <is>
          <t>Holgura P6</t>
        </is>
      </c>
    </row>
    <row r="6" ht="16" customHeight="1">
      <c r="A6" s="6" t="inlineStr">
        <is>
          <t xml:space="preserve">  ▶  CONTRATO</t>
        </is>
      </c>
    </row>
    <row r="7" ht="13" customHeight="1">
      <c r="A7" s="7" t="inlineStr">
        <is>
          <t>HC-01</t>
        </is>
      </c>
      <c r="B7" s="8" t="inlineStr">
        <is>
          <t>◆ Aceptación OC — Inicio oficial ABB</t>
        </is>
      </c>
      <c r="C7" s="9" t="inlineStr">
        <is>
          <t>S3+S4+PMS</t>
        </is>
      </c>
      <c r="D7" s="7" t="inlineStr">
        <is>
          <t>12/05/2026</t>
        </is>
      </c>
      <c r="E7" s="10" t="inlineStr">
        <is>
          <t>12/05/2026</t>
        </is>
      </c>
      <c r="F7" s="11" t="inlineStr">
        <is>
          <t>—</t>
        </is>
      </c>
      <c r="G7" s="12" t="n"/>
      <c r="H7" s="13" t="inlineStr">
        <is>
          <t>★</t>
        </is>
      </c>
      <c r="I7" s="14" t="n"/>
      <c r="J7" s="15" t="n"/>
      <c r="K7" s="14" t="n"/>
      <c r="L7" s="16" t="n"/>
      <c r="M7" s="14" t="n"/>
      <c r="N7" s="15" t="n"/>
      <c r="O7" s="14" t="n"/>
      <c r="P7" s="16" t="n"/>
      <c r="Q7" s="14" t="n"/>
      <c r="R7" s="15" t="n"/>
      <c r="S7" s="14" t="n"/>
      <c r="T7" s="15" t="n"/>
      <c r="U7" s="12" t="n"/>
      <c r="V7" s="15" t="n"/>
      <c r="W7" s="14" t="n"/>
      <c r="X7" s="15" t="n"/>
      <c r="Y7" s="12" t="n"/>
      <c r="Z7" s="15" t="n"/>
      <c r="AA7" s="14" t="n"/>
      <c r="AB7" s="15" t="n"/>
      <c r="AC7" s="12" t="n"/>
      <c r="AD7" s="15" t="n"/>
      <c r="AE7" s="14" t="n"/>
      <c r="AF7" s="15" t="n"/>
      <c r="AG7" s="14" t="n"/>
      <c r="AH7" s="16" t="n"/>
      <c r="AI7" s="14" t="n"/>
      <c r="AJ7" s="15" t="n"/>
      <c r="AK7" s="14" t="n"/>
      <c r="AL7" s="16" t="n"/>
      <c r="AM7" s="14" t="n"/>
      <c r="AN7" s="15" t="n"/>
      <c r="AO7" s="14" t="n"/>
      <c r="AP7" s="16" t="n"/>
      <c r="AQ7" s="14" t="n"/>
      <c r="AR7" s="15" t="n"/>
      <c r="AS7" s="14" t="n"/>
      <c r="AT7" s="15" t="n"/>
      <c r="AU7" s="12" t="n"/>
      <c r="AV7" s="15" t="n"/>
      <c r="AW7" s="14" t="n"/>
      <c r="AX7" s="15" t="n"/>
      <c r="AY7" s="12" t="n"/>
      <c r="AZ7" s="15" t="n"/>
      <c r="BA7" s="14" t="n"/>
      <c r="BB7" s="15" t="n"/>
      <c r="BC7" s="12" t="n"/>
      <c r="BD7" s="15" t="n"/>
      <c r="BE7" s="14" t="n"/>
      <c r="BF7" s="15" t="n"/>
      <c r="BG7" s="14" t="n"/>
      <c r="BH7" s="16" t="n"/>
      <c r="BI7" s="14" t="n"/>
      <c r="BJ7" s="15" t="n"/>
      <c r="BK7" s="14" t="n"/>
      <c r="BL7" s="16" t="n"/>
      <c r="BM7" s="14" t="n"/>
      <c r="BN7" s="15" t="n"/>
      <c r="BO7" s="14" t="n"/>
      <c r="BP7" s="16" t="n"/>
      <c r="BQ7" s="14" t="n"/>
      <c r="BR7" s="15" t="n"/>
      <c r="BS7" s="14" t="n"/>
      <c r="BT7" s="15" t="n"/>
      <c r="BU7" s="12" t="n"/>
      <c r="BV7" s="15" t="n"/>
      <c r="BW7" s="14" t="n"/>
      <c r="BX7" s="15" t="n"/>
      <c r="BY7" s="12" t="n"/>
      <c r="BZ7" s="15" t="n"/>
      <c r="CA7" s="14" t="n"/>
      <c r="CB7" s="15" t="n"/>
      <c r="CC7" s="12" t="n"/>
      <c r="CD7" s="15" t="n"/>
      <c r="CE7" s="14" t="n"/>
      <c r="CF7" s="15" t="n"/>
      <c r="CG7" s="14" t="n"/>
      <c r="CH7" s="16" t="n"/>
      <c r="CI7" s="14" t="n"/>
      <c r="CJ7" s="15" t="n"/>
      <c r="CK7" s="14" t="n"/>
      <c r="CL7" s="16" t="n"/>
      <c r="CM7" s="14" t="n"/>
      <c r="CN7" s="15" t="n"/>
      <c r="CO7" s="14" t="n"/>
      <c r="CP7" s="15" t="n"/>
      <c r="CQ7" s="12" t="n"/>
      <c r="CR7" s="15" t="n"/>
      <c r="CS7" s="14" t="n"/>
      <c r="CT7" s="15" t="n"/>
      <c r="CU7" s="12" t="n"/>
      <c r="CV7" s="15" t="n"/>
      <c r="CW7" s="14" t="n"/>
      <c r="CX7" s="15" t="n"/>
    </row>
    <row r="8" ht="13" customHeight="1">
      <c r="A8" s="7" t="inlineStr">
        <is>
          <t>HC-02</t>
        </is>
      </c>
      <c r="B8" s="8" t="inlineStr">
        <is>
          <t>Envío cronograma preliminar ABB</t>
        </is>
      </c>
      <c r="C8" s="9" t="inlineStr">
        <is>
          <t>S3+S4+PMS</t>
        </is>
      </c>
      <c r="D8" s="7" t="inlineStr">
        <is>
          <t>12/05/2026</t>
        </is>
      </c>
      <c r="E8" s="10" t="inlineStr">
        <is>
          <t>12/05/2026</t>
        </is>
      </c>
      <c r="F8" s="11" t="inlineStr">
        <is>
          <t>—</t>
        </is>
      </c>
      <c r="G8" s="12" t="n"/>
      <c r="H8" s="13" t="inlineStr">
        <is>
          <t>★</t>
        </is>
      </c>
      <c r="I8" s="14" t="n"/>
      <c r="J8" s="15" t="n"/>
      <c r="K8" s="14" t="n"/>
      <c r="L8" s="16" t="n"/>
      <c r="M8" s="14" t="n"/>
      <c r="N8" s="15" t="n"/>
      <c r="O8" s="14" t="n"/>
      <c r="P8" s="16" t="n"/>
      <c r="Q8" s="14" t="n"/>
      <c r="R8" s="15" t="n"/>
      <c r="S8" s="14" t="n"/>
      <c r="T8" s="15" t="n"/>
      <c r="U8" s="12" t="n"/>
      <c r="V8" s="15" t="n"/>
      <c r="W8" s="14" t="n"/>
      <c r="X8" s="15" t="n"/>
      <c r="Y8" s="12" t="n"/>
      <c r="Z8" s="15" t="n"/>
      <c r="AA8" s="14" t="n"/>
      <c r="AB8" s="15" t="n"/>
      <c r="AC8" s="12" t="n"/>
      <c r="AD8" s="15" t="n"/>
      <c r="AE8" s="14" t="n"/>
      <c r="AF8" s="15" t="n"/>
      <c r="AG8" s="14" t="n"/>
      <c r="AH8" s="16" t="n"/>
      <c r="AI8" s="14" t="n"/>
      <c r="AJ8" s="15" t="n"/>
      <c r="AK8" s="14" t="n"/>
      <c r="AL8" s="16" t="n"/>
      <c r="AM8" s="14" t="n"/>
      <c r="AN8" s="15" t="n"/>
      <c r="AO8" s="14" t="n"/>
      <c r="AP8" s="16" t="n"/>
      <c r="AQ8" s="14" t="n"/>
      <c r="AR8" s="15" t="n"/>
      <c r="AS8" s="14" t="n"/>
      <c r="AT8" s="15" t="n"/>
      <c r="AU8" s="12" t="n"/>
      <c r="AV8" s="15" t="n"/>
      <c r="AW8" s="14" t="n"/>
      <c r="AX8" s="15" t="n"/>
      <c r="AY8" s="12" t="n"/>
      <c r="AZ8" s="15" t="n"/>
      <c r="BA8" s="14" t="n"/>
      <c r="BB8" s="15" t="n"/>
      <c r="BC8" s="12" t="n"/>
      <c r="BD8" s="15" t="n"/>
      <c r="BE8" s="14" t="n"/>
      <c r="BF8" s="15" t="n"/>
      <c r="BG8" s="14" t="n"/>
      <c r="BH8" s="16" t="n"/>
      <c r="BI8" s="14" t="n"/>
      <c r="BJ8" s="15" t="n"/>
      <c r="BK8" s="14" t="n"/>
      <c r="BL8" s="16" t="n"/>
      <c r="BM8" s="14" t="n"/>
      <c r="BN8" s="15" t="n"/>
      <c r="BO8" s="14" t="n"/>
      <c r="BP8" s="16" t="n"/>
      <c r="BQ8" s="14" t="n"/>
      <c r="BR8" s="15" t="n"/>
      <c r="BS8" s="14" t="n"/>
      <c r="BT8" s="15" t="n"/>
      <c r="BU8" s="12" t="n"/>
      <c r="BV8" s="15" t="n"/>
      <c r="BW8" s="14" t="n"/>
      <c r="BX8" s="15" t="n"/>
      <c r="BY8" s="12" t="n"/>
      <c r="BZ8" s="15" t="n"/>
      <c r="CA8" s="14" t="n"/>
      <c r="CB8" s="15" t="n"/>
      <c r="CC8" s="12" t="n"/>
      <c r="CD8" s="15" t="n"/>
      <c r="CE8" s="14" t="n"/>
      <c r="CF8" s="15" t="n"/>
      <c r="CG8" s="14" t="n"/>
      <c r="CH8" s="16" t="n"/>
      <c r="CI8" s="14" t="n"/>
      <c r="CJ8" s="15" t="n"/>
      <c r="CK8" s="14" t="n"/>
      <c r="CL8" s="16" t="n"/>
      <c r="CM8" s="14" t="n"/>
      <c r="CN8" s="15" t="n"/>
      <c r="CO8" s="14" t="n"/>
      <c r="CP8" s="15" t="n"/>
      <c r="CQ8" s="12" t="n"/>
      <c r="CR8" s="15" t="n"/>
      <c r="CS8" s="14" t="n"/>
      <c r="CT8" s="15" t="n"/>
      <c r="CU8" s="12" t="n"/>
      <c r="CV8" s="15" t="n"/>
      <c r="CW8" s="14" t="n"/>
      <c r="CX8" s="15" t="n"/>
    </row>
    <row r="9" ht="13" customHeight="1">
      <c r="A9" s="7" t="inlineStr">
        <is>
          <t>HC-03</t>
        </is>
      </c>
      <c r="B9" s="8" t="inlineStr">
        <is>
          <t>KOM Salas Eléctricas #3 y #4</t>
        </is>
      </c>
      <c r="C9" s="9" t="inlineStr">
        <is>
          <t>S3+S4</t>
        </is>
      </c>
      <c r="D9" s="7" t="inlineStr">
        <is>
          <t>18/05/2026</t>
        </is>
      </c>
      <c r="E9" s="10" t="inlineStr">
        <is>
          <t>18/05/2026</t>
        </is>
      </c>
      <c r="F9" s="11" t="inlineStr">
        <is>
          <t>—</t>
        </is>
      </c>
      <c r="G9" s="12" t="n"/>
      <c r="H9" s="15" t="n"/>
      <c r="I9" s="13" t="inlineStr">
        <is>
          <t>★</t>
        </is>
      </c>
      <c r="J9" s="15" t="n"/>
      <c r="K9" s="14" t="n"/>
      <c r="L9" s="16" t="n"/>
      <c r="M9" s="14" t="n"/>
      <c r="N9" s="15" t="n"/>
      <c r="O9" s="14" t="n"/>
      <c r="P9" s="16" t="n"/>
      <c r="Q9" s="14" t="n"/>
      <c r="R9" s="15" t="n"/>
      <c r="S9" s="14" t="n"/>
      <c r="T9" s="15" t="n"/>
      <c r="U9" s="12" t="n"/>
      <c r="V9" s="15" t="n"/>
      <c r="W9" s="14" t="n"/>
      <c r="X9" s="15" t="n"/>
      <c r="Y9" s="12" t="n"/>
      <c r="Z9" s="15" t="n"/>
      <c r="AA9" s="14" t="n"/>
      <c r="AB9" s="15" t="n"/>
      <c r="AC9" s="12" t="n"/>
      <c r="AD9" s="15" t="n"/>
      <c r="AE9" s="14" t="n"/>
      <c r="AF9" s="15" t="n"/>
      <c r="AG9" s="14" t="n"/>
      <c r="AH9" s="16" t="n"/>
      <c r="AI9" s="14" t="n"/>
      <c r="AJ9" s="15" t="n"/>
      <c r="AK9" s="14" t="n"/>
      <c r="AL9" s="16" t="n"/>
      <c r="AM9" s="14" t="n"/>
      <c r="AN9" s="15" t="n"/>
      <c r="AO9" s="14" t="n"/>
      <c r="AP9" s="16" t="n"/>
      <c r="AQ9" s="14" t="n"/>
      <c r="AR9" s="15" t="n"/>
      <c r="AS9" s="14" t="n"/>
      <c r="AT9" s="15" t="n"/>
      <c r="AU9" s="12" t="n"/>
      <c r="AV9" s="15" t="n"/>
      <c r="AW9" s="14" t="n"/>
      <c r="AX9" s="15" t="n"/>
      <c r="AY9" s="12" t="n"/>
      <c r="AZ9" s="15" t="n"/>
      <c r="BA9" s="14" t="n"/>
      <c r="BB9" s="15" t="n"/>
      <c r="BC9" s="12" t="n"/>
      <c r="BD9" s="15" t="n"/>
      <c r="BE9" s="14" t="n"/>
      <c r="BF9" s="15" t="n"/>
      <c r="BG9" s="14" t="n"/>
      <c r="BH9" s="16" t="n"/>
      <c r="BI9" s="14" t="n"/>
      <c r="BJ9" s="15" t="n"/>
      <c r="BK9" s="14" t="n"/>
      <c r="BL9" s="16" t="n"/>
      <c r="BM9" s="14" t="n"/>
      <c r="BN9" s="15" t="n"/>
      <c r="BO9" s="14" t="n"/>
      <c r="BP9" s="16" t="n"/>
      <c r="BQ9" s="14" t="n"/>
      <c r="BR9" s="15" t="n"/>
      <c r="BS9" s="14" t="n"/>
      <c r="BT9" s="15" t="n"/>
      <c r="BU9" s="12" t="n"/>
      <c r="BV9" s="15" t="n"/>
      <c r="BW9" s="14" t="n"/>
      <c r="BX9" s="15" t="n"/>
      <c r="BY9" s="12" t="n"/>
      <c r="BZ9" s="15" t="n"/>
      <c r="CA9" s="14" t="n"/>
      <c r="CB9" s="15" t="n"/>
      <c r="CC9" s="12" t="n"/>
      <c r="CD9" s="15" t="n"/>
      <c r="CE9" s="14" t="n"/>
      <c r="CF9" s="15" t="n"/>
      <c r="CG9" s="14" t="n"/>
      <c r="CH9" s="16" t="n"/>
      <c r="CI9" s="14" t="n"/>
      <c r="CJ9" s="15" t="n"/>
      <c r="CK9" s="14" t="n"/>
      <c r="CL9" s="16" t="n"/>
      <c r="CM9" s="14" t="n"/>
      <c r="CN9" s="15" t="n"/>
      <c r="CO9" s="14" t="n"/>
      <c r="CP9" s="15" t="n"/>
      <c r="CQ9" s="12" t="n"/>
      <c r="CR9" s="15" t="n"/>
      <c r="CS9" s="14" t="n"/>
      <c r="CT9" s="15" t="n"/>
      <c r="CU9" s="12" t="n"/>
      <c r="CV9" s="15" t="n"/>
      <c r="CW9" s="14" t="n"/>
      <c r="CX9" s="15" t="n"/>
    </row>
    <row r="10" ht="13" customHeight="1">
      <c r="A10" s="7" t="inlineStr">
        <is>
          <t>HC-04</t>
        </is>
      </c>
      <c r="B10" s="8" t="inlineStr">
        <is>
          <t>KOM PMS (Power Management System)</t>
        </is>
      </c>
      <c r="C10" s="9" t="inlineStr">
        <is>
          <t>PMS</t>
        </is>
      </c>
      <c r="D10" s="7" t="inlineStr">
        <is>
          <t>22/05/2026</t>
        </is>
      </c>
      <c r="E10" s="10" t="inlineStr">
        <is>
          <t>22/05/2026</t>
        </is>
      </c>
      <c r="F10" s="11" t="inlineStr">
        <is>
          <t>—</t>
        </is>
      </c>
      <c r="G10" s="12" t="n"/>
      <c r="H10" s="15" t="n"/>
      <c r="I10" s="14" t="n"/>
      <c r="J10" s="13" t="inlineStr">
        <is>
          <t>★</t>
        </is>
      </c>
      <c r="K10" s="14" t="n"/>
      <c r="L10" s="16" t="n"/>
      <c r="M10" s="14" t="n"/>
      <c r="N10" s="15" t="n"/>
      <c r="O10" s="14" t="n"/>
      <c r="P10" s="16" t="n"/>
      <c r="Q10" s="14" t="n"/>
      <c r="R10" s="15" t="n"/>
      <c r="S10" s="14" t="n"/>
      <c r="T10" s="15" t="n"/>
      <c r="U10" s="12" t="n"/>
      <c r="V10" s="15" t="n"/>
      <c r="W10" s="14" t="n"/>
      <c r="X10" s="15" t="n"/>
      <c r="Y10" s="12" t="n"/>
      <c r="Z10" s="15" t="n"/>
      <c r="AA10" s="14" t="n"/>
      <c r="AB10" s="15" t="n"/>
      <c r="AC10" s="12" t="n"/>
      <c r="AD10" s="15" t="n"/>
      <c r="AE10" s="14" t="n"/>
      <c r="AF10" s="15" t="n"/>
      <c r="AG10" s="14" t="n"/>
      <c r="AH10" s="16" t="n"/>
      <c r="AI10" s="14" t="n"/>
      <c r="AJ10" s="15" t="n"/>
      <c r="AK10" s="14" t="n"/>
      <c r="AL10" s="16" t="n"/>
      <c r="AM10" s="14" t="n"/>
      <c r="AN10" s="15" t="n"/>
      <c r="AO10" s="14" t="n"/>
      <c r="AP10" s="16" t="n"/>
      <c r="AQ10" s="14" t="n"/>
      <c r="AR10" s="15" t="n"/>
      <c r="AS10" s="14" t="n"/>
      <c r="AT10" s="15" t="n"/>
      <c r="AU10" s="12" t="n"/>
      <c r="AV10" s="15" t="n"/>
      <c r="AW10" s="14" t="n"/>
      <c r="AX10" s="15" t="n"/>
      <c r="AY10" s="12" t="n"/>
      <c r="AZ10" s="15" t="n"/>
      <c r="BA10" s="14" t="n"/>
      <c r="BB10" s="15" t="n"/>
      <c r="BC10" s="12" t="n"/>
      <c r="BD10" s="15" t="n"/>
      <c r="BE10" s="14" t="n"/>
      <c r="BF10" s="15" t="n"/>
      <c r="BG10" s="14" t="n"/>
      <c r="BH10" s="16" t="n"/>
      <c r="BI10" s="14" t="n"/>
      <c r="BJ10" s="15" t="n"/>
      <c r="BK10" s="14" t="n"/>
      <c r="BL10" s="16" t="n"/>
      <c r="BM10" s="14" t="n"/>
      <c r="BN10" s="15" t="n"/>
      <c r="BO10" s="14" t="n"/>
      <c r="BP10" s="16" t="n"/>
      <c r="BQ10" s="14" t="n"/>
      <c r="BR10" s="15" t="n"/>
      <c r="BS10" s="14" t="n"/>
      <c r="BT10" s="15" t="n"/>
      <c r="BU10" s="12" t="n"/>
      <c r="BV10" s="15" t="n"/>
      <c r="BW10" s="14" t="n"/>
      <c r="BX10" s="15" t="n"/>
      <c r="BY10" s="12" t="n"/>
      <c r="BZ10" s="15" t="n"/>
      <c r="CA10" s="14" t="n"/>
      <c r="CB10" s="15" t="n"/>
      <c r="CC10" s="12" t="n"/>
      <c r="CD10" s="15" t="n"/>
      <c r="CE10" s="14" t="n"/>
      <c r="CF10" s="15" t="n"/>
      <c r="CG10" s="14" t="n"/>
      <c r="CH10" s="16" t="n"/>
      <c r="CI10" s="14" t="n"/>
      <c r="CJ10" s="15" t="n"/>
      <c r="CK10" s="14" t="n"/>
      <c r="CL10" s="16" t="n"/>
      <c r="CM10" s="14" t="n"/>
      <c r="CN10" s="15" t="n"/>
      <c r="CO10" s="14" t="n"/>
      <c r="CP10" s="15" t="n"/>
      <c r="CQ10" s="12" t="n"/>
      <c r="CR10" s="15" t="n"/>
      <c r="CS10" s="14" t="n"/>
      <c r="CT10" s="15" t="n"/>
      <c r="CU10" s="12" t="n"/>
      <c r="CV10" s="15" t="n"/>
      <c r="CW10" s="14" t="n"/>
      <c r="CX10" s="15" t="n"/>
    </row>
    <row r="11" ht="13" customHeight="1">
      <c r="A11" s="7" t="inlineStr">
        <is>
          <t>HC-05</t>
        </is>
      </c>
      <c r="B11" s="8" t="inlineStr">
        <is>
          <t>◆ Cronograma final ABB con Hold Points</t>
        </is>
      </c>
      <c r="C11" s="9" t="inlineStr">
        <is>
          <t>S3+S4+PMS</t>
        </is>
      </c>
      <c r="D11" s="7" t="inlineStr">
        <is>
          <t>01/06/2026</t>
        </is>
      </c>
      <c r="E11" s="10" t="inlineStr">
        <is>
          <t>01/06/2026</t>
        </is>
      </c>
      <c r="F11" s="11" t="inlineStr">
        <is>
          <t>—</t>
        </is>
      </c>
      <c r="G11" s="12" t="n"/>
      <c r="H11" s="15" t="n"/>
      <c r="I11" s="14" t="n"/>
      <c r="J11" s="15" t="n"/>
      <c r="K11" s="13" t="inlineStr">
        <is>
          <t>★</t>
        </is>
      </c>
      <c r="L11" s="16" t="n"/>
      <c r="M11" s="14" t="n"/>
      <c r="N11" s="15" t="n"/>
      <c r="O11" s="14" t="n"/>
      <c r="P11" s="16" t="n"/>
      <c r="Q11" s="14" t="n"/>
      <c r="R11" s="15" t="n"/>
      <c r="S11" s="14" t="n"/>
      <c r="T11" s="15" t="n"/>
      <c r="U11" s="12" t="n"/>
      <c r="V11" s="15" t="n"/>
      <c r="W11" s="14" t="n"/>
      <c r="X11" s="15" t="n"/>
      <c r="Y11" s="12" t="n"/>
      <c r="Z11" s="15" t="n"/>
      <c r="AA11" s="14" t="n"/>
      <c r="AB11" s="15" t="n"/>
      <c r="AC11" s="12" t="n"/>
      <c r="AD11" s="15" t="n"/>
      <c r="AE11" s="14" t="n"/>
      <c r="AF11" s="15" t="n"/>
      <c r="AG11" s="14" t="n"/>
      <c r="AH11" s="16" t="n"/>
      <c r="AI11" s="14" t="n"/>
      <c r="AJ11" s="15" t="n"/>
      <c r="AK11" s="14" t="n"/>
      <c r="AL11" s="16" t="n"/>
      <c r="AM11" s="14" t="n"/>
      <c r="AN11" s="15" t="n"/>
      <c r="AO11" s="14" t="n"/>
      <c r="AP11" s="16" t="n"/>
      <c r="AQ11" s="14" t="n"/>
      <c r="AR11" s="15" t="n"/>
      <c r="AS11" s="14" t="n"/>
      <c r="AT11" s="15" t="n"/>
      <c r="AU11" s="12" t="n"/>
      <c r="AV11" s="15" t="n"/>
      <c r="AW11" s="14" t="n"/>
      <c r="AX11" s="15" t="n"/>
      <c r="AY11" s="12" t="n"/>
      <c r="AZ11" s="15" t="n"/>
      <c r="BA11" s="14" t="n"/>
      <c r="BB11" s="15" t="n"/>
      <c r="BC11" s="12" t="n"/>
      <c r="BD11" s="15" t="n"/>
      <c r="BE11" s="14" t="n"/>
      <c r="BF11" s="15" t="n"/>
      <c r="BG11" s="14" t="n"/>
      <c r="BH11" s="16" t="n"/>
      <c r="BI11" s="14" t="n"/>
      <c r="BJ11" s="15" t="n"/>
      <c r="BK11" s="14" t="n"/>
      <c r="BL11" s="16" t="n"/>
      <c r="BM11" s="14" t="n"/>
      <c r="BN11" s="15" t="n"/>
      <c r="BO11" s="14" t="n"/>
      <c r="BP11" s="16" t="n"/>
      <c r="BQ11" s="14" t="n"/>
      <c r="BR11" s="15" t="n"/>
      <c r="BS11" s="14" t="n"/>
      <c r="BT11" s="15" t="n"/>
      <c r="BU11" s="12" t="n"/>
      <c r="BV11" s="15" t="n"/>
      <c r="BW11" s="14" t="n"/>
      <c r="BX11" s="15" t="n"/>
      <c r="BY11" s="12" t="n"/>
      <c r="BZ11" s="15" t="n"/>
      <c r="CA11" s="14" t="n"/>
      <c r="CB11" s="15" t="n"/>
      <c r="CC11" s="12" t="n"/>
      <c r="CD11" s="15" t="n"/>
      <c r="CE11" s="14" t="n"/>
      <c r="CF11" s="15" t="n"/>
      <c r="CG11" s="14" t="n"/>
      <c r="CH11" s="16" t="n"/>
      <c r="CI11" s="14" t="n"/>
      <c r="CJ11" s="15" t="n"/>
      <c r="CK11" s="14" t="n"/>
      <c r="CL11" s="16" t="n"/>
      <c r="CM11" s="14" t="n"/>
      <c r="CN11" s="15" t="n"/>
      <c r="CO11" s="14" t="n"/>
      <c r="CP11" s="15" t="n"/>
      <c r="CQ11" s="12" t="n"/>
      <c r="CR11" s="15" t="n"/>
      <c r="CS11" s="14" t="n"/>
      <c r="CT11" s="15" t="n"/>
      <c r="CU11" s="12" t="n"/>
      <c r="CV11" s="15" t="n"/>
      <c r="CW11" s="14" t="n"/>
      <c r="CX11" s="15" t="n"/>
    </row>
    <row r="12" ht="13" customHeight="1">
      <c r="A12" s="7" t="inlineStr">
        <is>
          <t>HC-06</t>
        </is>
      </c>
      <c r="B12" s="8" t="inlineStr">
        <is>
          <t>Primer Informe de Avance ABB</t>
        </is>
      </c>
      <c r="C12" s="9" t="inlineStr">
        <is>
          <t>S3+S4+PMS</t>
        </is>
      </c>
      <c r="D12" s="7" t="inlineStr">
        <is>
          <t>05/06/2026</t>
        </is>
      </c>
      <c r="E12" s="10" t="inlineStr">
        <is>
          <t>05/06/2026</t>
        </is>
      </c>
      <c r="F12" s="11" t="inlineStr">
        <is>
          <t>—</t>
        </is>
      </c>
      <c r="G12" s="12" t="n"/>
      <c r="H12" s="15" t="n"/>
      <c r="I12" s="14" t="n"/>
      <c r="J12" s="15" t="n"/>
      <c r="K12" s="14" t="n"/>
      <c r="L12" s="17" t="inlineStr">
        <is>
          <t>★</t>
        </is>
      </c>
      <c r="M12" s="14" t="n"/>
      <c r="N12" s="15" t="n"/>
      <c r="O12" s="14" t="n"/>
      <c r="P12" s="16" t="n"/>
      <c r="Q12" s="14" t="n"/>
      <c r="R12" s="15" t="n"/>
      <c r="S12" s="14" t="n"/>
      <c r="T12" s="15" t="n"/>
      <c r="U12" s="12" t="n"/>
      <c r="V12" s="15" t="n"/>
      <c r="W12" s="14" t="n"/>
      <c r="X12" s="15" t="n"/>
      <c r="Y12" s="12" t="n"/>
      <c r="Z12" s="15" t="n"/>
      <c r="AA12" s="14" t="n"/>
      <c r="AB12" s="15" t="n"/>
      <c r="AC12" s="12" t="n"/>
      <c r="AD12" s="15" t="n"/>
      <c r="AE12" s="14" t="n"/>
      <c r="AF12" s="15" t="n"/>
      <c r="AG12" s="14" t="n"/>
      <c r="AH12" s="16" t="n"/>
      <c r="AI12" s="14" t="n"/>
      <c r="AJ12" s="15" t="n"/>
      <c r="AK12" s="14" t="n"/>
      <c r="AL12" s="16" t="n"/>
      <c r="AM12" s="14" t="n"/>
      <c r="AN12" s="15" t="n"/>
      <c r="AO12" s="14" t="n"/>
      <c r="AP12" s="16" t="n"/>
      <c r="AQ12" s="14" t="n"/>
      <c r="AR12" s="15" t="n"/>
      <c r="AS12" s="14" t="n"/>
      <c r="AT12" s="15" t="n"/>
      <c r="AU12" s="12" t="n"/>
      <c r="AV12" s="15" t="n"/>
      <c r="AW12" s="14" t="n"/>
      <c r="AX12" s="15" t="n"/>
      <c r="AY12" s="12" t="n"/>
      <c r="AZ12" s="15" t="n"/>
      <c r="BA12" s="14" t="n"/>
      <c r="BB12" s="15" t="n"/>
      <c r="BC12" s="12" t="n"/>
      <c r="BD12" s="15" t="n"/>
      <c r="BE12" s="14" t="n"/>
      <c r="BF12" s="15" t="n"/>
      <c r="BG12" s="14" t="n"/>
      <c r="BH12" s="16" t="n"/>
      <c r="BI12" s="14" t="n"/>
      <c r="BJ12" s="15" t="n"/>
      <c r="BK12" s="14" t="n"/>
      <c r="BL12" s="16" t="n"/>
      <c r="BM12" s="14" t="n"/>
      <c r="BN12" s="15" t="n"/>
      <c r="BO12" s="14" t="n"/>
      <c r="BP12" s="16" t="n"/>
      <c r="BQ12" s="14" t="n"/>
      <c r="BR12" s="15" t="n"/>
      <c r="BS12" s="14" t="n"/>
      <c r="BT12" s="15" t="n"/>
      <c r="BU12" s="12" t="n"/>
      <c r="BV12" s="15" t="n"/>
      <c r="BW12" s="14" t="n"/>
      <c r="BX12" s="15" t="n"/>
      <c r="BY12" s="12" t="n"/>
      <c r="BZ12" s="15" t="n"/>
      <c r="CA12" s="14" t="n"/>
      <c r="CB12" s="15" t="n"/>
      <c r="CC12" s="12" t="n"/>
      <c r="CD12" s="15" t="n"/>
      <c r="CE12" s="14" t="n"/>
      <c r="CF12" s="15" t="n"/>
      <c r="CG12" s="14" t="n"/>
      <c r="CH12" s="16" t="n"/>
      <c r="CI12" s="14" t="n"/>
      <c r="CJ12" s="15" t="n"/>
      <c r="CK12" s="14" t="n"/>
      <c r="CL12" s="16" t="n"/>
      <c r="CM12" s="14" t="n"/>
      <c r="CN12" s="15" t="n"/>
      <c r="CO12" s="14" t="n"/>
      <c r="CP12" s="15" t="n"/>
      <c r="CQ12" s="12" t="n"/>
      <c r="CR12" s="15" t="n"/>
      <c r="CS12" s="14" t="n"/>
      <c r="CT12" s="15" t="n"/>
      <c r="CU12" s="12" t="n"/>
      <c r="CV12" s="15" t="n"/>
      <c r="CW12" s="14" t="n"/>
      <c r="CX12" s="15" t="n"/>
    </row>
    <row r="13" ht="16" customHeight="1">
      <c r="A13" s="18" t="inlineStr">
        <is>
          <t xml:space="preserve">  ▶  PMS</t>
        </is>
      </c>
    </row>
    <row r="14" ht="14" customHeight="1">
      <c r="A14" s="19" t="inlineStr">
        <is>
          <t>P-01</t>
        </is>
      </c>
      <c r="B14" s="20" t="inlineStr">
        <is>
          <t>Emisión Ingeniería Básica PMS (Tablero control)</t>
        </is>
      </c>
      <c r="C14" s="21" t="inlineStr">
        <is>
          <t>PMS</t>
        </is>
      </c>
      <c r="D14" s="21" t="inlineStr">
        <is>
          <t>22/05/2026</t>
        </is>
      </c>
      <c r="E14" s="21" t="inlineStr">
        <is>
          <t>05/06/2026</t>
        </is>
      </c>
      <c r="F14" s="22" t="inlineStr">
        <is>
          <t>—</t>
        </is>
      </c>
      <c r="G14" s="12" t="n"/>
      <c r="H14" s="15" t="n"/>
      <c r="I14" s="14" t="n"/>
      <c r="J14" s="23" t="n"/>
      <c r="K14" s="23" t="n"/>
      <c r="L14" s="24" t="n"/>
      <c r="M14" s="14" t="n"/>
      <c r="N14" s="15" t="n"/>
      <c r="O14" s="14" t="n"/>
      <c r="P14" s="16" t="n"/>
      <c r="Q14" s="14" t="n"/>
      <c r="R14" s="15" t="n"/>
      <c r="S14" s="14" t="n"/>
      <c r="T14" s="15" t="n"/>
      <c r="U14" s="12" t="n"/>
      <c r="V14" s="15" t="n"/>
      <c r="W14" s="14" t="n"/>
      <c r="X14" s="15" t="n"/>
      <c r="Y14" s="12" t="n"/>
      <c r="Z14" s="15" t="n"/>
      <c r="AA14" s="14" t="n"/>
      <c r="AB14" s="15" t="n"/>
      <c r="AC14" s="12" t="n"/>
      <c r="AD14" s="15" t="n"/>
      <c r="AE14" s="14" t="n"/>
      <c r="AF14" s="15" t="n"/>
      <c r="AG14" s="14" t="n"/>
      <c r="AH14" s="16" t="n"/>
      <c r="AI14" s="14" t="n"/>
      <c r="AJ14" s="15" t="n"/>
      <c r="AK14" s="14" t="n"/>
      <c r="AL14" s="16" t="n"/>
      <c r="AM14" s="14" t="n"/>
      <c r="AN14" s="15" t="n"/>
      <c r="AO14" s="14" t="n"/>
      <c r="AP14" s="16" t="n"/>
      <c r="AQ14" s="14" t="n"/>
      <c r="AR14" s="15" t="n"/>
      <c r="AS14" s="14" t="n"/>
      <c r="AT14" s="15" t="n"/>
      <c r="AU14" s="12" t="n"/>
      <c r="AV14" s="15" t="n"/>
      <c r="AW14" s="14" t="n"/>
      <c r="AX14" s="15" t="n"/>
      <c r="AY14" s="12" t="n"/>
      <c r="AZ14" s="15" t="n"/>
      <c r="BA14" s="14" t="n"/>
      <c r="BB14" s="15" t="n"/>
      <c r="BC14" s="12" t="n"/>
      <c r="BD14" s="15" t="n"/>
      <c r="BE14" s="14" t="n"/>
      <c r="BF14" s="15" t="n"/>
      <c r="BG14" s="14" t="n"/>
      <c r="BH14" s="16" t="n"/>
      <c r="BI14" s="14" t="n"/>
      <c r="BJ14" s="15" t="n"/>
      <c r="BK14" s="14" t="n"/>
      <c r="BL14" s="16" t="n"/>
      <c r="BM14" s="14" t="n"/>
      <c r="BN14" s="15" t="n"/>
      <c r="BO14" s="14" t="n"/>
      <c r="BP14" s="16" t="n"/>
      <c r="BQ14" s="14" t="n"/>
      <c r="BR14" s="15" t="n"/>
      <c r="BS14" s="14" t="n"/>
      <c r="BT14" s="15" t="n"/>
      <c r="BU14" s="12" t="n"/>
      <c r="BV14" s="15" t="n"/>
      <c r="BW14" s="14" t="n"/>
      <c r="BX14" s="15" t="n"/>
      <c r="BY14" s="12" t="n"/>
      <c r="BZ14" s="15" t="n"/>
      <c r="CA14" s="14" t="n"/>
      <c r="CB14" s="15" t="n"/>
      <c r="CC14" s="12" t="n"/>
      <c r="CD14" s="15" t="n"/>
      <c r="CE14" s="14" t="n"/>
      <c r="CF14" s="15" t="n"/>
      <c r="CG14" s="14" t="n"/>
      <c r="CH14" s="16" t="n"/>
      <c r="CI14" s="14" t="n"/>
      <c r="CJ14" s="15" t="n"/>
      <c r="CK14" s="14" t="n"/>
      <c r="CL14" s="16" t="n"/>
      <c r="CM14" s="14" t="n"/>
      <c r="CN14" s="15" t="n"/>
      <c r="CO14" s="14" t="n"/>
      <c r="CP14" s="15" t="n"/>
      <c r="CQ14" s="12" t="n"/>
      <c r="CR14" s="15" t="n"/>
      <c r="CS14" s="14" t="n"/>
      <c r="CT14" s="15" t="n"/>
      <c r="CU14" s="12" t="n"/>
      <c r="CV14" s="15" t="n"/>
      <c r="CW14" s="14" t="n"/>
      <c r="CX14" s="15" t="n"/>
    </row>
    <row r="15" ht="14" customHeight="1">
      <c r="A15" s="19" t="inlineStr">
        <is>
          <t>P-02</t>
        </is>
      </c>
      <c r="B15" s="20" t="inlineStr">
        <is>
          <t>Aprobación IB PMS (revisión AESA — 10 días hábiles)</t>
        </is>
      </c>
      <c r="C15" s="21" t="inlineStr">
        <is>
          <t>PMS</t>
        </is>
      </c>
      <c r="D15" s="21" t="inlineStr">
        <is>
          <t>08/06/2026</t>
        </is>
      </c>
      <c r="E15" s="21" t="inlineStr">
        <is>
          <t>19/06/2026</t>
        </is>
      </c>
      <c r="F15" s="22" t="inlineStr">
        <is>
          <t>—</t>
        </is>
      </c>
      <c r="G15" s="12" t="n"/>
      <c r="H15" s="15" t="n"/>
      <c r="I15" s="14" t="n"/>
      <c r="J15" s="15" t="n"/>
      <c r="K15" s="14" t="n"/>
      <c r="L15" s="24" t="n"/>
      <c r="M15" s="23" t="n"/>
      <c r="N15" s="23" t="n"/>
      <c r="O15" s="14" t="n"/>
      <c r="P15" s="16" t="n"/>
      <c r="Q15" s="14" t="n"/>
      <c r="R15" s="15" t="n"/>
      <c r="S15" s="14" t="n"/>
      <c r="T15" s="15" t="n"/>
      <c r="U15" s="12" t="n"/>
      <c r="V15" s="15" t="n"/>
      <c r="W15" s="14" t="n"/>
      <c r="X15" s="15" t="n"/>
      <c r="Y15" s="12" t="n"/>
      <c r="Z15" s="15" t="n"/>
      <c r="AA15" s="14" t="n"/>
      <c r="AB15" s="15" t="n"/>
      <c r="AC15" s="12" t="n"/>
      <c r="AD15" s="15" t="n"/>
      <c r="AE15" s="14" t="n"/>
      <c r="AF15" s="15" t="n"/>
      <c r="AG15" s="14" t="n"/>
      <c r="AH15" s="16" t="n"/>
      <c r="AI15" s="14" t="n"/>
      <c r="AJ15" s="15" t="n"/>
      <c r="AK15" s="14" t="n"/>
      <c r="AL15" s="16" t="n"/>
      <c r="AM15" s="14" t="n"/>
      <c r="AN15" s="15" t="n"/>
      <c r="AO15" s="14" t="n"/>
      <c r="AP15" s="16" t="n"/>
      <c r="AQ15" s="14" t="n"/>
      <c r="AR15" s="15" t="n"/>
      <c r="AS15" s="14" t="n"/>
      <c r="AT15" s="15" t="n"/>
      <c r="AU15" s="12" t="n"/>
      <c r="AV15" s="15" t="n"/>
      <c r="AW15" s="14" t="n"/>
      <c r="AX15" s="15" t="n"/>
      <c r="AY15" s="12" t="n"/>
      <c r="AZ15" s="15" t="n"/>
      <c r="BA15" s="14" t="n"/>
      <c r="BB15" s="15" t="n"/>
      <c r="BC15" s="12" t="n"/>
      <c r="BD15" s="15" t="n"/>
      <c r="BE15" s="14" t="n"/>
      <c r="BF15" s="15" t="n"/>
      <c r="BG15" s="14" t="n"/>
      <c r="BH15" s="16" t="n"/>
      <c r="BI15" s="14" t="n"/>
      <c r="BJ15" s="15" t="n"/>
      <c r="BK15" s="14" t="n"/>
      <c r="BL15" s="16" t="n"/>
      <c r="BM15" s="14" t="n"/>
      <c r="BN15" s="15" t="n"/>
      <c r="BO15" s="14" t="n"/>
      <c r="BP15" s="16" t="n"/>
      <c r="BQ15" s="14" t="n"/>
      <c r="BR15" s="15" t="n"/>
      <c r="BS15" s="14" t="n"/>
      <c r="BT15" s="15" t="n"/>
      <c r="BU15" s="12" t="n"/>
      <c r="BV15" s="15" t="n"/>
      <c r="BW15" s="14" t="n"/>
      <c r="BX15" s="15" t="n"/>
      <c r="BY15" s="12" t="n"/>
      <c r="BZ15" s="15" t="n"/>
      <c r="CA15" s="14" t="n"/>
      <c r="CB15" s="15" t="n"/>
      <c r="CC15" s="12" t="n"/>
      <c r="CD15" s="15" t="n"/>
      <c r="CE15" s="14" t="n"/>
      <c r="CF15" s="15" t="n"/>
      <c r="CG15" s="14" t="n"/>
      <c r="CH15" s="16" t="n"/>
      <c r="CI15" s="14" t="n"/>
      <c r="CJ15" s="15" t="n"/>
      <c r="CK15" s="14" t="n"/>
      <c r="CL15" s="16" t="n"/>
      <c r="CM15" s="14" t="n"/>
      <c r="CN15" s="15" t="n"/>
      <c r="CO15" s="14" t="n"/>
      <c r="CP15" s="15" t="n"/>
      <c r="CQ15" s="12" t="n"/>
      <c r="CR15" s="15" t="n"/>
      <c r="CS15" s="14" t="n"/>
      <c r="CT15" s="15" t="n"/>
      <c r="CU15" s="12" t="n"/>
      <c r="CV15" s="15" t="n"/>
      <c r="CW15" s="14" t="n"/>
      <c r="CX15" s="15" t="n"/>
    </row>
    <row r="16" ht="13" customHeight="1">
      <c r="A16" s="19" t="inlineStr">
        <is>
          <t>FP-P1</t>
        </is>
      </c>
      <c r="B16" s="25" t="inlineStr">
        <is>
          <t>◆ FREEZING POINT — Ing. Básica PMS</t>
        </is>
      </c>
      <c r="C16" s="21" t="inlineStr">
        <is>
          <t>PMS</t>
        </is>
      </c>
      <c r="D16" s="26" t="inlineStr">
        <is>
          <t>19/06/2026</t>
        </is>
      </c>
      <c r="E16" s="26" t="inlineStr">
        <is>
          <t>19/06/2026</t>
        </is>
      </c>
      <c r="F16" s="22" t="inlineStr">
        <is>
          <t>—</t>
        </is>
      </c>
      <c r="G16" s="12" t="n"/>
      <c r="H16" s="15" t="n"/>
      <c r="I16" s="14" t="n"/>
      <c r="J16" s="15" t="n"/>
      <c r="K16" s="14" t="n"/>
      <c r="L16" s="16" t="n"/>
      <c r="M16" s="14" t="n"/>
      <c r="N16" s="27" t="inlineStr">
        <is>
          <t>◆</t>
        </is>
      </c>
      <c r="O16" s="14" t="n"/>
      <c r="P16" s="16" t="n"/>
      <c r="Q16" s="14" t="n"/>
      <c r="R16" s="15" t="n"/>
      <c r="S16" s="14" t="n"/>
      <c r="T16" s="15" t="n"/>
      <c r="U16" s="12" t="n"/>
      <c r="V16" s="15" t="n"/>
      <c r="W16" s="14" t="n"/>
      <c r="X16" s="15" t="n"/>
      <c r="Y16" s="12" t="n"/>
      <c r="Z16" s="15" t="n"/>
      <c r="AA16" s="14" t="n"/>
      <c r="AB16" s="15" t="n"/>
      <c r="AC16" s="12" t="n"/>
      <c r="AD16" s="15" t="n"/>
      <c r="AE16" s="14" t="n"/>
      <c r="AF16" s="15" t="n"/>
      <c r="AG16" s="14" t="n"/>
      <c r="AH16" s="16" t="n"/>
      <c r="AI16" s="14" t="n"/>
      <c r="AJ16" s="15" t="n"/>
      <c r="AK16" s="14" t="n"/>
      <c r="AL16" s="16" t="n"/>
      <c r="AM16" s="14" t="n"/>
      <c r="AN16" s="15" t="n"/>
      <c r="AO16" s="14" t="n"/>
      <c r="AP16" s="16" t="n"/>
      <c r="AQ16" s="14" t="n"/>
      <c r="AR16" s="15" t="n"/>
      <c r="AS16" s="14" t="n"/>
      <c r="AT16" s="15" t="n"/>
      <c r="AU16" s="12" t="n"/>
      <c r="AV16" s="15" t="n"/>
      <c r="AW16" s="14" t="n"/>
      <c r="AX16" s="15" t="n"/>
      <c r="AY16" s="12" t="n"/>
      <c r="AZ16" s="15" t="n"/>
      <c r="BA16" s="14" t="n"/>
      <c r="BB16" s="15" t="n"/>
      <c r="BC16" s="12" t="n"/>
      <c r="BD16" s="15" t="n"/>
      <c r="BE16" s="14" t="n"/>
      <c r="BF16" s="15" t="n"/>
      <c r="BG16" s="14" t="n"/>
      <c r="BH16" s="16" t="n"/>
      <c r="BI16" s="14" t="n"/>
      <c r="BJ16" s="15" t="n"/>
      <c r="BK16" s="14" t="n"/>
      <c r="BL16" s="16" t="n"/>
      <c r="BM16" s="14" t="n"/>
      <c r="BN16" s="15" t="n"/>
      <c r="BO16" s="14" t="n"/>
      <c r="BP16" s="16" t="n"/>
      <c r="BQ16" s="14" t="n"/>
      <c r="BR16" s="15" t="n"/>
      <c r="BS16" s="14" t="n"/>
      <c r="BT16" s="15" t="n"/>
      <c r="BU16" s="12" t="n"/>
      <c r="BV16" s="15" t="n"/>
      <c r="BW16" s="14" t="n"/>
      <c r="BX16" s="15" t="n"/>
      <c r="BY16" s="12" t="n"/>
      <c r="BZ16" s="15" t="n"/>
      <c r="CA16" s="14" t="n"/>
      <c r="CB16" s="15" t="n"/>
      <c r="CC16" s="12" t="n"/>
      <c r="CD16" s="15" t="n"/>
      <c r="CE16" s="14" t="n"/>
      <c r="CF16" s="15" t="n"/>
      <c r="CG16" s="14" t="n"/>
      <c r="CH16" s="16" t="n"/>
      <c r="CI16" s="14" t="n"/>
      <c r="CJ16" s="15" t="n"/>
      <c r="CK16" s="14" t="n"/>
      <c r="CL16" s="16" t="n"/>
      <c r="CM16" s="14" t="n"/>
      <c r="CN16" s="15" t="n"/>
      <c r="CO16" s="14" t="n"/>
      <c r="CP16" s="15" t="n"/>
      <c r="CQ16" s="12" t="n"/>
      <c r="CR16" s="15" t="n"/>
      <c r="CS16" s="14" t="n"/>
      <c r="CT16" s="15" t="n"/>
      <c r="CU16" s="12" t="n"/>
      <c r="CV16" s="15" t="n"/>
      <c r="CW16" s="14" t="n"/>
      <c r="CX16" s="15" t="n"/>
    </row>
    <row r="17" ht="14" customHeight="1">
      <c r="A17" s="19" t="inlineStr">
        <is>
          <t>P-03</t>
        </is>
      </c>
      <c r="B17" s="20" t="inlineStr">
        <is>
          <t>Emisión Ingeniería de Detalle PMS</t>
        </is>
      </c>
      <c r="C17" s="21" t="inlineStr">
        <is>
          <t>PMS</t>
        </is>
      </c>
      <c r="D17" s="21" t="inlineStr">
        <is>
          <t>22/06/2026</t>
        </is>
      </c>
      <c r="E17" s="21" t="inlineStr">
        <is>
          <t>17/07/2026</t>
        </is>
      </c>
      <c r="F17" s="22" t="inlineStr">
        <is>
          <t>—</t>
        </is>
      </c>
      <c r="G17" s="12" t="n"/>
      <c r="H17" s="15" t="n"/>
      <c r="I17" s="14" t="n"/>
      <c r="J17" s="15" t="n"/>
      <c r="K17" s="14" t="n"/>
      <c r="L17" s="16" t="n"/>
      <c r="M17" s="14" t="n"/>
      <c r="N17" s="23" t="n"/>
      <c r="O17" s="23" t="n"/>
      <c r="P17" s="24" t="n"/>
      <c r="Q17" s="23" t="n"/>
      <c r="R17" s="23" t="n"/>
      <c r="S17" s="14" t="n"/>
      <c r="T17" s="15" t="n"/>
      <c r="U17" s="12" t="n"/>
      <c r="V17" s="15" t="n"/>
      <c r="W17" s="14" t="n"/>
      <c r="X17" s="15" t="n"/>
      <c r="Y17" s="12" t="n"/>
      <c r="Z17" s="15" t="n"/>
      <c r="AA17" s="14" t="n"/>
      <c r="AB17" s="15" t="n"/>
      <c r="AC17" s="12" t="n"/>
      <c r="AD17" s="15" t="n"/>
      <c r="AE17" s="14" t="n"/>
      <c r="AF17" s="15" t="n"/>
      <c r="AG17" s="14" t="n"/>
      <c r="AH17" s="16" t="n"/>
      <c r="AI17" s="14" t="n"/>
      <c r="AJ17" s="15" t="n"/>
      <c r="AK17" s="14" t="n"/>
      <c r="AL17" s="16" t="n"/>
      <c r="AM17" s="14" t="n"/>
      <c r="AN17" s="15" t="n"/>
      <c r="AO17" s="14" t="n"/>
      <c r="AP17" s="16" t="n"/>
      <c r="AQ17" s="14" t="n"/>
      <c r="AR17" s="15" t="n"/>
      <c r="AS17" s="14" t="n"/>
      <c r="AT17" s="15" t="n"/>
      <c r="AU17" s="12" t="n"/>
      <c r="AV17" s="15" t="n"/>
      <c r="AW17" s="14" t="n"/>
      <c r="AX17" s="15" t="n"/>
      <c r="AY17" s="12" t="n"/>
      <c r="AZ17" s="15" t="n"/>
      <c r="BA17" s="14" t="n"/>
      <c r="BB17" s="15" t="n"/>
      <c r="BC17" s="12" t="n"/>
      <c r="BD17" s="15" t="n"/>
      <c r="BE17" s="14" t="n"/>
      <c r="BF17" s="15" t="n"/>
      <c r="BG17" s="14" t="n"/>
      <c r="BH17" s="16" t="n"/>
      <c r="BI17" s="14" t="n"/>
      <c r="BJ17" s="15" t="n"/>
      <c r="BK17" s="14" t="n"/>
      <c r="BL17" s="16" t="n"/>
      <c r="BM17" s="14" t="n"/>
      <c r="BN17" s="15" t="n"/>
      <c r="BO17" s="14" t="n"/>
      <c r="BP17" s="16" t="n"/>
      <c r="BQ17" s="14" t="n"/>
      <c r="BR17" s="15" t="n"/>
      <c r="BS17" s="14" t="n"/>
      <c r="BT17" s="15" t="n"/>
      <c r="BU17" s="12" t="n"/>
      <c r="BV17" s="15" t="n"/>
      <c r="BW17" s="14" t="n"/>
      <c r="BX17" s="15" t="n"/>
      <c r="BY17" s="12" t="n"/>
      <c r="BZ17" s="15" t="n"/>
      <c r="CA17" s="14" t="n"/>
      <c r="CB17" s="15" t="n"/>
      <c r="CC17" s="12" t="n"/>
      <c r="CD17" s="15" t="n"/>
      <c r="CE17" s="14" t="n"/>
      <c r="CF17" s="15" t="n"/>
      <c r="CG17" s="14" t="n"/>
      <c r="CH17" s="16" t="n"/>
      <c r="CI17" s="14" t="n"/>
      <c r="CJ17" s="15" t="n"/>
      <c r="CK17" s="14" t="n"/>
      <c r="CL17" s="16" t="n"/>
      <c r="CM17" s="14" t="n"/>
      <c r="CN17" s="15" t="n"/>
      <c r="CO17" s="14" t="n"/>
      <c r="CP17" s="15" t="n"/>
      <c r="CQ17" s="12" t="n"/>
      <c r="CR17" s="15" t="n"/>
      <c r="CS17" s="14" t="n"/>
      <c r="CT17" s="15" t="n"/>
      <c r="CU17" s="12" t="n"/>
      <c r="CV17" s="15" t="n"/>
      <c r="CW17" s="14" t="n"/>
      <c r="CX17" s="15" t="n"/>
    </row>
    <row r="18" ht="14" customHeight="1">
      <c r="A18" s="19" t="inlineStr">
        <is>
          <t>P-04</t>
        </is>
      </c>
      <c r="B18" s="20" t="inlineStr">
        <is>
          <t>Aprobación ID PMS (AESA — 10 días hábiles)</t>
        </is>
      </c>
      <c r="C18" s="21" t="inlineStr">
        <is>
          <t>PMS</t>
        </is>
      </c>
      <c r="D18" s="21" t="inlineStr">
        <is>
          <t>20/07/2026</t>
        </is>
      </c>
      <c r="E18" s="21" t="inlineStr">
        <is>
          <t>31/07/2026</t>
        </is>
      </c>
      <c r="F18" s="22" t="inlineStr">
        <is>
          <t>—</t>
        </is>
      </c>
      <c r="G18" s="12" t="n"/>
      <c r="H18" s="15" t="n"/>
      <c r="I18" s="14" t="n"/>
      <c r="J18" s="15" t="n"/>
      <c r="K18" s="14" t="n"/>
      <c r="L18" s="16" t="n"/>
      <c r="M18" s="14" t="n"/>
      <c r="N18" s="15" t="n"/>
      <c r="O18" s="14" t="n"/>
      <c r="P18" s="16" t="n"/>
      <c r="Q18" s="14" t="n"/>
      <c r="R18" s="23" t="n"/>
      <c r="S18" s="23" t="n"/>
      <c r="T18" s="23" t="n"/>
      <c r="U18" s="12" t="n"/>
      <c r="V18" s="15" t="n"/>
      <c r="W18" s="14" t="n"/>
      <c r="X18" s="15" t="n"/>
      <c r="Y18" s="12" t="n"/>
      <c r="Z18" s="15" t="n"/>
      <c r="AA18" s="14" t="n"/>
      <c r="AB18" s="15" t="n"/>
      <c r="AC18" s="12" t="n"/>
      <c r="AD18" s="15" t="n"/>
      <c r="AE18" s="14" t="n"/>
      <c r="AF18" s="15" t="n"/>
      <c r="AG18" s="14" t="n"/>
      <c r="AH18" s="16" t="n"/>
      <c r="AI18" s="14" t="n"/>
      <c r="AJ18" s="15" t="n"/>
      <c r="AK18" s="14" t="n"/>
      <c r="AL18" s="16" t="n"/>
      <c r="AM18" s="14" t="n"/>
      <c r="AN18" s="15" t="n"/>
      <c r="AO18" s="14" t="n"/>
      <c r="AP18" s="16" t="n"/>
      <c r="AQ18" s="14" t="n"/>
      <c r="AR18" s="15" t="n"/>
      <c r="AS18" s="14" t="n"/>
      <c r="AT18" s="15" t="n"/>
      <c r="AU18" s="12" t="n"/>
      <c r="AV18" s="15" t="n"/>
      <c r="AW18" s="14" t="n"/>
      <c r="AX18" s="15" t="n"/>
      <c r="AY18" s="12" t="n"/>
      <c r="AZ18" s="15" t="n"/>
      <c r="BA18" s="14" t="n"/>
      <c r="BB18" s="15" t="n"/>
      <c r="BC18" s="12" t="n"/>
      <c r="BD18" s="15" t="n"/>
      <c r="BE18" s="14" t="n"/>
      <c r="BF18" s="15" t="n"/>
      <c r="BG18" s="14" t="n"/>
      <c r="BH18" s="16" t="n"/>
      <c r="BI18" s="14" t="n"/>
      <c r="BJ18" s="15" t="n"/>
      <c r="BK18" s="14" t="n"/>
      <c r="BL18" s="16" t="n"/>
      <c r="BM18" s="14" t="n"/>
      <c r="BN18" s="15" t="n"/>
      <c r="BO18" s="14" t="n"/>
      <c r="BP18" s="16" t="n"/>
      <c r="BQ18" s="14" t="n"/>
      <c r="BR18" s="15" t="n"/>
      <c r="BS18" s="14" t="n"/>
      <c r="BT18" s="15" t="n"/>
      <c r="BU18" s="12" t="n"/>
      <c r="BV18" s="15" t="n"/>
      <c r="BW18" s="14" t="n"/>
      <c r="BX18" s="15" t="n"/>
      <c r="BY18" s="12" t="n"/>
      <c r="BZ18" s="15" t="n"/>
      <c r="CA18" s="14" t="n"/>
      <c r="CB18" s="15" t="n"/>
      <c r="CC18" s="12" t="n"/>
      <c r="CD18" s="15" t="n"/>
      <c r="CE18" s="14" t="n"/>
      <c r="CF18" s="15" t="n"/>
      <c r="CG18" s="14" t="n"/>
      <c r="CH18" s="16" t="n"/>
      <c r="CI18" s="14" t="n"/>
      <c r="CJ18" s="15" t="n"/>
      <c r="CK18" s="14" t="n"/>
      <c r="CL18" s="16" t="n"/>
      <c r="CM18" s="14" t="n"/>
      <c r="CN18" s="15" t="n"/>
      <c r="CO18" s="14" t="n"/>
      <c r="CP18" s="15" t="n"/>
      <c r="CQ18" s="12" t="n"/>
      <c r="CR18" s="15" t="n"/>
      <c r="CS18" s="14" t="n"/>
      <c r="CT18" s="15" t="n"/>
      <c r="CU18" s="12" t="n"/>
      <c r="CV18" s="15" t="n"/>
      <c r="CW18" s="14" t="n"/>
      <c r="CX18" s="15" t="n"/>
    </row>
    <row r="19" ht="13" customHeight="1">
      <c r="A19" s="19" t="inlineStr">
        <is>
          <t>FP-P2</t>
        </is>
      </c>
      <c r="B19" s="25" t="inlineStr">
        <is>
          <t>◆ FREEZING POINT — Ing. Detalle PMS</t>
        </is>
      </c>
      <c r="C19" s="21" t="inlineStr">
        <is>
          <t>PMS</t>
        </is>
      </c>
      <c r="D19" s="26" t="inlineStr">
        <is>
          <t>31/07/2026</t>
        </is>
      </c>
      <c r="E19" s="26" t="inlineStr">
        <is>
          <t>31/07/2026</t>
        </is>
      </c>
      <c r="F19" s="22" t="inlineStr">
        <is>
          <t>—</t>
        </is>
      </c>
      <c r="G19" s="12" t="n"/>
      <c r="H19" s="15" t="n"/>
      <c r="I19" s="14" t="n"/>
      <c r="J19" s="15" t="n"/>
      <c r="K19" s="14" t="n"/>
      <c r="L19" s="16" t="n"/>
      <c r="M19" s="14" t="n"/>
      <c r="N19" s="15" t="n"/>
      <c r="O19" s="14" t="n"/>
      <c r="P19" s="16" t="n"/>
      <c r="Q19" s="14" t="n"/>
      <c r="R19" s="15" t="n"/>
      <c r="S19" s="14" t="n"/>
      <c r="T19" s="27" t="inlineStr">
        <is>
          <t>◆</t>
        </is>
      </c>
      <c r="U19" s="12" t="n"/>
      <c r="V19" s="15" t="n"/>
      <c r="W19" s="14" t="n"/>
      <c r="X19" s="15" t="n"/>
      <c r="Y19" s="12" t="n"/>
      <c r="Z19" s="15" t="n"/>
      <c r="AA19" s="14" t="n"/>
      <c r="AB19" s="15" t="n"/>
      <c r="AC19" s="12" t="n"/>
      <c r="AD19" s="15" t="n"/>
      <c r="AE19" s="14" t="n"/>
      <c r="AF19" s="15" t="n"/>
      <c r="AG19" s="14" t="n"/>
      <c r="AH19" s="16" t="n"/>
      <c r="AI19" s="14" t="n"/>
      <c r="AJ19" s="15" t="n"/>
      <c r="AK19" s="14" t="n"/>
      <c r="AL19" s="16" t="n"/>
      <c r="AM19" s="14" t="n"/>
      <c r="AN19" s="15" t="n"/>
      <c r="AO19" s="14" t="n"/>
      <c r="AP19" s="16" t="n"/>
      <c r="AQ19" s="14" t="n"/>
      <c r="AR19" s="15" t="n"/>
      <c r="AS19" s="14" t="n"/>
      <c r="AT19" s="15" t="n"/>
      <c r="AU19" s="12" t="n"/>
      <c r="AV19" s="15" t="n"/>
      <c r="AW19" s="14" t="n"/>
      <c r="AX19" s="15" t="n"/>
      <c r="AY19" s="12" t="n"/>
      <c r="AZ19" s="15" t="n"/>
      <c r="BA19" s="14" t="n"/>
      <c r="BB19" s="15" t="n"/>
      <c r="BC19" s="12" t="n"/>
      <c r="BD19" s="15" t="n"/>
      <c r="BE19" s="14" t="n"/>
      <c r="BF19" s="15" t="n"/>
      <c r="BG19" s="14" t="n"/>
      <c r="BH19" s="16" t="n"/>
      <c r="BI19" s="14" t="n"/>
      <c r="BJ19" s="15" t="n"/>
      <c r="BK19" s="14" t="n"/>
      <c r="BL19" s="16" t="n"/>
      <c r="BM19" s="14" t="n"/>
      <c r="BN19" s="15" t="n"/>
      <c r="BO19" s="14" t="n"/>
      <c r="BP19" s="16" t="n"/>
      <c r="BQ19" s="14" t="n"/>
      <c r="BR19" s="15" t="n"/>
      <c r="BS19" s="14" t="n"/>
      <c r="BT19" s="15" t="n"/>
      <c r="BU19" s="12" t="n"/>
      <c r="BV19" s="15" t="n"/>
      <c r="BW19" s="14" t="n"/>
      <c r="BX19" s="15" t="n"/>
      <c r="BY19" s="12" t="n"/>
      <c r="BZ19" s="15" t="n"/>
      <c r="CA19" s="14" t="n"/>
      <c r="CB19" s="15" t="n"/>
      <c r="CC19" s="12" t="n"/>
      <c r="CD19" s="15" t="n"/>
      <c r="CE19" s="14" t="n"/>
      <c r="CF19" s="15" t="n"/>
      <c r="CG19" s="14" t="n"/>
      <c r="CH19" s="16" t="n"/>
      <c r="CI19" s="14" t="n"/>
      <c r="CJ19" s="15" t="n"/>
      <c r="CK19" s="14" t="n"/>
      <c r="CL19" s="16" t="n"/>
      <c r="CM19" s="14" t="n"/>
      <c r="CN19" s="15" t="n"/>
      <c r="CO19" s="14" t="n"/>
      <c r="CP19" s="15" t="n"/>
      <c r="CQ19" s="12" t="n"/>
      <c r="CR19" s="15" t="n"/>
      <c r="CS19" s="14" t="n"/>
      <c r="CT19" s="15" t="n"/>
      <c r="CU19" s="12" t="n"/>
      <c r="CV19" s="15" t="n"/>
      <c r="CW19" s="14" t="n"/>
      <c r="CX19" s="15" t="n"/>
    </row>
    <row r="20" ht="14" customHeight="1">
      <c r="A20" s="19" t="inlineStr">
        <is>
          <t>P-05</t>
        </is>
      </c>
      <c r="B20" s="20" t="inlineStr">
        <is>
          <t>Procura / Fabricación Tablero PMS (local BsAs)</t>
        </is>
      </c>
      <c r="C20" s="21" t="inlineStr">
        <is>
          <t>PMS</t>
        </is>
      </c>
      <c r="D20" s="21" t="inlineStr">
        <is>
          <t>03/08/2026</t>
        </is>
      </c>
      <c r="E20" s="21" t="inlineStr">
        <is>
          <t>29/01/2027</t>
        </is>
      </c>
      <c r="F20" s="22" t="inlineStr">
        <is>
          <t>—</t>
        </is>
      </c>
      <c r="G20" s="12" t="n"/>
      <c r="H20" s="15" t="n"/>
      <c r="I20" s="14" t="n"/>
      <c r="J20" s="15" t="n"/>
      <c r="K20" s="14" t="n"/>
      <c r="L20" s="16" t="n"/>
      <c r="M20" s="14" t="n"/>
      <c r="N20" s="15" t="n"/>
      <c r="O20" s="14" t="n"/>
      <c r="P20" s="16" t="n"/>
      <c r="Q20" s="14" t="n"/>
      <c r="R20" s="15" t="n"/>
      <c r="S20" s="14" t="n"/>
      <c r="T20" s="23" t="n"/>
      <c r="U20" s="24" t="n"/>
      <c r="V20" s="23" t="n"/>
      <c r="W20" s="23" t="n"/>
      <c r="X20" s="23" t="n"/>
      <c r="Y20" s="24" t="n"/>
      <c r="Z20" s="23" t="n"/>
      <c r="AA20" s="23" t="n"/>
      <c r="AB20" s="23" t="n"/>
      <c r="AC20" s="24" t="n"/>
      <c r="AD20" s="23" t="n"/>
      <c r="AE20" s="23" t="n"/>
      <c r="AF20" s="23" t="n"/>
      <c r="AG20" s="23" t="n"/>
      <c r="AH20" s="24" t="n"/>
      <c r="AI20" s="23" t="n"/>
      <c r="AJ20" s="23" t="n"/>
      <c r="AK20" s="23" t="n"/>
      <c r="AL20" s="24" t="n"/>
      <c r="AM20" s="23" t="n"/>
      <c r="AN20" s="23" t="n"/>
      <c r="AO20" s="23" t="n"/>
      <c r="AP20" s="24" t="n"/>
      <c r="AQ20" s="23" t="n"/>
      <c r="AR20" s="23" t="n"/>
      <c r="AS20" s="23" t="n"/>
      <c r="AT20" s="23" t="n"/>
      <c r="AU20" s="12" t="n"/>
      <c r="AV20" s="15" t="n"/>
      <c r="AW20" s="14" t="n"/>
      <c r="AX20" s="15" t="n"/>
      <c r="AY20" s="12" t="n"/>
      <c r="AZ20" s="15" t="n"/>
      <c r="BA20" s="14" t="n"/>
      <c r="BB20" s="15" t="n"/>
      <c r="BC20" s="12" t="n"/>
      <c r="BD20" s="15" t="n"/>
      <c r="BE20" s="14" t="n"/>
      <c r="BF20" s="15" t="n"/>
      <c r="BG20" s="14" t="n"/>
      <c r="BH20" s="16" t="n"/>
      <c r="BI20" s="14" t="n"/>
      <c r="BJ20" s="15" t="n"/>
      <c r="BK20" s="14" t="n"/>
      <c r="BL20" s="16" t="n"/>
      <c r="BM20" s="14" t="n"/>
      <c r="BN20" s="15" t="n"/>
      <c r="BO20" s="14" t="n"/>
      <c r="BP20" s="16" t="n"/>
      <c r="BQ20" s="14" t="n"/>
      <c r="BR20" s="15" t="n"/>
      <c r="BS20" s="14" t="n"/>
      <c r="BT20" s="15" t="n"/>
      <c r="BU20" s="12" t="n"/>
      <c r="BV20" s="15" t="n"/>
      <c r="BW20" s="14" t="n"/>
      <c r="BX20" s="15" t="n"/>
      <c r="BY20" s="12" t="n"/>
      <c r="BZ20" s="15" t="n"/>
      <c r="CA20" s="14" t="n"/>
      <c r="CB20" s="15" t="n"/>
      <c r="CC20" s="12" t="n"/>
      <c r="CD20" s="15" t="n"/>
      <c r="CE20" s="14" t="n"/>
      <c r="CF20" s="15" t="n"/>
      <c r="CG20" s="14" t="n"/>
      <c r="CH20" s="16" t="n"/>
      <c r="CI20" s="14" t="n"/>
      <c r="CJ20" s="15" t="n"/>
      <c r="CK20" s="14" t="n"/>
      <c r="CL20" s="16" t="n"/>
      <c r="CM20" s="14" t="n"/>
      <c r="CN20" s="15" t="n"/>
      <c r="CO20" s="14" t="n"/>
      <c r="CP20" s="15" t="n"/>
      <c r="CQ20" s="12" t="n"/>
      <c r="CR20" s="15" t="n"/>
      <c r="CS20" s="14" t="n"/>
      <c r="CT20" s="15" t="n"/>
      <c r="CU20" s="12" t="n"/>
      <c r="CV20" s="15" t="n"/>
      <c r="CW20" s="14" t="n"/>
      <c r="CX20" s="15" t="n"/>
    </row>
    <row r="21" ht="14" customHeight="1">
      <c r="A21" s="19" t="inlineStr">
        <is>
          <t>P-06</t>
        </is>
      </c>
      <c r="B21" s="20" t="inlineStr">
        <is>
          <t>FAT Maqueta PMS — pruebas funcionales previas</t>
        </is>
      </c>
      <c r="C21" s="21" t="inlineStr">
        <is>
          <t>PMS</t>
        </is>
      </c>
      <c r="D21" s="21" t="inlineStr">
        <is>
          <t>01/09/2026</t>
        </is>
      </c>
      <c r="E21" s="21" t="inlineStr">
        <is>
          <t>30/09/2026</t>
        </is>
      </c>
      <c r="F21" s="22" t="inlineStr">
        <is>
          <t>—</t>
        </is>
      </c>
      <c r="G21" s="12" t="n"/>
      <c r="H21" s="15" t="n"/>
      <c r="I21" s="14" t="n"/>
      <c r="J21" s="15" t="n"/>
      <c r="K21" s="14" t="n"/>
      <c r="L21" s="16" t="n"/>
      <c r="M21" s="14" t="n"/>
      <c r="N21" s="15" t="n"/>
      <c r="O21" s="14" t="n"/>
      <c r="P21" s="16" t="n"/>
      <c r="Q21" s="14" t="n"/>
      <c r="R21" s="15" t="n"/>
      <c r="S21" s="14" t="n"/>
      <c r="T21" s="15" t="n"/>
      <c r="U21" s="12" t="n"/>
      <c r="V21" s="15" t="n"/>
      <c r="W21" s="14" t="n"/>
      <c r="X21" s="28" t="n"/>
      <c r="Y21" s="29" t="n"/>
      <c r="Z21" s="28" t="n"/>
      <c r="AA21" s="28" t="n"/>
      <c r="AB21" s="28" t="n"/>
      <c r="AC21" s="12" t="n"/>
      <c r="AD21" s="15" t="n"/>
      <c r="AE21" s="14" t="n"/>
      <c r="AF21" s="15" t="n"/>
      <c r="AG21" s="14" t="n"/>
      <c r="AH21" s="16" t="n"/>
      <c r="AI21" s="14" t="n"/>
      <c r="AJ21" s="15" t="n"/>
      <c r="AK21" s="14" t="n"/>
      <c r="AL21" s="16" t="n"/>
      <c r="AM21" s="14" t="n"/>
      <c r="AN21" s="15" t="n"/>
      <c r="AO21" s="14" t="n"/>
      <c r="AP21" s="16" t="n"/>
      <c r="AQ21" s="14" t="n"/>
      <c r="AR21" s="15" t="n"/>
      <c r="AS21" s="14" t="n"/>
      <c r="AT21" s="15" t="n"/>
      <c r="AU21" s="12" t="n"/>
      <c r="AV21" s="15" t="n"/>
      <c r="AW21" s="14" t="n"/>
      <c r="AX21" s="15" t="n"/>
      <c r="AY21" s="12" t="n"/>
      <c r="AZ21" s="15" t="n"/>
      <c r="BA21" s="14" t="n"/>
      <c r="BB21" s="15" t="n"/>
      <c r="BC21" s="12" t="n"/>
      <c r="BD21" s="15" t="n"/>
      <c r="BE21" s="14" t="n"/>
      <c r="BF21" s="15" t="n"/>
      <c r="BG21" s="14" t="n"/>
      <c r="BH21" s="16" t="n"/>
      <c r="BI21" s="14" t="n"/>
      <c r="BJ21" s="15" t="n"/>
      <c r="BK21" s="14" t="n"/>
      <c r="BL21" s="16" t="n"/>
      <c r="BM21" s="14" t="n"/>
      <c r="BN21" s="15" t="n"/>
      <c r="BO21" s="14" t="n"/>
      <c r="BP21" s="16" t="n"/>
      <c r="BQ21" s="14" t="n"/>
      <c r="BR21" s="15" t="n"/>
      <c r="BS21" s="14" t="n"/>
      <c r="BT21" s="15" t="n"/>
      <c r="BU21" s="12" t="n"/>
      <c r="BV21" s="15" t="n"/>
      <c r="BW21" s="14" t="n"/>
      <c r="BX21" s="15" t="n"/>
      <c r="BY21" s="12" t="n"/>
      <c r="BZ21" s="15" t="n"/>
      <c r="CA21" s="14" t="n"/>
      <c r="CB21" s="15" t="n"/>
      <c r="CC21" s="12" t="n"/>
      <c r="CD21" s="15" t="n"/>
      <c r="CE21" s="14" t="n"/>
      <c r="CF21" s="15" t="n"/>
      <c r="CG21" s="14" t="n"/>
      <c r="CH21" s="16" t="n"/>
      <c r="CI21" s="14" t="n"/>
      <c r="CJ21" s="15" t="n"/>
      <c r="CK21" s="14" t="n"/>
      <c r="CL21" s="16" t="n"/>
      <c r="CM21" s="14" t="n"/>
      <c r="CN21" s="15" t="n"/>
      <c r="CO21" s="14" t="n"/>
      <c r="CP21" s="15" t="n"/>
      <c r="CQ21" s="12" t="n"/>
      <c r="CR21" s="15" t="n"/>
      <c r="CS21" s="14" t="n"/>
      <c r="CT21" s="15" t="n"/>
      <c r="CU21" s="12" t="n"/>
      <c r="CV21" s="15" t="n"/>
      <c r="CW21" s="14" t="n"/>
      <c r="CX21" s="15" t="n"/>
    </row>
    <row r="22" ht="14" customHeight="1">
      <c r="A22" s="19" t="inlineStr">
        <is>
          <t>P-07</t>
        </is>
      </c>
      <c r="B22" s="20" t="inlineStr">
        <is>
          <t>Ensayos y FAT PMS (tablero control integrado)</t>
        </is>
      </c>
      <c r="C22" s="21" t="inlineStr">
        <is>
          <t>PMS</t>
        </is>
      </c>
      <c r="D22" s="21" t="inlineStr">
        <is>
          <t>19/10/2026</t>
        </is>
      </c>
      <c r="E22" s="21" t="inlineStr">
        <is>
          <t>23/10/2026</t>
        </is>
      </c>
      <c r="F22" s="30" t="inlineStr">
        <is>
          <t>+222d</t>
        </is>
      </c>
      <c r="G22" s="12" t="n"/>
      <c r="H22" s="15" t="n"/>
      <c r="I22" s="14" t="n"/>
      <c r="J22" s="15" t="n"/>
      <c r="K22" s="14" t="n"/>
      <c r="L22" s="16" t="n"/>
      <c r="M22" s="14" t="n"/>
      <c r="N22" s="15" t="n"/>
      <c r="O22" s="14" t="n"/>
      <c r="P22" s="16" t="n"/>
      <c r="Q22" s="14" t="n"/>
      <c r="R22" s="15" t="n"/>
      <c r="S22" s="14" t="n"/>
      <c r="T22" s="15" t="n"/>
      <c r="U22" s="12" t="n"/>
      <c r="V22" s="15" t="n"/>
      <c r="W22" s="14" t="n"/>
      <c r="X22" s="15" t="n"/>
      <c r="Y22" s="12" t="n"/>
      <c r="Z22" s="15" t="n"/>
      <c r="AA22" s="14" t="n"/>
      <c r="AB22" s="15" t="n"/>
      <c r="AC22" s="12" t="n"/>
      <c r="AD22" s="15" t="n"/>
      <c r="AE22" s="28" t="n"/>
      <c r="AF22" s="28" t="n"/>
      <c r="AG22" s="14" t="n"/>
      <c r="AH22" s="16" t="n"/>
      <c r="AI22" s="14" t="n"/>
      <c r="AJ22" s="15" t="n"/>
      <c r="AK22" s="14" t="n"/>
      <c r="AL22" s="16" t="n"/>
      <c r="AM22" s="14" t="n"/>
      <c r="AN22" s="15" t="n"/>
      <c r="AO22" s="14" t="n"/>
      <c r="AP22" s="16" t="n"/>
      <c r="AQ22" s="14" t="n"/>
      <c r="AR22" s="15" t="n"/>
      <c r="AS22" s="14" t="n"/>
      <c r="AT22" s="15" t="n"/>
      <c r="AU22" s="12" t="n"/>
      <c r="AV22" s="15" t="n"/>
      <c r="AW22" s="14" t="n"/>
      <c r="AX22" s="15" t="n"/>
      <c r="AY22" s="12" t="n"/>
      <c r="AZ22" s="15" t="n"/>
      <c r="BA22" s="14" t="n"/>
      <c r="BB22" s="15" t="n"/>
      <c r="BC22" s="12" t="n"/>
      <c r="BD22" s="15" t="n"/>
      <c r="BE22" s="14" t="n"/>
      <c r="BF22" s="15" t="n"/>
      <c r="BG22" s="14" t="n"/>
      <c r="BH22" s="16" t="n"/>
      <c r="BI22" s="14" t="n"/>
      <c r="BJ22" s="15" t="n"/>
      <c r="BK22" s="14" t="n"/>
      <c r="BL22" s="16" t="n"/>
      <c r="BM22" s="14" t="n"/>
      <c r="BN22" s="15" t="n"/>
      <c r="BO22" s="14" t="n"/>
      <c r="BP22" s="16" t="n"/>
      <c r="BQ22" s="14" t="n"/>
      <c r="BR22" s="15" t="n"/>
      <c r="BS22" s="14" t="n"/>
      <c r="BT22" s="15" t="n"/>
      <c r="BU22" s="12" t="n"/>
      <c r="BV22" s="15" t="n"/>
      <c r="BW22" s="14" t="n"/>
      <c r="BX22" s="15" t="n"/>
      <c r="BY22" s="12" t="n"/>
      <c r="BZ22" s="15" t="n"/>
      <c r="CA22" s="14" t="n"/>
      <c r="CB22" s="15" t="n"/>
      <c r="CC22" s="12" t="n"/>
      <c r="CD22" s="15" t="n"/>
      <c r="CE22" s="14" t="n"/>
      <c r="CF22" s="15" t="n"/>
      <c r="CG22" s="14" t="n"/>
      <c r="CH22" s="16" t="n"/>
      <c r="CI22" s="14" t="n"/>
      <c r="CJ22" s="15" t="n"/>
      <c r="CK22" s="14" t="n"/>
      <c r="CL22" s="16" t="n"/>
      <c r="CM22" s="14" t="n"/>
      <c r="CN22" s="15" t="n"/>
      <c r="CO22" s="14" t="n"/>
      <c r="CP22" s="15" t="n"/>
      <c r="CQ22" s="12" t="n"/>
      <c r="CR22" s="15" t="n"/>
      <c r="CS22" s="14" t="n"/>
      <c r="CT22" s="15" t="n"/>
      <c r="CU22" s="12" t="n"/>
      <c r="CV22" s="15" t="n"/>
      <c r="CW22" s="14" t="n"/>
      <c r="CX22" s="15" t="n"/>
    </row>
    <row r="23" ht="14" customHeight="1">
      <c r="A23" s="19" t="inlineStr">
        <is>
          <t>P-08</t>
        </is>
      </c>
      <c r="B23" s="20" t="inlineStr">
        <is>
          <t>FAT Tableros PMS — Enero 2027</t>
        </is>
      </c>
      <c r="C23" s="21" t="inlineStr">
        <is>
          <t>PMS</t>
        </is>
      </c>
      <c r="D23" s="21" t="inlineStr">
        <is>
          <t>04/01/2027</t>
        </is>
      </c>
      <c r="E23" s="21" t="inlineStr">
        <is>
          <t>29/01/2027</t>
        </is>
      </c>
      <c r="F23" s="22" t="inlineStr">
        <is>
          <t>—</t>
        </is>
      </c>
      <c r="G23" s="12" t="n"/>
      <c r="H23" s="15" t="n"/>
      <c r="I23" s="14" t="n"/>
      <c r="J23" s="15" t="n"/>
      <c r="K23" s="14" t="n"/>
      <c r="L23" s="16" t="n"/>
      <c r="M23" s="14" t="n"/>
      <c r="N23" s="15" t="n"/>
      <c r="O23" s="14" t="n"/>
      <c r="P23" s="16" t="n"/>
      <c r="Q23" s="14" t="n"/>
      <c r="R23" s="15" t="n"/>
      <c r="S23" s="14" t="n"/>
      <c r="T23" s="15" t="n"/>
      <c r="U23" s="12" t="n"/>
      <c r="V23" s="15" t="n"/>
      <c r="W23" s="14" t="n"/>
      <c r="X23" s="15" t="n"/>
      <c r="Y23" s="12" t="n"/>
      <c r="Z23" s="15" t="n"/>
      <c r="AA23" s="14" t="n"/>
      <c r="AB23" s="15" t="n"/>
      <c r="AC23" s="12" t="n"/>
      <c r="AD23" s="15" t="n"/>
      <c r="AE23" s="14" t="n"/>
      <c r="AF23" s="15" t="n"/>
      <c r="AG23" s="14" t="n"/>
      <c r="AH23" s="16" t="n"/>
      <c r="AI23" s="14" t="n"/>
      <c r="AJ23" s="15" t="n"/>
      <c r="AK23" s="14" t="n"/>
      <c r="AL23" s="16" t="n"/>
      <c r="AM23" s="14" t="n"/>
      <c r="AN23" s="15" t="n"/>
      <c r="AO23" s="14" t="n"/>
      <c r="AP23" s="29" t="n"/>
      <c r="AQ23" s="28" t="n"/>
      <c r="AR23" s="28" t="n"/>
      <c r="AS23" s="28" t="n"/>
      <c r="AT23" s="28" t="n"/>
      <c r="AU23" s="12" t="n"/>
      <c r="AV23" s="15" t="n"/>
      <c r="AW23" s="14" t="n"/>
      <c r="AX23" s="15" t="n"/>
      <c r="AY23" s="12" t="n"/>
      <c r="AZ23" s="15" t="n"/>
      <c r="BA23" s="14" t="n"/>
      <c r="BB23" s="15" t="n"/>
      <c r="BC23" s="12" t="n"/>
      <c r="BD23" s="15" t="n"/>
      <c r="BE23" s="14" t="n"/>
      <c r="BF23" s="15" t="n"/>
      <c r="BG23" s="14" t="n"/>
      <c r="BH23" s="16" t="n"/>
      <c r="BI23" s="14" t="n"/>
      <c r="BJ23" s="15" t="n"/>
      <c r="BK23" s="14" t="n"/>
      <c r="BL23" s="16" t="n"/>
      <c r="BM23" s="14" t="n"/>
      <c r="BN23" s="15" t="n"/>
      <c r="BO23" s="14" t="n"/>
      <c r="BP23" s="16" t="n"/>
      <c r="BQ23" s="14" t="n"/>
      <c r="BR23" s="15" t="n"/>
      <c r="BS23" s="14" t="n"/>
      <c r="BT23" s="15" t="n"/>
      <c r="BU23" s="12" t="n"/>
      <c r="BV23" s="15" t="n"/>
      <c r="BW23" s="14" t="n"/>
      <c r="BX23" s="15" t="n"/>
      <c r="BY23" s="12" t="n"/>
      <c r="BZ23" s="15" t="n"/>
      <c r="CA23" s="14" t="n"/>
      <c r="CB23" s="15" t="n"/>
      <c r="CC23" s="12" t="n"/>
      <c r="CD23" s="15" t="n"/>
      <c r="CE23" s="14" t="n"/>
      <c r="CF23" s="15" t="n"/>
      <c r="CG23" s="14" t="n"/>
      <c r="CH23" s="16" t="n"/>
      <c r="CI23" s="14" t="n"/>
      <c r="CJ23" s="15" t="n"/>
      <c r="CK23" s="14" t="n"/>
      <c r="CL23" s="16" t="n"/>
      <c r="CM23" s="14" t="n"/>
      <c r="CN23" s="15" t="n"/>
      <c r="CO23" s="14" t="n"/>
      <c r="CP23" s="15" t="n"/>
      <c r="CQ23" s="12" t="n"/>
      <c r="CR23" s="15" t="n"/>
      <c r="CS23" s="14" t="n"/>
      <c r="CT23" s="15" t="n"/>
      <c r="CU23" s="12" t="n"/>
      <c r="CV23" s="15" t="n"/>
      <c r="CW23" s="14" t="n"/>
      <c r="CX23" s="15" t="n"/>
    </row>
    <row r="24" ht="14" customHeight="1">
      <c r="A24" s="19" t="inlineStr">
        <is>
          <t>P-09</t>
        </is>
      </c>
      <c r="B24" s="20" t="inlineStr">
        <is>
          <t>Integración PMS en Shelter (prueba integrada solicitada por AESA)</t>
        </is>
      </c>
      <c r="C24" s="21" t="inlineStr">
        <is>
          <t>PMS</t>
        </is>
      </c>
      <c r="D24" s="21" t="inlineStr">
        <is>
          <t>20/04/2027</t>
        </is>
      </c>
      <c r="E24" s="21" t="inlineStr">
        <is>
          <t>09/05/2027</t>
        </is>
      </c>
      <c r="F24" s="22" t="inlineStr">
        <is>
          <t>—</t>
        </is>
      </c>
      <c r="G24" s="12" t="n"/>
      <c r="H24" s="15" t="n"/>
      <c r="I24" s="14" t="n"/>
      <c r="J24" s="15" t="n"/>
      <c r="K24" s="14" t="n"/>
      <c r="L24" s="16" t="n"/>
      <c r="M24" s="14" t="n"/>
      <c r="N24" s="15" t="n"/>
      <c r="O24" s="14" t="n"/>
      <c r="P24" s="16" t="n"/>
      <c r="Q24" s="14" t="n"/>
      <c r="R24" s="15" t="n"/>
      <c r="S24" s="14" t="n"/>
      <c r="T24" s="15" t="n"/>
      <c r="U24" s="12" t="n"/>
      <c r="V24" s="15" t="n"/>
      <c r="W24" s="14" t="n"/>
      <c r="X24" s="15" t="n"/>
      <c r="Y24" s="12" t="n"/>
      <c r="Z24" s="15" t="n"/>
      <c r="AA24" s="14" t="n"/>
      <c r="AB24" s="15" t="n"/>
      <c r="AC24" s="12" t="n"/>
      <c r="AD24" s="15" t="n"/>
      <c r="AE24" s="14" t="n"/>
      <c r="AF24" s="15" t="n"/>
      <c r="AG24" s="14" t="n"/>
      <c r="AH24" s="16" t="n"/>
      <c r="AI24" s="14" t="n"/>
      <c r="AJ24" s="15" t="n"/>
      <c r="AK24" s="14" t="n"/>
      <c r="AL24" s="16" t="n"/>
      <c r="AM24" s="14" t="n"/>
      <c r="AN24" s="15" t="n"/>
      <c r="AO24" s="14" t="n"/>
      <c r="AP24" s="16" t="n"/>
      <c r="AQ24" s="14" t="n"/>
      <c r="AR24" s="15" t="n"/>
      <c r="AS24" s="14" t="n"/>
      <c r="AT24" s="15" t="n"/>
      <c r="AU24" s="12" t="n"/>
      <c r="AV24" s="15" t="n"/>
      <c r="AW24" s="14" t="n"/>
      <c r="AX24" s="15" t="n"/>
      <c r="AY24" s="12" t="n"/>
      <c r="AZ24" s="15" t="n"/>
      <c r="BA24" s="14" t="n"/>
      <c r="BB24" s="15" t="n"/>
      <c r="BC24" s="12" t="n"/>
      <c r="BD24" s="15" t="n"/>
      <c r="BE24" s="28" t="n"/>
      <c r="BF24" s="28" t="n"/>
      <c r="BG24" s="28" t="n"/>
      <c r="BH24" s="29" t="n"/>
      <c r="BI24" s="14" t="n"/>
      <c r="BJ24" s="15" t="n"/>
      <c r="BK24" s="14" t="n"/>
      <c r="BL24" s="16" t="n"/>
      <c r="BM24" s="14" t="n"/>
      <c r="BN24" s="15" t="n"/>
      <c r="BO24" s="14" t="n"/>
      <c r="BP24" s="16" t="n"/>
      <c r="BQ24" s="14" t="n"/>
      <c r="BR24" s="15" t="n"/>
      <c r="BS24" s="14" t="n"/>
      <c r="BT24" s="15" t="n"/>
      <c r="BU24" s="12" t="n"/>
      <c r="BV24" s="15" t="n"/>
      <c r="BW24" s="14" t="n"/>
      <c r="BX24" s="15" t="n"/>
      <c r="BY24" s="12" t="n"/>
      <c r="BZ24" s="15" t="n"/>
      <c r="CA24" s="14" t="n"/>
      <c r="CB24" s="15" t="n"/>
      <c r="CC24" s="12" t="n"/>
      <c r="CD24" s="15" t="n"/>
      <c r="CE24" s="14" t="n"/>
      <c r="CF24" s="15" t="n"/>
      <c r="CG24" s="14" t="n"/>
      <c r="CH24" s="16" t="n"/>
      <c r="CI24" s="14" t="n"/>
      <c r="CJ24" s="15" t="n"/>
      <c r="CK24" s="14" t="n"/>
      <c r="CL24" s="16" t="n"/>
      <c r="CM24" s="14" t="n"/>
      <c r="CN24" s="15" t="n"/>
      <c r="CO24" s="14" t="n"/>
      <c r="CP24" s="15" t="n"/>
      <c r="CQ24" s="12" t="n"/>
      <c r="CR24" s="15" t="n"/>
      <c r="CS24" s="14" t="n"/>
      <c r="CT24" s="15" t="n"/>
      <c r="CU24" s="12" t="n"/>
      <c r="CV24" s="15" t="n"/>
      <c r="CW24" s="14" t="n"/>
      <c r="CX24" s="15" t="n"/>
    </row>
    <row r="25" ht="16" customHeight="1">
      <c r="A25" s="31" t="inlineStr">
        <is>
          <t xml:space="preserve">  ▶  SALA #4 (MT)</t>
        </is>
      </c>
    </row>
    <row r="26" ht="14" customHeight="1">
      <c r="A26" s="32" t="inlineStr">
        <is>
          <t>S4-01</t>
        </is>
      </c>
      <c r="B26" s="33" t="inlineStr">
        <is>
          <t>Emisión Ingeniería Básica Sala #4</t>
        </is>
      </c>
      <c r="C26" s="34" t="inlineStr">
        <is>
          <t>S4</t>
        </is>
      </c>
      <c r="D26" s="34" t="inlineStr">
        <is>
          <t>22/05/2026</t>
        </is>
      </c>
      <c r="E26" s="34" t="inlineStr">
        <is>
          <t>12/06/2026</t>
        </is>
      </c>
      <c r="F26" s="35" t="inlineStr">
        <is>
          <t>—</t>
        </is>
      </c>
      <c r="G26" s="12" t="n"/>
      <c r="H26" s="15" t="n"/>
      <c r="I26" s="14" t="n"/>
      <c r="J26" s="23" t="n"/>
      <c r="K26" s="23" t="n"/>
      <c r="L26" s="24" t="n"/>
      <c r="M26" s="23" t="n"/>
      <c r="N26" s="15" t="n"/>
      <c r="O26" s="14" t="n"/>
      <c r="P26" s="16" t="n"/>
      <c r="Q26" s="14" t="n"/>
      <c r="R26" s="15" t="n"/>
      <c r="S26" s="14" t="n"/>
      <c r="T26" s="15" t="n"/>
      <c r="U26" s="12" t="n"/>
      <c r="V26" s="15" t="n"/>
      <c r="W26" s="14" t="n"/>
      <c r="X26" s="15" t="n"/>
      <c r="Y26" s="12" t="n"/>
      <c r="Z26" s="15" t="n"/>
      <c r="AA26" s="14" t="n"/>
      <c r="AB26" s="15" t="n"/>
      <c r="AC26" s="12" t="n"/>
      <c r="AD26" s="15" t="n"/>
      <c r="AE26" s="14" t="n"/>
      <c r="AF26" s="15" t="n"/>
      <c r="AG26" s="14" t="n"/>
      <c r="AH26" s="16" t="n"/>
      <c r="AI26" s="14" t="n"/>
      <c r="AJ26" s="15" t="n"/>
      <c r="AK26" s="14" t="n"/>
      <c r="AL26" s="16" t="n"/>
      <c r="AM26" s="14" t="n"/>
      <c r="AN26" s="15" t="n"/>
      <c r="AO26" s="14" t="n"/>
      <c r="AP26" s="16" t="n"/>
      <c r="AQ26" s="14" t="n"/>
      <c r="AR26" s="15" t="n"/>
      <c r="AS26" s="14" t="n"/>
      <c r="AT26" s="15" t="n"/>
      <c r="AU26" s="12" t="n"/>
      <c r="AV26" s="15" t="n"/>
      <c r="AW26" s="14" t="n"/>
      <c r="AX26" s="15" t="n"/>
      <c r="AY26" s="12" t="n"/>
      <c r="AZ26" s="15" t="n"/>
      <c r="BA26" s="14" t="n"/>
      <c r="BB26" s="15" t="n"/>
      <c r="BC26" s="12" t="n"/>
      <c r="BD26" s="15" t="n"/>
      <c r="BE26" s="14" t="n"/>
      <c r="BF26" s="15" t="n"/>
      <c r="BG26" s="14" t="n"/>
      <c r="BH26" s="16" t="n"/>
      <c r="BI26" s="14" t="n"/>
      <c r="BJ26" s="15" t="n"/>
      <c r="BK26" s="14" t="n"/>
      <c r="BL26" s="16" t="n"/>
      <c r="BM26" s="14" t="n"/>
      <c r="BN26" s="15" t="n"/>
      <c r="BO26" s="14" t="n"/>
      <c r="BP26" s="16" t="n"/>
      <c r="BQ26" s="14" t="n"/>
      <c r="BR26" s="15" t="n"/>
      <c r="BS26" s="14" t="n"/>
      <c r="BT26" s="15" t="n"/>
      <c r="BU26" s="12" t="n"/>
      <c r="BV26" s="15" t="n"/>
      <c r="BW26" s="14" t="n"/>
      <c r="BX26" s="15" t="n"/>
      <c r="BY26" s="12" t="n"/>
      <c r="BZ26" s="15" t="n"/>
      <c r="CA26" s="14" t="n"/>
      <c r="CB26" s="15" t="n"/>
      <c r="CC26" s="12" t="n"/>
      <c r="CD26" s="15" t="n"/>
      <c r="CE26" s="14" t="n"/>
      <c r="CF26" s="15" t="n"/>
      <c r="CG26" s="14" t="n"/>
      <c r="CH26" s="16" t="n"/>
      <c r="CI26" s="14" t="n"/>
      <c r="CJ26" s="15" t="n"/>
      <c r="CK26" s="14" t="n"/>
      <c r="CL26" s="16" t="n"/>
      <c r="CM26" s="14" t="n"/>
      <c r="CN26" s="15" t="n"/>
      <c r="CO26" s="14" t="n"/>
      <c r="CP26" s="15" t="n"/>
      <c r="CQ26" s="12" t="n"/>
      <c r="CR26" s="15" t="n"/>
      <c r="CS26" s="14" t="n"/>
      <c r="CT26" s="15" t="n"/>
      <c r="CU26" s="12" t="n"/>
      <c r="CV26" s="15" t="n"/>
      <c r="CW26" s="14" t="n"/>
      <c r="CX26" s="15" t="n"/>
    </row>
    <row r="27" ht="14" customHeight="1">
      <c r="A27" s="32" t="inlineStr">
        <is>
          <t>S4-02</t>
        </is>
      </c>
      <c r="B27" s="33" t="inlineStr">
        <is>
          <t>Aprobación IB Sala #4 (AESA — 10 días hábiles)</t>
        </is>
      </c>
      <c r="C27" s="34" t="inlineStr">
        <is>
          <t>S4</t>
        </is>
      </c>
      <c r="D27" s="34" t="inlineStr">
        <is>
          <t>15/06/2026</t>
        </is>
      </c>
      <c r="E27" s="34" t="inlineStr">
        <is>
          <t>26/06/2026</t>
        </is>
      </c>
      <c r="F27" s="35" t="inlineStr">
        <is>
          <t>—</t>
        </is>
      </c>
      <c r="G27" s="12" t="n"/>
      <c r="H27" s="15" t="n"/>
      <c r="I27" s="14" t="n"/>
      <c r="J27" s="15" t="n"/>
      <c r="K27" s="14" t="n"/>
      <c r="L27" s="16" t="n"/>
      <c r="M27" s="23" t="n"/>
      <c r="N27" s="23" t="n"/>
      <c r="O27" s="23" t="n"/>
      <c r="P27" s="16" t="n"/>
      <c r="Q27" s="14" t="n"/>
      <c r="R27" s="15" t="n"/>
      <c r="S27" s="14" t="n"/>
      <c r="T27" s="15" t="n"/>
      <c r="U27" s="12" t="n"/>
      <c r="V27" s="15" t="n"/>
      <c r="W27" s="14" t="n"/>
      <c r="X27" s="15" t="n"/>
      <c r="Y27" s="12" t="n"/>
      <c r="Z27" s="15" t="n"/>
      <c r="AA27" s="14" t="n"/>
      <c r="AB27" s="15" t="n"/>
      <c r="AC27" s="12" t="n"/>
      <c r="AD27" s="15" t="n"/>
      <c r="AE27" s="14" t="n"/>
      <c r="AF27" s="15" t="n"/>
      <c r="AG27" s="14" t="n"/>
      <c r="AH27" s="16" t="n"/>
      <c r="AI27" s="14" t="n"/>
      <c r="AJ27" s="15" t="n"/>
      <c r="AK27" s="14" t="n"/>
      <c r="AL27" s="16" t="n"/>
      <c r="AM27" s="14" t="n"/>
      <c r="AN27" s="15" t="n"/>
      <c r="AO27" s="14" t="n"/>
      <c r="AP27" s="16" t="n"/>
      <c r="AQ27" s="14" t="n"/>
      <c r="AR27" s="15" t="n"/>
      <c r="AS27" s="14" t="n"/>
      <c r="AT27" s="15" t="n"/>
      <c r="AU27" s="12" t="n"/>
      <c r="AV27" s="15" t="n"/>
      <c r="AW27" s="14" t="n"/>
      <c r="AX27" s="15" t="n"/>
      <c r="AY27" s="12" t="n"/>
      <c r="AZ27" s="15" t="n"/>
      <c r="BA27" s="14" t="n"/>
      <c r="BB27" s="15" t="n"/>
      <c r="BC27" s="12" t="n"/>
      <c r="BD27" s="15" t="n"/>
      <c r="BE27" s="14" t="n"/>
      <c r="BF27" s="15" t="n"/>
      <c r="BG27" s="14" t="n"/>
      <c r="BH27" s="16" t="n"/>
      <c r="BI27" s="14" t="n"/>
      <c r="BJ27" s="15" t="n"/>
      <c r="BK27" s="14" t="n"/>
      <c r="BL27" s="16" t="n"/>
      <c r="BM27" s="14" t="n"/>
      <c r="BN27" s="15" t="n"/>
      <c r="BO27" s="14" t="n"/>
      <c r="BP27" s="16" t="n"/>
      <c r="BQ27" s="14" t="n"/>
      <c r="BR27" s="15" t="n"/>
      <c r="BS27" s="14" t="n"/>
      <c r="BT27" s="15" t="n"/>
      <c r="BU27" s="12" t="n"/>
      <c r="BV27" s="15" t="n"/>
      <c r="BW27" s="14" t="n"/>
      <c r="BX27" s="15" t="n"/>
      <c r="BY27" s="12" t="n"/>
      <c r="BZ27" s="15" t="n"/>
      <c r="CA27" s="14" t="n"/>
      <c r="CB27" s="15" t="n"/>
      <c r="CC27" s="12" t="n"/>
      <c r="CD27" s="15" t="n"/>
      <c r="CE27" s="14" t="n"/>
      <c r="CF27" s="15" t="n"/>
      <c r="CG27" s="14" t="n"/>
      <c r="CH27" s="16" t="n"/>
      <c r="CI27" s="14" t="n"/>
      <c r="CJ27" s="15" t="n"/>
      <c r="CK27" s="14" t="n"/>
      <c r="CL27" s="16" t="n"/>
      <c r="CM27" s="14" t="n"/>
      <c r="CN27" s="15" t="n"/>
      <c r="CO27" s="14" t="n"/>
      <c r="CP27" s="15" t="n"/>
      <c r="CQ27" s="12" t="n"/>
      <c r="CR27" s="15" t="n"/>
      <c r="CS27" s="14" t="n"/>
      <c r="CT27" s="15" t="n"/>
      <c r="CU27" s="12" t="n"/>
      <c r="CV27" s="15" t="n"/>
      <c r="CW27" s="14" t="n"/>
      <c r="CX27" s="15" t="n"/>
    </row>
    <row r="28" ht="13" customHeight="1">
      <c r="A28" s="32" t="inlineStr">
        <is>
          <t>FP-S4-1</t>
        </is>
      </c>
      <c r="B28" s="36" t="inlineStr">
        <is>
          <t>◆ FREEZING POINT — Ing. Básica Sala #4</t>
        </is>
      </c>
      <c r="C28" s="34" t="inlineStr">
        <is>
          <t>S4</t>
        </is>
      </c>
      <c r="D28" s="37" t="inlineStr">
        <is>
          <t>26/06/2026</t>
        </is>
      </c>
      <c r="E28" s="37" t="inlineStr">
        <is>
          <t>26/06/2026</t>
        </is>
      </c>
      <c r="F28" s="35" t="inlineStr">
        <is>
          <t>—</t>
        </is>
      </c>
      <c r="G28" s="12" t="n"/>
      <c r="H28" s="15" t="n"/>
      <c r="I28" s="14" t="n"/>
      <c r="J28" s="15" t="n"/>
      <c r="K28" s="14" t="n"/>
      <c r="L28" s="16" t="n"/>
      <c r="M28" s="14" t="n"/>
      <c r="N28" s="15" t="n"/>
      <c r="O28" s="27" t="inlineStr">
        <is>
          <t>◆</t>
        </is>
      </c>
      <c r="P28" s="16" t="n"/>
      <c r="Q28" s="14" t="n"/>
      <c r="R28" s="15" t="n"/>
      <c r="S28" s="14" t="n"/>
      <c r="T28" s="15" t="n"/>
      <c r="U28" s="12" t="n"/>
      <c r="V28" s="15" t="n"/>
      <c r="W28" s="14" t="n"/>
      <c r="X28" s="15" t="n"/>
      <c r="Y28" s="12" t="n"/>
      <c r="Z28" s="15" t="n"/>
      <c r="AA28" s="14" t="n"/>
      <c r="AB28" s="15" t="n"/>
      <c r="AC28" s="12" t="n"/>
      <c r="AD28" s="15" t="n"/>
      <c r="AE28" s="14" t="n"/>
      <c r="AF28" s="15" t="n"/>
      <c r="AG28" s="14" t="n"/>
      <c r="AH28" s="16" t="n"/>
      <c r="AI28" s="14" t="n"/>
      <c r="AJ28" s="15" t="n"/>
      <c r="AK28" s="14" t="n"/>
      <c r="AL28" s="16" t="n"/>
      <c r="AM28" s="14" t="n"/>
      <c r="AN28" s="15" t="n"/>
      <c r="AO28" s="14" t="n"/>
      <c r="AP28" s="16" t="n"/>
      <c r="AQ28" s="14" t="n"/>
      <c r="AR28" s="15" t="n"/>
      <c r="AS28" s="14" t="n"/>
      <c r="AT28" s="15" t="n"/>
      <c r="AU28" s="12" t="n"/>
      <c r="AV28" s="15" t="n"/>
      <c r="AW28" s="14" t="n"/>
      <c r="AX28" s="15" t="n"/>
      <c r="AY28" s="12" t="n"/>
      <c r="AZ28" s="15" t="n"/>
      <c r="BA28" s="14" t="n"/>
      <c r="BB28" s="15" t="n"/>
      <c r="BC28" s="12" t="n"/>
      <c r="BD28" s="15" t="n"/>
      <c r="BE28" s="14" t="n"/>
      <c r="BF28" s="15" t="n"/>
      <c r="BG28" s="14" t="n"/>
      <c r="BH28" s="16" t="n"/>
      <c r="BI28" s="14" t="n"/>
      <c r="BJ28" s="15" t="n"/>
      <c r="BK28" s="14" t="n"/>
      <c r="BL28" s="16" t="n"/>
      <c r="BM28" s="14" t="n"/>
      <c r="BN28" s="15" t="n"/>
      <c r="BO28" s="14" t="n"/>
      <c r="BP28" s="16" t="n"/>
      <c r="BQ28" s="14" t="n"/>
      <c r="BR28" s="15" t="n"/>
      <c r="BS28" s="14" t="n"/>
      <c r="BT28" s="15" t="n"/>
      <c r="BU28" s="12" t="n"/>
      <c r="BV28" s="15" t="n"/>
      <c r="BW28" s="14" t="n"/>
      <c r="BX28" s="15" t="n"/>
      <c r="BY28" s="12" t="n"/>
      <c r="BZ28" s="15" t="n"/>
      <c r="CA28" s="14" t="n"/>
      <c r="CB28" s="15" t="n"/>
      <c r="CC28" s="12" t="n"/>
      <c r="CD28" s="15" t="n"/>
      <c r="CE28" s="14" t="n"/>
      <c r="CF28" s="15" t="n"/>
      <c r="CG28" s="14" t="n"/>
      <c r="CH28" s="16" t="n"/>
      <c r="CI28" s="14" t="n"/>
      <c r="CJ28" s="15" t="n"/>
      <c r="CK28" s="14" t="n"/>
      <c r="CL28" s="16" t="n"/>
      <c r="CM28" s="14" t="n"/>
      <c r="CN28" s="15" t="n"/>
      <c r="CO28" s="14" t="n"/>
      <c r="CP28" s="15" t="n"/>
      <c r="CQ28" s="12" t="n"/>
      <c r="CR28" s="15" t="n"/>
      <c r="CS28" s="14" t="n"/>
      <c r="CT28" s="15" t="n"/>
      <c r="CU28" s="12" t="n"/>
      <c r="CV28" s="15" t="n"/>
      <c r="CW28" s="14" t="n"/>
      <c r="CX28" s="15" t="n"/>
    </row>
    <row r="29" ht="14" customHeight="1">
      <c r="A29" s="32" t="inlineStr">
        <is>
          <t>S4-03</t>
        </is>
      </c>
      <c r="B29" s="33" t="inlineStr">
        <is>
          <t>OC a 3ros: Celdas MT Turquía (post FP-IB)</t>
        </is>
      </c>
      <c r="C29" s="34" t="inlineStr">
        <is>
          <t>S4</t>
        </is>
      </c>
      <c r="D29" s="34" t="inlineStr">
        <is>
          <t>29/06/2026</t>
        </is>
      </c>
      <c r="E29" s="34" t="inlineStr">
        <is>
          <t>10/07/2026</t>
        </is>
      </c>
      <c r="F29" s="35" t="inlineStr">
        <is>
          <t>—</t>
        </is>
      </c>
      <c r="G29" s="12" t="n"/>
      <c r="H29" s="15" t="n"/>
      <c r="I29" s="14" t="n"/>
      <c r="J29" s="15" t="n"/>
      <c r="K29" s="14" t="n"/>
      <c r="L29" s="16" t="n"/>
      <c r="M29" s="14" t="n"/>
      <c r="N29" s="15" t="n"/>
      <c r="O29" s="23" t="n"/>
      <c r="P29" s="24" t="n"/>
      <c r="Q29" s="23" t="n"/>
      <c r="R29" s="15" t="n"/>
      <c r="S29" s="14" t="n"/>
      <c r="T29" s="15" t="n"/>
      <c r="U29" s="12" t="n"/>
      <c r="V29" s="15" t="n"/>
      <c r="W29" s="14" t="n"/>
      <c r="X29" s="15" t="n"/>
      <c r="Y29" s="12" t="n"/>
      <c r="Z29" s="15" t="n"/>
      <c r="AA29" s="14" t="n"/>
      <c r="AB29" s="15" t="n"/>
      <c r="AC29" s="12" t="n"/>
      <c r="AD29" s="15" t="n"/>
      <c r="AE29" s="14" t="n"/>
      <c r="AF29" s="15" t="n"/>
      <c r="AG29" s="14" t="n"/>
      <c r="AH29" s="16" t="n"/>
      <c r="AI29" s="14" t="n"/>
      <c r="AJ29" s="15" t="n"/>
      <c r="AK29" s="14" t="n"/>
      <c r="AL29" s="16" t="n"/>
      <c r="AM29" s="14" t="n"/>
      <c r="AN29" s="15" t="n"/>
      <c r="AO29" s="14" t="n"/>
      <c r="AP29" s="16" t="n"/>
      <c r="AQ29" s="14" t="n"/>
      <c r="AR29" s="15" t="n"/>
      <c r="AS29" s="14" t="n"/>
      <c r="AT29" s="15" t="n"/>
      <c r="AU29" s="12" t="n"/>
      <c r="AV29" s="15" t="n"/>
      <c r="AW29" s="14" t="n"/>
      <c r="AX29" s="15" t="n"/>
      <c r="AY29" s="12" t="n"/>
      <c r="AZ29" s="15" t="n"/>
      <c r="BA29" s="14" t="n"/>
      <c r="BB29" s="15" t="n"/>
      <c r="BC29" s="12" t="n"/>
      <c r="BD29" s="15" t="n"/>
      <c r="BE29" s="14" t="n"/>
      <c r="BF29" s="15" t="n"/>
      <c r="BG29" s="14" t="n"/>
      <c r="BH29" s="16" t="n"/>
      <c r="BI29" s="14" t="n"/>
      <c r="BJ29" s="15" t="n"/>
      <c r="BK29" s="14" t="n"/>
      <c r="BL29" s="16" t="n"/>
      <c r="BM29" s="14" t="n"/>
      <c r="BN29" s="15" t="n"/>
      <c r="BO29" s="14" t="n"/>
      <c r="BP29" s="16" t="n"/>
      <c r="BQ29" s="14" t="n"/>
      <c r="BR29" s="15" t="n"/>
      <c r="BS29" s="14" t="n"/>
      <c r="BT29" s="15" t="n"/>
      <c r="BU29" s="12" t="n"/>
      <c r="BV29" s="15" t="n"/>
      <c r="BW29" s="14" t="n"/>
      <c r="BX29" s="15" t="n"/>
      <c r="BY29" s="12" t="n"/>
      <c r="BZ29" s="15" t="n"/>
      <c r="CA29" s="14" t="n"/>
      <c r="CB29" s="15" t="n"/>
      <c r="CC29" s="12" t="n"/>
      <c r="CD29" s="15" t="n"/>
      <c r="CE29" s="14" t="n"/>
      <c r="CF29" s="15" t="n"/>
      <c r="CG29" s="14" t="n"/>
      <c r="CH29" s="16" t="n"/>
      <c r="CI29" s="14" t="n"/>
      <c r="CJ29" s="15" t="n"/>
      <c r="CK29" s="14" t="n"/>
      <c r="CL29" s="16" t="n"/>
      <c r="CM29" s="14" t="n"/>
      <c r="CN29" s="15" t="n"/>
      <c r="CO29" s="14" t="n"/>
      <c r="CP29" s="15" t="n"/>
      <c r="CQ29" s="12" t="n"/>
      <c r="CR29" s="15" t="n"/>
      <c r="CS29" s="14" t="n"/>
      <c r="CT29" s="15" t="n"/>
      <c r="CU29" s="12" t="n"/>
      <c r="CV29" s="15" t="n"/>
      <c r="CW29" s="14" t="n"/>
      <c r="CX29" s="15" t="n"/>
    </row>
    <row r="30" ht="14" customHeight="1">
      <c r="A30" s="32" t="inlineStr">
        <is>
          <t>S4-04</t>
        </is>
      </c>
      <c r="B30" s="33" t="inlineStr">
        <is>
          <t>Emisión Ingeniería de Detalle Sala #4</t>
        </is>
      </c>
      <c r="C30" s="34" t="inlineStr">
        <is>
          <t>S4</t>
        </is>
      </c>
      <c r="D30" s="34" t="inlineStr">
        <is>
          <t>29/06/2026</t>
        </is>
      </c>
      <c r="E30" s="34" t="inlineStr">
        <is>
          <t>17/07/2026</t>
        </is>
      </c>
      <c r="F30" s="35" t="inlineStr">
        <is>
          <t>—</t>
        </is>
      </c>
      <c r="G30" s="12" t="n"/>
      <c r="H30" s="15" t="n"/>
      <c r="I30" s="14" t="n"/>
      <c r="J30" s="15" t="n"/>
      <c r="K30" s="14" t="n"/>
      <c r="L30" s="16" t="n"/>
      <c r="M30" s="14" t="n"/>
      <c r="N30" s="15" t="n"/>
      <c r="O30" s="23" t="n"/>
      <c r="P30" s="24" t="n"/>
      <c r="Q30" s="23" t="n"/>
      <c r="R30" s="23" t="n"/>
      <c r="S30" s="14" t="n"/>
      <c r="T30" s="15" t="n"/>
      <c r="U30" s="12" t="n"/>
      <c r="V30" s="15" t="n"/>
      <c r="W30" s="14" t="n"/>
      <c r="X30" s="15" t="n"/>
      <c r="Y30" s="12" t="n"/>
      <c r="Z30" s="15" t="n"/>
      <c r="AA30" s="14" t="n"/>
      <c r="AB30" s="15" t="n"/>
      <c r="AC30" s="12" t="n"/>
      <c r="AD30" s="15" t="n"/>
      <c r="AE30" s="14" t="n"/>
      <c r="AF30" s="15" t="n"/>
      <c r="AG30" s="14" t="n"/>
      <c r="AH30" s="16" t="n"/>
      <c r="AI30" s="14" t="n"/>
      <c r="AJ30" s="15" t="n"/>
      <c r="AK30" s="14" t="n"/>
      <c r="AL30" s="16" t="n"/>
      <c r="AM30" s="14" t="n"/>
      <c r="AN30" s="15" t="n"/>
      <c r="AO30" s="14" t="n"/>
      <c r="AP30" s="16" t="n"/>
      <c r="AQ30" s="14" t="n"/>
      <c r="AR30" s="15" t="n"/>
      <c r="AS30" s="14" t="n"/>
      <c r="AT30" s="15" t="n"/>
      <c r="AU30" s="12" t="n"/>
      <c r="AV30" s="15" t="n"/>
      <c r="AW30" s="14" t="n"/>
      <c r="AX30" s="15" t="n"/>
      <c r="AY30" s="12" t="n"/>
      <c r="AZ30" s="15" t="n"/>
      <c r="BA30" s="14" t="n"/>
      <c r="BB30" s="15" t="n"/>
      <c r="BC30" s="12" t="n"/>
      <c r="BD30" s="15" t="n"/>
      <c r="BE30" s="14" t="n"/>
      <c r="BF30" s="15" t="n"/>
      <c r="BG30" s="14" t="n"/>
      <c r="BH30" s="16" t="n"/>
      <c r="BI30" s="14" t="n"/>
      <c r="BJ30" s="15" t="n"/>
      <c r="BK30" s="14" t="n"/>
      <c r="BL30" s="16" t="n"/>
      <c r="BM30" s="14" t="n"/>
      <c r="BN30" s="15" t="n"/>
      <c r="BO30" s="14" t="n"/>
      <c r="BP30" s="16" t="n"/>
      <c r="BQ30" s="14" t="n"/>
      <c r="BR30" s="15" t="n"/>
      <c r="BS30" s="14" t="n"/>
      <c r="BT30" s="15" t="n"/>
      <c r="BU30" s="12" t="n"/>
      <c r="BV30" s="15" t="n"/>
      <c r="BW30" s="14" t="n"/>
      <c r="BX30" s="15" t="n"/>
      <c r="BY30" s="12" t="n"/>
      <c r="BZ30" s="15" t="n"/>
      <c r="CA30" s="14" t="n"/>
      <c r="CB30" s="15" t="n"/>
      <c r="CC30" s="12" t="n"/>
      <c r="CD30" s="15" t="n"/>
      <c r="CE30" s="14" t="n"/>
      <c r="CF30" s="15" t="n"/>
      <c r="CG30" s="14" t="n"/>
      <c r="CH30" s="16" t="n"/>
      <c r="CI30" s="14" t="n"/>
      <c r="CJ30" s="15" t="n"/>
      <c r="CK30" s="14" t="n"/>
      <c r="CL30" s="16" t="n"/>
      <c r="CM30" s="14" t="n"/>
      <c r="CN30" s="15" t="n"/>
      <c r="CO30" s="14" t="n"/>
      <c r="CP30" s="15" t="n"/>
      <c r="CQ30" s="12" t="n"/>
      <c r="CR30" s="15" t="n"/>
      <c r="CS30" s="14" t="n"/>
      <c r="CT30" s="15" t="n"/>
      <c r="CU30" s="12" t="n"/>
      <c r="CV30" s="15" t="n"/>
      <c r="CW30" s="14" t="n"/>
      <c r="CX30" s="15" t="n"/>
    </row>
    <row r="31" ht="14" customHeight="1">
      <c r="A31" s="32" t="inlineStr">
        <is>
          <t>S4-05</t>
        </is>
      </c>
      <c r="B31" s="33" t="inlineStr">
        <is>
          <t>Aprobación ID Sala #4 (AESA — 10 días hábiles)</t>
        </is>
      </c>
      <c r="C31" s="34" t="inlineStr">
        <is>
          <t>S4</t>
        </is>
      </c>
      <c r="D31" s="34" t="inlineStr">
        <is>
          <t>20/07/2026</t>
        </is>
      </c>
      <c r="E31" s="34" t="inlineStr">
        <is>
          <t>14/08/2026</t>
        </is>
      </c>
      <c r="F31" s="35" t="inlineStr">
        <is>
          <t>—</t>
        </is>
      </c>
      <c r="G31" s="12" t="n"/>
      <c r="H31" s="15" t="n"/>
      <c r="I31" s="14" t="n"/>
      <c r="J31" s="15" t="n"/>
      <c r="K31" s="14" t="n"/>
      <c r="L31" s="16" t="n"/>
      <c r="M31" s="14" t="n"/>
      <c r="N31" s="15" t="n"/>
      <c r="O31" s="14" t="n"/>
      <c r="P31" s="16" t="n"/>
      <c r="Q31" s="14" t="n"/>
      <c r="R31" s="23" t="n"/>
      <c r="S31" s="23" t="n"/>
      <c r="T31" s="23" t="n"/>
      <c r="U31" s="24" t="n"/>
      <c r="V31" s="23" t="n"/>
      <c r="W31" s="14" t="n"/>
      <c r="X31" s="15" t="n"/>
      <c r="Y31" s="12" t="n"/>
      <c r="Z31" s="15" t="n"/>
      <c r="AA31" s="14" t="n"/>
      <c r="AB31" s="15" t="n"/>
      <c r="AC31" s="12" t="n"/>
      <c r="AD31" s="15" t="n"/>
      <c r="AE31" s="14" t="n"/>
      <c r="AF31" s="15" t="n"/>
      <c r="AG31" s="14" t="n"/>
      <c r="AH31" s="16" t="n"/>
      <c r="AI31" s="14" t="n"/>
      <c r="AJ31" s="15" t="n"/>
      <c r="AK31" s="14" t="n"/>
      <c r="AL31" s="16" t="n"/>
      <c r="AM31" s="14" t="n"/>
      <c r="AN31" s="15" t="n"/>
      <c r="AO31" s="14" t="n"/>
      <c r="AP31" s="16" t="n"/>
      <c r="AQ31" s="14" t="n"/>
      <c r="AR31" s="15" t="n"/>
      <c r="AS31" s="14" t="n"/>
      <c r="AT31" s="15" t="n"/>
      <c r="AU31" s="12" t="n"/>
      <c r="AV31" s="15" t="n"/>
      <c r="AW31" s="14" t="n"/>
      <c r="AX31" s="15" t="n"/>
      <c r="AY31" s="12" t="n"/>
      <c r="AZ31" s="15" t="n"/>
      <c r="BA31" s="14" t="n"/>
      <c r="BB31" s="15" t="n"/>
      <c r="BC31" s="12" t="n"/>
      <c r="BD31" s="15" t="n"/>
      <c r="BE31" s="14" t="n"/>
      <c r="BF31" s="15" t="n"/>
      <c r="BG31" s="14" t="n"/>
      <c r="BH31" s="16" t="n"/>
      <c r="BI31" s="14" t="n"/>
      <c r="BJ31" s="15" t="n"/>
      <c r="BK31" s="14" t="n"/>
      <c r="BL31" s="16" t="n"/>
      <c r="BM31" s="14" t="n"/>
      <c r="BN31" s="15" t="n"/>
      <c r="BO31" s="14" t="n"/>
      <c r="BP31" s="16" t="n"/>
      <c r="BQ31" s="14" t="n"/>
      <c r="BR31" s="15" t="n"/>
      <c r="BS31" s="14" t="n"/>
      <c r="BT31" s="15" t="n"/>
      <c r="BU31" s="12" t="n"/>
      <c r="BV31" s="15" t="n"/>
      <c r="BW31" s="14" t="n"/>
      <c r="BX31" s="15" t="n"/>
      <c r="BY31" s="12" t="n"/>
      <c r="BZ31" s="15" t="n"/>
      <c r="CA31" s="14" t="n"/>
      <c r="CB31" s="15" t="n"/>
      <c r="CC31" s="12" t="n"/>
      <c r="CD31" s="15" t="n"/>
      <c r="CE31" s="14" t="n"/>
      <c r="CF31" s="15" t="n"/>
      <c r="CG31" s="14" t="n"/>
      <c r="CH31" s="16" t="n"/>
      <c r="CI31" s="14" t="n"/>
      <c r="CJ31" s="15" t="n"/>
      <c r="CK31" s="14" t="n"/>
      <c r="CL31" s="16" t="n"/>
      <c r="CM31" s="14" t="n"/>
      <c r="CN31" s="15" t="n"/>
      <c r="CO31" s="14" t="n"/>
      <c r="CP31" s="15" t="n"/>
      <c r="CQ31" s="12" t="n"/>
      <c r="CR31" s="15" t="n"/>
      <c r="CS31" s="14" t="n"/>
      <c r="CT31" s="15" t="n"/>
      <c r="CU31" s="12" t="n"/>
      <c r="CV31" s="15" t="n"/>
      <c r="CW31" s="14" t="n"/>
      <c r="CX31" s="15" t="n"/>
    </row>
    <row r="32" ht="13" customHeight="1">
      <c r="A32" s="32" t="inlineStr">
        <is>
          <t>FP-S4-2</t>
        </is>
      </c>
      <c r="B32" s="36" t="inlineStr">
        <is>
          <t>◆ FREEZING POINT — Ing. Detalle Sala #4</t>
        </is>
      </c>
      <c r="C32" s="34" t="inlineStr">
        <is>
          <t>S4</t>
        </is>
      </c>
      <c r="D32" s="37" t="inlineStr">
        <is>
          <t>14/08/2026</t>
        </is>
      </c>
      <c r="E32" s="37" t="inlineStr">
        <is>
          <t>14/08/2026</t>
        </is>
      </c>
      <c r="F32" s="35" t="inlineStr">
        <is>
          <t>—</t>
        </is>
      </c>
      <c r="G32" s="12" t="n"/>
      <c r="H32" s="15" t="n"/>
      <c r="I32" s="14" t="n"/>
      <c r="J32" s="15" t="n"/>
      <c r="K32" s="14" t="n"/>
      <c r="L32" s="16" t="n"/>
      <c r="M32" s="14" t="n"/>
      <c r="N32" s="15" t="n"/>
      <c r="O32" s="14" t="n"/>
      <c r="P32" s="16" t="n"/>
      <c r="Q32" s="14" t="n"/>
      <c r="R32" s="15" t="n"/>
      <c r="S32" s="14" t="n"/>
      <c r="T32" s="15" t="n"/>
      <c r="U32" s="12" t="n"/>
      <c r="V32" s="27" t="inlineStr">
        <is>
          <t>◆</t>
        </is>
      </c>
      <c r="W32" s="14" t="n"/>
      <c r="X32" s="15" t="n"/>
      <c r="Y32" s="12" t="n"/>
      <c r="Z32" s="15" t="n"/>
      <c r="AA32" s="14" t="n"/>
      <c r="AB32" s="15" t="n"/>
      <c r="AC32" s="12" t="n"/>
      <c r="AD32" s="15" t="n"/>
      <c r="AE32" s="14" t="n"/>
      <c r="AF32" s="15" t="n"/>
      <c r="AG32" s="14" t="n"/>
      <c r="AH32" s="16" t="n"/>
      <c r="AI32" s="14" t="n"/>
      <c r="AJ32" s="15" t="n"/>
      <c r="AK32" s="14" t="n"/>
      <c r="AL32" s="16" t="n"/>
      <c r="AM32" s="14" t="n"/>
      <c r="AN32" s="15" t="n"/>
      <c r="AO32" s="14" t="n"/>
      <c r="AP32" s="16" t="n"/>
      <c r="AQ32" s="14" t="n"/>
      <c r="AR32" s="15" t="n"/>
      <c r="AS32" s="14" t="n"/>
      <c r="AT32" s="15" t="n"/>
      <c r="AU32" s="12" t="n"/>
      <c r="AV32" s="15" t="n"/>
      <c r="AW32" s="14" t="n"/>
      <c r="AX32" s="15" t="n"/>
      <c r="AY32" s="12" t="n"/>
      <c r="AZ32" s="15" t="n"/>
      <c r="BA32" s="14" t="n"/>
      <c r="BB32" s="15" t="n"/>
      <c r="BC32" s="12" t="n"/>
      <c r="BD32" s="15" t="n"/>
      <c r="BE32" s="14" t="n"/>
      <c r="BF32" s="15" t="n"/>
      <c r="BG32" s="14" t="n"/>
      <c r="BH32" s="16" t="n"/>
      <c r="BI32" s="14" t="n"/>
      <c r="BJ32" s="15" t="n"/>
      <c r="BK32" s="14" t="n"/>
      <c r="BL32" s="16" t="n"/>
      <c r="BM32" s="14" t="n"/>
      <c r="BN32" s="15" t="n"/>
      <c r="BO32" s="14" t="n"/>
      <c r="BP32" s="16" t="n"/>
      <c r="BQ32" s="14" t="n"/>
      <c r="BR32" s="15" t="n"/>
      <c r="BS32" s="14" t="n"/>
      <c r="BT32" s="15" t="n"/>
      <c r="BU32" s="12" t="n"/>
      <c r="BV32" s="15" t="n"/>
      <c r="BW32" s="14" t="n"/>
      <c r="BX32" s="15" t="n"/>
      <c r="BY32" s="12" t="n"/>
      <c r="BZ32" s="15" t="n"/>
      <c r="CA32" s="14" t="n"/>
      <c r="CB32" s="15" t="n"/>
      <c r="CC32" s="12" t="n"/>
      <c r="CD32" s="15" t="n"/>
      <c r="CE32" s="14" t="n"/>
      <c r="CF32" s="15" t="n"/>
      <c r="CG32" s="14" t="n"/>
      <c r="CH32" s="16" t="n"/>
      <c r="CI32" s="14" t="n"/>
      <c r="CJ32" s="15" t="n"/>
      <c r="CK32" s="14" t="n"/>
      <c r="CL32" s="16" t="n"/>
      <c r="CM32" s="14" t="n"/>
      <c r="CN32" s="15" t="n"/>
      <c r="CO32" s="14" t="n"/>
      <c r="CP32" s="15" t="n"/>
      <c r="CQ32" s="12" t="n"/>
      <c r="CR32" s="15" t="n"/>
      <c r="CS32" s="14" t="n"/>
      <c r="CT32" s="15" t="n"/>
      <c r="CU32" s="12" t="n"/>
      <c r="CV32" s="15" t="n"/>
      <c r="CW32" s="14" t="n"/>
      <c r="CX32" s="15" t="n"/>
    </row>
    <row r="33" ht="14" customHeight="1">
      <c r="A33" s="32" t="inlineStr">
        <is>
          <t>S4-06</t>
        </is>
      </c>
      <c r="B33" s="33" t="inlineStr">
        <is>
          <t>Emisión Ingeniería Constructiva Sala #4</t>
        </is>
      </c>
      <c r="C33" s="34" t="inlineStr">
        <is>
          <t>S4</t>
        </is>
      </c>
      <c r="D33" s="34" t="inlineStr">
        <is>
          <t>10/08/2026</t>
        </is>
      </c>
      <c r="E33" s="34" t="inlineStr">
        <is>
          <t>21/08/2026</t>
        </is>
      </c>
      <c r="F33" s="35" t="inlineStr">
        <is>
          <t>—</t>
        </is>
      </c>
      <c r="G33" s="12" t="n"/>
      <c r="H33" s="15" t="n"/>
      <c r="I33" s="14" t="n"/>
      <c r="J33" s="15" t="n"/>
      <c r="K33" s="14" t="n"/>
      <c r="L33" s="16" t="n"/>
      <c r="M33" s="14" t="n"/>
      <c r="N33" s="15" t="n"/>
      <c r="O33" s="14" t="n"/>
      <c r="P33" s="16" t="n"/>
      <c r="Q33" s="14" t="n"/>
      <c r="R33" s="15" t="n"/>
      <c r="S33" s="14" t="n"/>
      <c r="T33" s="15" t="n"/>
      <c r="U33" s="24" t="n"/>
      <c r="V33" s="23" t="n"/>
      <c r="W33" s="23" t="n"/>
      <c r="X33" s="15" t="n"/>
      <c r="Y33" s="12" t="n"/>
      <c r="Z33" s="15" t="n"/>
      <c r="AA33" s="14" t="n"/>
      <c r="AB33" s="15" t="n"/>
      <c r="AC33" s="12" t="n"/>
      <c r="AD33" s="15" t="n"/>
      <c r="AE33" s="14" t="n"/>
      <c r="AF33" s="15" t="n"/>
      <c r="AG33" s="14" t="n"/>
      <c r="AH33" s="16" t="n"/>
      <c r="AI33" s="14" t="n"/>
      <c r="AJ33" s="15" t="n"/>
      <c r="AK33" s="14" t="n"/>
      <c r="AL33" s="16" t="n"/>
      <c r="AM33" s="14" t="n"/>
      <c r="AN33" s="15" t="n"/>
      <c r="AO33" s="14" t="n"/>
      <c r="AP33" s="16" t="n"/>
      <c r="AQ33" s="14" t="n"/>
      <c r="AR33" s="15" t="n"/>
      <c r="AS33" s="14" t="n"/>
      <c r="AT33" s="15" t="n"/>
      <c r="AU33" s="12" t="n"/>
      <c r="AV33" s="15" t="n"/>
      <c r="AW33" s="14" t="n"/>
      <c r="AX33" s="15" t="n"/>
      <c r="AY33" s="12" t="n"/>
      <c r="AZ33" s="15" t="n"/>
      <c r="BA33" s="14" t="n"/>
      <c r="BB33" s="15" t="n"/>
      <c r="BC33" s="12" t="n"/>
      <c r="BD33" s="15" t="n"/>
      <c r="BE33" s="14" t="n"/>
      <c r="BF33" s="15" t="n"/>
      <c r="BG33" s="14" t="n"/>
      <c r="BH33" s="16" t="n"/>
      <c r="BI33" s="14" t="n"/>
      <c r="BJ33" s="15" t="n"/>
      <c r="BK33" s="14" t="n"/>
      <c r="BL33" s="16" t="n"/>
      <c r="BM33" s="14" t="n"/>
      <c r="BN33" s="15" t="n"/>
      <c r="BO33" s="14" t="n"/>
      <c r="BP33" s="16" t="n"/>
      <c r="BQ33" s="14" t="n"/>
      <c r="BR33" s="15" t="n"/>
      <c r="BS33" s="14" t="n"/>
      <c r="BT33" s="15" t="n"/>
      <c r="BU33" s="12" t="n"/>
      <c r="BV33" s="15" t="n"/>
      <c r="BW33" s="14" t="n"/>
      <c r="BX33" s="15" t="n"/>
      <c r="BY33" s="12" t="n"/>
      <c r="BZ33" s="15" t="n"/>
      <c r="CA33" s="14" t="n"/>
      <c r="CB33" s="15" t="n"/>
      <c r="CC33" s="12" t="n"/>
      <c r="CD33" s="15" t="n"/>
      <c r="CE33" s="14" t="n"/>
      <c r="CF33" s="15" t="n"/>
      <c r="CG33" s="14" t="n"/>
      <c r="CH33" s="16" t="n"/>
      <c r="CI33" s="14" t="n"/>
      <c r="CJ33" s="15" t="n"/>
      <c r="CK33" s="14" t="n"/>
      <c r="CL33" s="16" t="n"/>
      <c r="CM33" s="14" t="n"/>
      <c r="CN33" s="15" t="n"/>
      <c r="CO33" s="14" t="n"/>
      <c r="CP33" s="15" t="n"/>
      <c r="CQ33" s="12" t="n"/>
      <c r="CR33" s="15" t="n"/>
      <c r="CS33" s="14" t="n"/>
      <c r="CT33" s="15" t="n"/>
      <c r="CU33" s="12" t="n"/>
      <c r="CV33" s="15" t="n"/>
      <c r="CW33" s="14" t="n"/>
      <c r="CX33" s="15" t="n"/>
    </row>
    <row r="34" ht="14" customHeight="1">
      <c r="A34" s="32" t="inlineStr">
        <is>
          <t>S4-07</t>
        </is>
      </c>
      <c r="B34" s="33" t="inlineStr">
        <is>
          <t>Aprobación IC Sala #4 (AESA — 10 días hábiles)</t>
        </is>
      </c>
      <c r="C34" s="34" t="inlineStr">
        <is>
          <t>S4</t>
        </is>
      </c>
      <c r="D34" s="34" t="inlineStr">
        <is>
          <t>24/08/2026</t>
        </is>
      </c>
      <c r="E34" s="34" t="inlineStr">
        <is>
          <t>28/08/2026</t>
        </is>
      </c>
      <c r="F34" s="35" t="inlineStr">
        <is>
          <t>—</t>
        </is>
      </c>
      <c r="G34" s="12" t="n"/>
      <c r="H34" s="15" t="n"/>
      <c r="I34" s="14" t="n"/>
      <c r="J34" s="15" t="n"/>
      <c r="K34" s="14" t="n"/>
      <c r="L34" s="16" t="n"/>
      <c r="M34" s="14" t="n"/>
      <c r="N34" s="15" t="n"/>
      <c r="O34" s="14" t="n"/>
      <c r="P34" s="16" t="n"/>
      <c r="Q34" s="14" t="n"/>
      <c r="R34" s="15" t="n"/>
      <c r="S34" s="14" t="n"/>
      <c r="T34" s="15" t="n"/>
      <c r="U34" s="12" t="n"/>
      <c r="V34" s="15" t="n"/>
      <c r="W34" s="23" t="n"/>
      <c r="X34" s="23" t="n"/>
      <c r="Y34" s="12" t="n"/>
      <c r="Z34" s="15" t="n"/>
      <c r="AA34" s="14" t="n"/>
      <c r="AB34" s="15" t="n"/>
      <c r="AC34" s="12" t="n"/>
      <c r="AD34" s="15" t="n"/>
      <c r="AE34" s="14" t="n"/>
      <c r="AF34" s="15" t="n"/>
      <c r="AG34" s="14" t="n"/>
      <c r="AH34" s="16" t="n"/>
      <c r="AI34" s="14" t="n"/>
      <c r="AJ34" s="15" t="n"/>
      <c r="AK34" s="14" t="n"/>
      <c r="AL34" s="16" t="n"/>
      <c r="AM34" s="14" t="n"/>
      <c r="AN34" s="15" t="n"/>
      <c r="AO34" s="14" t="n"/>
      <c r="AP34" s="16" t="n"/>
      <c r="AQ34" s="14" t="n"/>
      <c r="AR34" s="15" t="n"/>
      <c r="AS34" s="14" t="n"/>
      <c r="AT34" s="15" t="n"/>
      <c r="AU34" s="12" t="n"/>
      <c r="AV34" s="15" t="n"/>
      <c r="AW34" s="14" t="n"/>
      <c r="AX34" s="15" t="n"/>
      <c r="AY34" s="12" t="n"/>
      <c r="AZ34" s="15" t="n"/>
      <c r="BA34" s="14" t="n"/>
      <c r="BB34" s="15" t="n"/>
      <c r="BC34" s="12" t="n"/>
      <c r="BD34" s="15" t="n"/>
      <c r="BE34" s="14" t="n"/>
      <c r="BF34" s="15" t="n"/>
      <c r="BG34" s="14" t="n"/>
      <c r="BH34" s="16" t="n"/>
      <c r="BI34" s="14" t="n"/>
      <c r="BJ34" s="15" t="n"/>
      <c r="BK34" s="14" t="n"/>
      <c r="BL34" s="16" t="n"/>
      <c r="BM34" s="14" t="n"/>
      <c r="BN34" s="15" t="n"/>
      <c r="BO34" s="14" t="n"/>
      <c r="BP34" s="16" t="n"/>
      <c r="BQ34" s="14" t="n"/>
      <c r="BR34" s="15" t="n"/>
      <c r="BS34" s="14" t="n"/>
      <c r="BT34" s="15" t="n"/>
      <c r="BU34" s="12" t="n"/>
      <c r="BV34" s="15" t="n"/>
      <c r="BW34" s="14" t="n"/>
      <c r="BX34" s="15" t="n"/>
      <c r="BY34" s="12" t="n"/>
      <c r="BZ34" s="15" t="n"/>
      <c r="CA34" s="14" t="n"/>
      <c r="CB34" s="15" t="n"/>
      <c r="CC34" s="12" t="n"/>
      <c r="CD34" s="15" t="n"/>
      <c r="CE34" s="14" t="n"/>
      <c r="CF34" s="15" t="n"/>
      <c r="CG34" s="14" t="n"/>
      <c r="CH34" s="16" t="n"/>
      <c r="CI34" s="14" t="n"/>
      <c r="CJ34" s="15" t="n"/>
      <c r="CK34" s="14" t="n"/>
      <c r="CL34" s="16" t="n"/>
      <c r="CM34" s="14" t="n"/>
      <c r="CN34" s="15" t="n"/>
      <c r="CO34" s="14" t="n"/>
      <c r="CP34" s="15" t="n"/>
      <c r="CQ34" s="12" t="n"/>
      <c r="CR34" s="15" t="n"/>
      <c r="CS34" s="14" t="n"/>
      <c r="CT34" s="15" t="n"/>
      <c r="CU34" s="12" t="n"/>
      <c r="CV34" s="15" t="n"/>
      <c r="CW34" s="14" t="n"/>
      <c r="CX34" s="15" t="n"/>
    </row>
    <row r="35" ht="13" customHeight="1">
      <c r="A35" s="32" t="inlineStr">
        <is>
          <t>FP-S4-3</t>
        </is>
      </c>
      <c r="B35" s="36" t="inlineStr">
        <is>
          <t>◆ FREEZING POINT — Ing. Constructiva Sala #4  ← CIERRA INGENIERÍA S4</t>
        </is>
      </c>
      <c r="C35" s="34" t="inlineStr">
        <is>
          <t>S4</t>
        </is>
      </c>
      <c r="D35" s="37" t="inlineStr">
        <is>
          <t>28/08/2026</t>
        </is>
      </c>
      <c r="E35" s="37" t="inlineStr">
        <is>
          <t>28/08/2026</t>
        </is>
      </c>
      <c r="F35" s="35" t="inlineStr">
        <is>
          <t>—</t>
        </is>
      </c>
      <c r="G35" s="12" t="n"/>
      <c r="H35" s="15" t="n"/>
      <c r="I35" s="14" t="n"/>
      <c r="J35" s="15" t="n"/>
      <c r="K35" s="14" t="n"/>
      <c r="L35" s="16" t="n"/>
      <c r="M35" s="14" t="n"/>
      <c r="N35" s="15" t="n"/>
      <c r="O35" s="14" t="n"/>
      <c r="P35" s="16" t="n"/>
      <c r="Q35" s="14" t="n"/>
      <c r="R35" s="15" t="n"/>
      <c r="S35" s="14" t="n"/>
      <c r="T35" s="15" t="n"/>
      <c r="U35" s="12" t="n"/>
      <c r="V35" s="15" t="n"/>
      <c r="W35" s="14" t="n"/>
      <c r="X35" s="27" t="inlineStr">
        <is>
          <t>◆</t>
        </is>
      </c>
      <c r="Y35" s="12" t="n"/>
      <c r="Z35" s="15" t="n"/>
      <c r="AA35" s="14" t="n"/>
      <c r="AB35" s="15" t="n"/>
      <c r="AC35" s="12" t="n"/>
      <c r="AD35" s="15" t="n"/>
      <c r="AE35" s="14" t="n"/>
      <c r="AF35" s="15" t="n"/>
      <c r="AG35" s="14" t="n"/>
      <c r="AH35" s="16" t="n"/>
      <c r="AI35" s="14" t="n"/>
      <c r="AJ35" s="15" t="n"/>
      <c r="AK35" s="14" t="n"/>
      <c r="AL35" s="16" t="n"/>
      <c r="AM35" s="14" t="n"/>
      <c r="AN35" s="15" t="n"/>
      <c r="AO35" s="14" t="n"/>
      <c r="AP35" s="16" t="n"/>
      <c r="AQ35" s="14" t="n"/>
      <c r="AR35" s="15" t="n"/>
      <c r="AS35" s="14" t="n"/>
      <c r="AT35" s="15" t="n"/>
      <c r="AU35" s="12" t="n"/>
      <c r="AV35" s="15" t="n"/>
      <c r="AW35" s="14" t="n"/>
      <c r="AX35" s="15" t="n"/>
      <c r="AY35" s="12" t="n"/>
      <c r="AZ35" s="15" t="n"/>
      <c r="BA35" s="14" t="n"/>
      <c r="BB35" s="15" t="n"/>
      <c r="BC35" s="12" t="n"/>
      <c r="BD35" s="15" t="n"/>
      <c r="BE35" s="14" t="n"/>
      <c r="BF35" s="15" t="n"/>
      <c r="BG35" s="14" t="n"/>
      <c r="BH35" s="16" t="n"/>
      <c r="BI35" s="14" t="n"/>
      <c r="BJ35" s="15" t="n"/>
      <c r="BK35" s="14" t="n"/>
      <c r="BL35" s="16" t="n"/>
      <c r="BM35" s="14" t="n"/>
      <c r="BN35" s="15" t="n"/>
      <c r="BO35" s="14" t="n"/>
      <c r="BP35" s="16" t="n"/>
      <c r="BQ35" s="14" t="n"/>
      <c r="BR35" s="15" t="n"/>
      <c r="BS35" s="14" t="n"/>
      <c r="BT35" s="15" t="n"/>
      <c r="BU35" s="12" t="n"/>
      <c r="BV35" s="15" t="n"/>
      <c r="BW35" s="14" t="n"/>
      <c r="BX35" s="15" t="n"/>
      <c r="BY35" s="12" t="n"/>
      <c r="BZ35" s="15" t="n"/>
      <c r="CA35" s="14" t="n"/>
      <c r="CB35" s="15" t="n"/>
      <c r="CC35" s="12" t="n"/>
      <c r="CD35" s="15" t="n"/>
      <c r="CE35" s="14" t="n"/>
      <c r="CF35" s="15" t="n"/>
      <c r="CG35" s="14" t="n"/>
      <c r="CH35" s="16" t="n"/>
      <c r="CI35" s="14" t="n"/>
      <c r="CJ35" s="15" t="n"/>
      <c r="CK35" s="14" t="n"/>
      <c r="CL35" s="16" t="n"/>
      <c r="CM35" s="14" t="n"/>
      <c r="CN35" s="15" t="n"/>
      <c r="CO35" s="14" t="n"/>
      <c r="CP35" s="15" t="n"/>
      <c r="CQ35" s="12" t="n"/>
      <c r="CR35" s="15" t="n"/>
      <c r="CS35" s="14" t="n"/>
      <c r="CT35" s="15" t="n"/>
      <c r="CU35" s="12" t="n"/>
      <c r="CV35" s="15" t="n"/>
      <c r="CW35" s="14" t="n"/>
      <c r="CX35" s="15" t="n"/>
    </row>
    <row r="36" ht="14" customHeight="1">
      <c r="A36" s="32" t="inlineStr">
        <is>
          <t>S4-08</t>
        </is>
      </c>
      <c r="B36" s="33" t="inlineStr">
        <is>
          <t>OC a 3ros: Variadores MT China (post FP-IC)</t>
        </is>
      </c>
      <c r="C36" s="34" t="inlineStr">
        <is>
          <t>S4</t>
        </is>
      </c>
      <c r="D36" s="34" t="inlineStr">
        <is>
          <t>01/09/2026</t>
        </is>
      </c>
      <c r="E36" s="34" t="inlineStr">
        <is>
          <t>15/09/2026</t>
        </is>
      </c>
      <c r="F36" s="35" t="inlineStr">
        <is>
          <t>—</t>
        </is>
      </c>
      <c r="G36" s="12" t="n"/>
      <c r="H36" s="15" t="n"/>
      <c r="I36" s="14" t="n"/>
      <c r="J36" s="15" t="n"/>
      <c r="K36" s="14" t="n"/>
      <c r="L36" s="16" t="n"/>
      <c r="M36" s="14" t="n"/>
      <c r="N36" s="15" t="n"/>
      <c r="O36" s="14" t="n"/>
      <c r="P36" s="16" t="n"/>
      <c r="Q36" s="14" t="n"/>
      <c r="R36" s="15" t="n"/>
      <c r="S36" s="14" t="n"/>
      <c r="T36" s="15" t="n"/>
      <c r="U36" s="12" t="n"/>
      <c r="V36" s="15" t="n"/>
      <c r="W36" s="14" t="n"/>
      <c r="X36" s="23" t="n"/>
      <c r="Y36" s="24" t="n"/>
      <c r="Z36" s="23" t="n"/>
      <c r="AA36" s="14" t="n"/>
      <c r="AB36" s="15" t="n"/>
      <c r="AC36" s="12" t="n"/>
      <c r="AD36" s="15" t="n"/>
      <c r="AE36" s="14" t="n"/>
      <c r="AF36" s="15" t="n"/>
      <c r="AG36" s="14" t="n"/>
      <c r="AH36" s="16" t="n"/>
      <c r="AI36" s="14" t="n"/>
      <c r="AJ36" s="15" t="n"/>
      <c r="AK36" s="14" t="n"/>
      <c r="AL36" s="16" t="n"/>
      <c r="AM36" s="14" t="n"/>
      <c r="AN36" s="15" t="n"/>
      <c r="AO36" s="14" t="n"/>
      <c r="AP36" s="16" t="n"/>
      <c r="AQ36" s="14" t="n"/>
      <c r="AR36" s="15" t="n"/>
      <c r="AS36" s="14" t="n"/>
      <c r="AT36" s="15" t="n"/>
      <c r="AU36" s="12" t="n"/>
      <c r="AV36" s="15" t="n"/>
      <c r="AW36" s="14" t="n"/>
      <c r="AX36" s="15" t="n"/>
      <c r="AY36" s="12" t="n"/>
      <c r="AZ36" s="15" t="n"/>
      <c r="BA36" s="14" t="n"/>
      <c r="BB36" s="15" t="n"/>
      <c r="BC36" s="12" t="n"/>
      <c r="BD36" s="15" t="n"/>
      <c r="BE36" s="14" t="n"/>
      <c r="BF36" s="15" t="n"/>
      <c r="BG36" s="14" t="n"/>
      <c r="BH36" s="16" t="n"/>
      <c r="BI36" s="14" t="n"/>
      <c r="BJ36" s="15" t="n"/>
      <c r="BK36" s="14" t="n"/>
      <c r="BL36" s="16" t="n"/>
      <c r="BM36" s="14" t="n"/>
      <c r="BN36" s="15" t="n"/>
      <c r="BO36" s="14" t="n"/>
      <c r="BP36" s="16" t="n"/>
      <c r="BQ36" s="14" t="n"/>
      <c r="BR36" s="15" t="n"/>
      <c r="BS36" s="14" t="n"/>
      <c r="BT36" s="15" t="n"/>
      <c r="BU36" s="12" t="n"/>
      <c r="BV36" s="15" t="n"/>
      <c r="BW36" s="14" t="n"/>
      <c r="BX36" s="15" t="n"/>
      <c r="BY36" s="12" t="n"/>
      <c r="BZ36" s="15" t="n"/>
      <c r="CA36" s="14" t="n"/>
      <c r="CB36" s="15" t="n"/>
      <c r="CC36" s="12" t="n"/>
      <c r="CD36" s="15" t="n"/>
      <c r="CE36" s="14" t="n"/>
      <c r="CF36" s="15" t="n"/>
      <c r="CG36" s="14" t="n"/>
      <c r="CH36" s="16" t="n"/>
      <c r="CI36" s="14" t="n"/>
      <c r="CJ36" s="15" t="n"/>
      <c r="CK36" s="14" t="n"/>
      <c r="CL36" s="16" t="n"/>
      <c r="CM36" s="14" t="n"/>
      <c r="CN36" s="15" t="n"/>
      <c r="CO36" s="14" t="n"/>
      <c r="CP36" s="15" t="n"/>
      <c r="CQ36" s="12" t="n"/>
      <c r="CR36" s="15" t="n"/>
      <c r="CS36" s="14" t="n"/>
      <c r="CT36" s="15" t="n"/>
      <c r="CU36" s="12" t="n"/>
      <c r="CV36" s="15" t="n"/>
      <c r="CW36" s="14" t="n"/>
      <c r="CX36" s="15" t="n"/>
    </row>
    <row r="37" ht="14" customHeight="1">
      <c r="A37" s="32" t="inlineStr">
        <is>
          <t>S4-09</t>
        </is>
      </c>
      <c r="B37" s="33" t="inlineStr">
        <is>
          <t>Fabricación Tableros S#4 (Brasil — M&amp;B)</t>
        </is>
      </c>
      <c r="C37" s="34" t="inlineStr">
        <is>
          <t>S4</t>
        </is>
      </c>
      <c r="D37" s="34" t="inlineStr">
        <is>
          <t>01/09/2026</t>
        </is>
      </c>
      <c r="E37" s="34" t="inlineStr">
        <is>
          <t>02/11/2026</t>
        </is>
      </c>
      <c r="F37" s="35" t="inlineStr">
        <is>
          <t>—</t>
        </is>
      </c>
      <c r="G37" s="12" t="n"/>
      <c r="H37" s="15" t="n"/>
      <c r="I37" s="14" t="n"/>
      <c r="J37" s="15" t="n"/>
      <c r="K37" s="14" t="n"/>
      <c r="L37" s="16" t="n"/>
      <c r="M37" s="14" t="n"/>
      <c r="N37" s="15" t="n"/>
      <c r="O37" s="14" t="n"/>
      <c r="P37" s="16" t="n"/>
      <c r="Q37" s="14" t="n"/>
      <c r="R37" s="15" t="n"/>
      <c r="S37" s="14" t="n"/>
      <c r="T37" s="15" t="n"/>
      <c r="U37" s="12" t="n"/>
      <c r="V37" s="15" t="n"/>
      <c r="W37" s="14" t="n"/>
      <c r="X37" s="23" t="n"/>
      <c r="Y37" s="24" t="n"/>
      <c r="Z37" s="23" t="n"/>
      <c r="AA37" s="23" t="n"/>
      <c r="AB37" s="23" t="n"/>
      <c r="AC37" s="24" t="n"/>
      <c r="AD37" s="23" t="n"/>
      <c r="AE37" s="23" t="n"/>
      <c r="AF37" s="23" t="n"/>
      <c r="AG37" s="23" t="n"/>
      <c r="AH37" s="16" t="n"/>
      <c r="AI37" s="14" t="n"/>
      <c r="AJ37" s="15" t="n"/>
      <c r="AK37" s="14" t="n"/>
      <c r="AL37" s="16" t="n"/>
      <c r="AM37" s="14" t="n"/>
      <c r="AN37" s="15" t="n"/>
      <c r="AO37" s="14" t="n"/>
      <c r="AP37" s="16" t="n"/>
      <c r="AQ37" s="14" t="n"/>
      <c r="AR37" s="15" t="n"/>
      <c r="AS37" s="14" t="n"/>
      <c r="AT37" s="15" t="n"/>
      <c r="AU37" s="12" t="n"/>
      <c r="AV37" s="15" t="n"/>
      <c r="AW37" s="14" t="n"/>
      <c r="AX37" s="15" t="n"/>
      <c r="AY37" s="12" t="n"/>
      <c r="AZ37" s="15" t="n"/>
      <c r="BA37" s="14" t="n"/>
      <c r="BB37" s="15" t="n"/>
      <c r="BC37" s="12" t="n"/>
      <c r="BD37" s="15" t="n"/>
      <c r="BE37" s="14" t="n"/>
      <c r="BF37" s="15" t="n"/>
      <c r="BG37" s="14" t="n"/>
      <c r="BH37" s="16" t="n"/>
      <c r="BI37" s="14" t="n"/>
      <c r="BJ37" s="15" t="n"/>
      <c r="BK37" s="14" t="n"/>
      <c r="BL37" s="16" t="n"/>
      <c r="BM37" s="14" t="n"/>
      <c r="BN37" s="15" t="n"/>
      <c r="BO37" s="14" t="n"/>
      <c r="BP37" s="16" t="n"/>
      <c r="BQ37" s="14" t="n"/>
      <c r="BR37" s="15" t="n"/>
      <c r="BS37" s="14" t="n"/>
      <c r="BT37" s="15" t="n"/>
      <c r="BU37" s="12" t="n"/>
      <c r="BV37" s="15" t="n"/>
      <c r="BW37" s="14" t="n"/>
      <c r="BX37" s="15" t="n"/>
      <c r="BY37" s="12" t="n"/>
      <c r="BZ37" s="15" t="n"/>
      <c r="CA37" s="14" t="n"/>
      <c r="CB37" s="15" t="n"/>
      <c r="CC37" s="12" t="n"/>
      <c r="CD37" s="15" t="n"/>
      <c r="CE37" s="14" t="n"/>
      <c r="CF37" s="15" t="n"/>
      <c r="CG37" s="14" t="n"/>
      <c r="CH37" s="16" t="n"/>
      <c r="CI37" s="14" t="n"/>
      <c r="CJ37" s="15" t="n"/>
      <c r="CK37" s="14" t="n"/>
      <c r="CL37" s="16" t="n"/>
      <c r="CM37" s="14" t="n"/>
      <c r="CN37" s="15" t="n"/>
      <c r="CO37" s="14" t="n"/>
      <c r="CP37" s="15" t="n"/>
      <c r="CQ37" s="12" t="n"/>
      <c r="CR37" s="15" t="n"/>
      <c r="CS37" s="14" t="n"/>
      <c r="CT37" s="15" t="n"/>
      <c r="CU37" s="12" t="n"/>
      <c r="CV37" s="15" t="n"/>
      <c r="CW37" s="14" t="n"/>
      <c r="CX37" s="15" t="n"/>
    </row>
    <row r="38" ht="14" customHeight="1">
      <c r="A38" s="32" t="inlineStr">
        <is>
          <t>S4-10</t>
        </is>
      </c>
      <c r="B38" s="33" t="inlineStr">
        <is>
          <t>Ensayos Celdas y Tableros MT Sala #4</t>
        </is>
      </c>
      <c r="C38" s="34" t="inlineStr">
        <is>
          <t>S4</t>
        </is>
      </c>
      <c r="D38" s="34" t="inlineStr">
        <is>
          <t>03/11/2026</t>
        </is>
      </c>
      <c r="E38" s="34" t="inlineStr">
        <is>
          <t>23/11/2026</t>
        </is>
      </c>
      <c r="F38" s="35" t="inlineStr">
        <is>
          <t>—</t>
        </is>
      </c>
      <c r="G38" s="12" t="n"/>
      <c r="H38" s="15" t="n"/>
      <c r="I38" s="14" t="n"/>
      <c r="J38" s="15" t="n"/>
      <c r="K38" s="14" t="n"/>
      <c r="L38" s="16" t="n"/>
      <c r="M38" s="14" t="n"/>
      <c r="N38" s="15" t="n"/>
      <c r="O38" s="14" t="n"/>
      <c r="P38" s="16" t="n"/>
      <c r="Q38" s="14" t="n"/>
      <c r="R38" s="15" t="n"/>
      <c r="S38" s="14" t="n"/>
      <c r="T38" s="15" t="n"/>
      <c r="U38" s="12" t="n"/>
      <c r="V38" s="15" t="n"/>
      <c r="W38" s="14" t="n"/>
      <c r="X38" s="15" t="n"/>
      <c r="Y38" s="12" t="n"/>
      <c r="Z38" s="15" t="n"/>
      <c r="AA38" s="14" t="n"/>
      <c r="AB38" s="15" t="n"/>
      <c r="AC38" s="12" t="n"/>
      <c r="AD38" s="15" t="n"/>
      <c r="AE38" s="14" t="n"/>
      <c r="AF38" s="15" t="n"/>
      <c r="AG38" s="28" t="n"/>
      <c r="AH38" s="29" t="n"/>
      <c r="AI38" s="28" t="n"/>
      <c r="AJ38" s="28" t="n"/>
      <c r="AK38" s="14" t="n"/>
      <c r="AL38" s="16" t="n"/>
      <c r="AM38" s="14" t="n"/>
      <c r="AN38" s="15" t="n"/>
      <c r="AO38" s="14" t="n"/>
      <c r="AP38" s="16" t="n"/>
      <c r="AQ38" s="14" t="n"/>
      <c r="AR38" s="15" t="n"/>
      <c r="AS38" s="14" t="n"/>
      <c r="AT38" s="15" t="n"/>
      <c r="AU38" s="12" t="n"/>
      <c r="AV38" s="15" t="n"/>
      <c r="AW38" s="14" t="n"/>
      <c r="AX38" s="15" t="n"/>
      <c r="AY38" s="12" t="n"/>
      <c r="AZ38" s="15" t="n"/>
      <c r="BA38" s="14" t="n"/>
      <c r="BB38" s="15" t="n"/>
      <c r="BC38" s="12" t="n"/>
      <c r="BD38" s="15" t="n"/>
      <c r="BE38" s="14" t="n"/>
      <c r="BF38" s="15" t="n"/>
      <c r="BG38" s="14" t="n"/>
      <c r="BH38" s="16" t="n"/>
      <c r="BI38" s="14" t="n"/>
      <c r="BJ38" s="15" t="n"/>
      <c r="BK38" s="14" t="n"/>
      <c r="BL38" s="16" t="n"/>
      <c r="BM38" s="14" t="n"/>
      <c r="BN38" s="15" t="n"/>
      <c r="BO38" s="14" t="n"/>
      <c r="BP38" s="16" t="n"/>
      <c r="BQ38" s="14" t="n"/>
      <c r="BR38" s="15" t="n"/>
      <c r="BS38" s="14" t="n"/>
      <c r="BT38" s="15" t="n"/>
      <c r="BU38" s="12" t="n"/>
      <c r="BV38" s="15" t="n"/>
      <c r="BW38" s="14" t="n"/>
      <c r="BX38" s="15" t="n"/>
      <c r="BY38" s="12" t="n"/>
      <c r="BZ38" s="15" t="n"/>
      <c r="CA38" s="14" t="n"/>
      <c r="CB38" s="15" t="n"/>
      <c r="CC38" s="12" t="n"/>
      <c r="CD38" s="15" t="n"/>
      <c r="CE38" s="14" t="n"/>
      <c r="CF38" s="15" t="n"/>
      <c r="CG38" s="14" t="n"/>
      <c r="CH38" s="16" t="n"/>
      <c r="CI38" s="14" t="n"/>
      <c r="CJ38" s="15" t="n"/>
      <c r="CK38" s="14" t="n"/>
      <c r="CL38" s="16" t="n"/>
      <c r="CM38" s="14" t="n"/>
      <c r="CN38" s="15" t="n"/>
      <c r="CO38" s="14" t="n"/>
      <c r="CP38" s="15" t="n"/>
      <c r="CQ38" s="12" t="n"/>
      <c r="CR38" s="15" t="n"/>
      <c r="CS38" s="14" t="n"/>
      <c r="CT38" s="15" t="n"/>
      <c r="CU38" s="12" t="n"/>
      <c r="CV38" s="15" t="n"/>
      <c r="CW38" s="14" t="n"/>
      <c r="CX38" s="15" t="n"/>
    </row>
    <row r="39" ht="14" customHeight="1">
      <c r="A39" s="32" t="inlineStr">
        <is>
          <t>S4-11</t>
        </is>
      </c>
      <c r="B39" s="33" t="inlineStr">
        <is>
          <t>Acopio materiales en Argentina (celdas + VFDs + ductos S#4)</t>
        </is>
      </c>
      <c r="C39" s="34" t="inlineStr">
        <is>
          <t>S4</t>
        </is>
      </c>
      <c r="D39" s="34" t="inlineStr">
        <is>
          <t>07/12/2026</t>
        </is>
      </c>
      <c r="E39" s="34" t="inlineStr">
        <is>
          <t>15/01/2027</t>
        </is>
      </c>
      <c r="F39" s="35" t="inlineStr">
        <is>
          <t>—</t>
        </is>
      </c>
      <c r="G39" s="12" t="n"/>
      <c r="H39" s="15" t="n"/>
      <c r="I39" s="14" t="n"/>
      <c r="J39" s="15" t="n"/>
      <c r="K39" s="14" t="n"/>
      <c r="L39" s="16" t="n"/>
      <c r="M39" s="14" t="n"/>
      <c r="N39" s="15" t="n"/>
      <c r="O39" s="14" t="n"/>
      <c r="P39" s="16" t="n"/>
      <c r="Q39" s="14" t="n"/>
      <c r="R39" s="15" t="n"/>
      <c r="S39" s="14" t="n"/>
      <c r="T39" s="15" t="n"/>
      <c r="U39" s="12" t="n"/>
      <c r="V39" s="15" t="n"/>
      <c r="W39" s="14" t="n"/>
      <c r="X39" s="15" t="n"/>
      <c r="Y39" s="12" t="n"/>
      <c r="Z39" s="15" t="n"/>
      <c r="AA39" s="14" t="n"/>
      <c r="AB39" s="15" t="n"/>
      <c r="AC39" s="12" t="n"/>
      <c r="AD39" s="15" t="n"/>
      <c r="AE39" s="14" t="n"/>
      <c r="AF39" s="15" t="n"/>
      <c r="AG39" s="14" t="n"/>
      <c r="AH39" s="16" t="n"/>
      <c r="AI39" s="14" t="n"/>
      <c r="AJ39" s="15" t="n"/>
      <c r="AK39" s="14" t="n"/>
      <c r="AL39" s="24" t="n"/>
      <c r="AM39" s="23" t="n"/>
      <c r="AN39" s="23" t="n"/>
      <c r="AO39" s="23" t="n"/>
      <c r="AP39" s="24" t="n"/>
      <c r="AQ39" s="23" t="n"/>
      <c r="AR39" s="23" t="n"/>
      <c r="AS39" s="14" t="n"/>
      <c r="AT39" s="15" t="n"/>
      <c r="AU39" s="12" t="n"/>
      <c r="AV39" s="15" t="n"/>
      <c r="AW39" s="14" t="n"/>
      <c r="AX39" s="15" t="n"/>
      <c r="AY39" s="12" t="n"/>
      <c r="AZ39" s="15" t="n"/>
      <c r="BA39" s="14" t="n"/>
      <c r="BB39" s="15" t="n"/>
      <c r="BC39" s="12" t="n"/>
      <c r="BD39" s="15" t="n"/>
      <c r="BE39" s="14" t="n"/>
      <c r="BF39" s="15" t="n"/>
      <c r="BG39" s="14" t="n"/>
      <c r="BH39" s="16" t="n"/>
      <c r="BI39" s="14" t="n"/>
      <c r="BJ39" s="15" t="n"/>
      <c r="BK39" s="14" t="n"/>
      <c r="BL39" s="16" t="n"/>
      <c r="BM39" s="14" t="n"/>
      <c r="BN39" s="15" t="n"/>
      <c r="BO39" s="14" t="n"/>
      <c r="BP39" s="16" t="n"/>
      <c r="BQ39" s="14" t="n"/>
      <c r="BR39" s="15" t="n"/>
      <c r="BS39" s="14" t="n"/>
      <c r="BT39" s="15" t="n"/>
      <c r="BU39" s="12" t="n"/>
      <c r="BV39" s="15" t="n"/>
      <c r="BW39" s="14" t="n"/>
      <c r="BX39" s="15" t="n"/>
      <c r="BY39" s="12" t="n"/>
      <c r="BZ39" s="15" t="n"/>
      <c r="CA39" s="14" t="n"/>
      <c r="CB39" s="15" t="n"/>
      <c r="CC39" s="12" t="n"/>
      <c r="CD39" s="15" t="n"/>
      <c r="CE39" s="14" t="n"/>
      <c r="CF39" s="15" t="n"/>
      <c r="CG39" s="14" t="n"/>
      <c r="CH39" s="16" t="n"/>
      <c r="CI39" s="14" t="n"/>
      <c r="CJ39" s="15" t="n"/>
      <c r="CK39" s="14" t="n"/>
      <c r="CL39" s="16" t="n"/>
      <c r="CM39" s="14" t="n"/>
      <c r="CN39" s="15" t="n"/>
      <c r="CO39" s="14" t="n"/>
      <c r="CP39" s="15" t="n"/>
      <c r="CQ39" s="12" t="n"/>
      <c r="CR39" s="15" t="n"/>
      <c r="CS39" s="14" t="n"/>
      <c r="CT39" s="15" t="n"/>
      <c r="CU39" s="12" t="n"/>
      <c r="CV39" s="15" t="n"/>
      <c r="CW39" s="14" t="n"/>
      <c r="CX39" s="15" t="n"/>
    </row>
    <row r="40" ht="14" customHeight="1">
      <c r="A40" s="32" t="inlineStr">
        <is>
          <t>S4-12</t>
        </is>
      </c>
      <c r="B40" s="33" t="inlineStr">
        <is>
          <t>Montaje e integración en Shelter S#4 (Bottino — Mendoza)</t>
        </is>
      </c>
      <c r="C40" s="34" t="inlineStr">
        <is>
          <t>S4</t>
        </is>
      </c>
      <c r="D40" s="34" t="inlineStr">
        <is>
          <t>18/01/2027</t>
        </is>
      </c>
      <c r="E40" s="34" t="inlineStr">
        <is>
          <t>05/03/2027</t>
        </is>
      </c>
      <c r="F40" s="35" t="inlineStr">
        <is>
          <t>—</t>
        </is>
      </c>
      <c r="G40" s="12" t="n"/>
      <c r="H40" s="15" t="n"/>
      <c r="I40" s="14" t="n"/>
      <c r="J40" s="15" t="n"/>
      <c r="K40" s="14" t="n"/>
      <c r="L40" s="16" t="n"/>
      <c r="M40" s="14" t="n"/>
      <c r="N40" s="15" t="n"/>
      <c r="O40" s="14" t="n"/>
      <c r="P40" s="16" t="n"/>
      <c r="Q40" s="14" t="n"/>
      <c r="R40" s="15" t="n"/>
      <c r="S40" s="14" t="n"/>
      <c r="T40" s="15" t="n"/>
      <c r="U40" s="12" t="n"/>
      <c r="V40" s="15" t="n"/>
      <c r="W40" s="14" t="n"/>
      <c r="X40" s="15" t="n"/>
      <c r="Y40" s="12" t="n"/>
      <c r="Z40" s="15" t="n"/>
      <c r="AA40" s="14" t="n"/>
      <c r="AB40" s="15" t="n"/>
      <c r="AC40" s="12" t="n"/>
      <c r="AD40" s="15" t="n"/>
      <c r="AE40" s="14" t="n"/>
      <c r="AF40" s="15" t="n"/>
      <c r="AG40" s="14" t="n"/>
      <c r="AH40" s="16" t="n"/>
      <c r="AI40" s="14" t="n"/>
      <c r="AJ40" s="15" t="n"/>
      <c r="AK40" s="14" t="n"/>
      <c r="AL40" s="16" t="n"/>
      <c r="AM40" s="14" t="n"/>
      <c r="AN40" s="15" t="n"/>
      <c r="AO40" s="14" t="n"/>
      <c r="AP40" s="16" t="n"/>
      <c r="AQ40" s="14" t="n"/>
      <c r="AR40" s="23" t="n"/>
      <c r="AS40" s="23" t="n"/>
      <c r="AT40" s="23" t="n"/>
      <c r="AU40" s="24" t="n"/>
      <c r="AV40" s="23" t="n"/>
      <c r="AW40" s="23" t="n"/>
      <c r="AX40" s="23" t="n"/>
      <c r="AY40" s="24" t="n"/>
      <c r="AZ40" s="15" t="n"/>
      <c r="BA40" s="14" t="n"/>
      <c r="BB40" s="15" t="n"/>
      <c r="BC40" s="12" t="n"/>
      <c r="BD40" s="15" t="n"/>
      <c r="BE40" s="14" t="n"/>
      <c r="BF40" s="15" t="n"/>
      <c r="BG40" s="14" t="n"/>
      <c r="BH40" s="16" t="n"/>
      <c r="BI40" s="14" t="n"/>
      <c r="BJ40" s="15" t="n"/>
      <c r="BK40" s="14" t="n"/>
      <c r="BL40" s="16" t="n"/>
      <c r="BM40" s="14" t="n"/>
      <c r="BN40" s="15" t="n"/>
      <c r="BO40" s="14" t="n"/>
      <c r="BP40" s="16" t="n"/>
      <c r="BQ40" s="14" t="n"/>
      <c r="BR40" s="15" t="n"/>
      <c r="BS40" s="14" t="n"/>
      <c r="BT40" s="15" t="n"/>
      <c r="BU40" s="12" t="n"/>
      <c r="BV40" s="15" t="n"/>
      <c r="BW40" s="14" t="n"/>
      <c r="BX40" s="15" t="n"/>
      <c r="BY40" s="12" t="n"/>
      <c r="BZ40" s="15" t="n"/>
      <c r="CA40" s="14" t="n"/>
      <c r="CB40" s="15" t="n"/>
      <c r="CC40" s="12" t="n"/>
      <c r="CD40" s="15" t="n"/>
      <c r="CE40" s="14" t="n"/>
      <c r="CF40" s="15" t="n"/>
      <c r="CG40" s="14" t="n"/>
      <c r="CH40" s="16" t="n"/>
      <c r="CI40" s="14" t="n"/>
      <c r="CJ40" s="15" t="n"/>
      <c r="CK40" s="14" t="n"/>
      <c r="CL40" s="16" t="n"/>
      <c r="CM40" s="14" t="n"/>
      <c r="CN40" s="15" t="n"/>
      <c r="CO40" s="14" t="n"/>
      <c r="CP40" s="15" t="n"/>
      <c r="CQ40" s="12" t="n"/>
      <c r="CR40" s="15" t="n"/>
      <c r="CS40" s="14" t="n"/>
      <c r="CT40" s="15" t="n"/>
      <c r="CU40" s="12" t="n"/>
      <c r="CV40" s="15" t="n"/>
      <c r="CW40" s="14" t="n"/>
      <c r="CX40" s="15" t="n"/>
    </row>
    <row r="41" ht="14" customHeight="1">
      <c r="A41" s="32" t="inlineStr">
        <is>
          <t>S4-13</t>
        </is>
      </c>
      <c r="B41" s="33" t="inlineStr">
        <is>
          <t>FAT Sala Eléctrica #4 (Shelter completo)</t>
        </is>
      </c>
      <c r="C41" s="34" t="inlineStr">
        <is>
          <t>S4</t>
        </is>
      </c>
      <c r="D41" s="34" t="inlineStr">
        <is>
          <t>08/03/2027</t>
        </is>
      </c>
      <c r="E41" s="34" t="inlineStr">
        <is>
          <t>16/03/2027</t>
        </is>
      </c>
      <c r="F41" s="35" t="inlineStr">
        <is>
          <t>—</t>
        </is>
      </c>
      <c r="G41" s="12" t="n"/>
      <c r="H41" s="15" t="n"/>
      <c r="I41" s="14" t="n"/>
      <c r="J41" s="15" t="n"/>
      <c r="K41" s="14" t="n"/>
      <c r="L41" s="16" t="n"/>
      <c r="M41" s="14" t="n"/>
      <c r="N41" s="15" t="n"/>
      <c r="O41" s="14" t="n"/>
      <c r="P41" s="16" t="n"/>
      <c r="Q41" s="14" t="n"/>
      <c r="R41" s="15" t="n"/>
      <c r="S41" s="14" t="n"/>
      <c r="T41" s="15" t="n"/>
      <c r="U41" s="12" t="n"/>
      <c r="V41" s="15" t="n"/>
      <c r="W41" s="14" t="n"/>
      <c r="X41" s="15" t="n"/>
      <c r="Y41" s="12" t="n"/>
      <c r="Z41" s="15" t="n"/>
      <c r="AA41" s="14" t="n"/>
      <c r="AB41" s="15" t="n"/>
      <c r="AC41" s="12" t="n"/>
      <c r="AD41" s="15" t="n"/>
      <c r="AE41" s="14" t="n"/>
      <c r="AF41" s="15" t="n"/>
      <c r="AG41" s="14" t="n"/>
      <c r="AH41" s="16" t="n"/>
      <c r="AI41" s="14" t="n"/>
      <c r="AJ41" s="15" t="n"/>
      <c r="AK41" s="14" t="n"/>
      <c r="AL41" s="16" t="n"/>
      <c r="AM41" s="14" t="n"/>
      <c r="AN41" s="15" t="n"/>
      <c r="AO41" s="14" t="n"/>
      <c r="AP41" s="16" t="n"/>
      <c r="AQ41" s="14" t="n"/>
      <c r="AR41" s="15" t="n"/>
      <c r="AS41" s="14" t="n"/>
      <c r="AT41" s="15" t="n"/>
      <c r="AU41" s="12" t="n"/>
      <c r="AV41" s="15" t="n"/>
      <c r="AW41" s="14" t="n"/>
      <c r="AX41" s="15" t="n"/>
      <c r="AY41" s="29" t="n"/>
      <c r="AZ41" s="28" t="n"/>
      <c r="BA41" s="14" t="n"/>
      <c r="BB41" s="15" t="n"/>
      <c r="BC41" s="12" t="n"/>
      <c r="BD41" s="15" t="n"/>
      <c r="BE41" s="14" t="n"/>
      <c r="BF41" s="15" t="n"/>
      <c r="BG41" s="14" t="n"/>
      <c r="BH41" s="16" t="n"/>
      <c r="BI41" s="14" t="n"/>
      <c r="BJ41" s="15" t="n"/>
      <c r="BK41" s="14" t="n"/>
      <c r="BL41" s="16" t="n"/>
      <c r="BM41" s="14" t="n"/>
      <c r="BN41" s="15" t="n"/>
      <c r="BO41" s="14" t="n"/>
      <c r="BP41" s="16" t="n"/>
      <c r="BQ41" s="14" t="n"/>
      <c r="BR41" s="15" t="n"/>
      <c r="BS41" s="14" t="n"/>
      <c r="BT41" s="15" t="n"/>
      <c r="BU41" s="12" t="n"/>
      <c r="BV41" s="15" t="n"/>
      <c r="BW41" s="14" t="n"/>
      <c r="BX41" s="15" t="n"/>
      <c r="BY41" s="12" t="n"/>
      <c r="BZ41" s="15" t="n"/>
      <c r="CA41" s="14" t="n"/>
      <c r="CB41" s="15" t="n"/>
      <c r="CC41" s="12" t="n"/>
      <c r="CD41" s="15" t="n"/>
      <c r="CE41" s="14" t="n"/>
      <c r="CF41" s="15" t="n"/>
      <c r="CG41" s="14" t="n"/>
      <c r="CH41" s="16" t="n"/>
      <c r="CI41" s="14" t="n"/>
      <c r="CJ41" s="15" t="n"/>
      <c r="CK41" s="14" t="n"/>
      <c r="CL41" s="16" t="n"/>
      <c r="CM41" s="14" t="n"/>
      <c r="CN41" s="15" t="n"/>
      <c r="CO41" s="14" t="n"/>
      <c r="CP41" s="15" t="n"/>
      <c r="CQ41" s="12" t="n"/>
      <c r="CR41" s="15" t="n"/>
      <c r="CS41" s="14" t="n"/>
      <c r="CT41" s="15" t="n"/>
      <c r="CU41" s="12" t="n"/>
      <c r="CV41" s="15" t="n"/>
      <c r="CW41" s="14" t="n"/>
      <c r="CX41" s="15" t="n"/>
    </row>
    <row r="42" ht="14" customHeight="1">
      <c r="A42" s="32" t="inlineStr">
        <is>
          <t>S4-14</t>
        </is>
      </c>
      <c r="B42" s="33" t="inlineStr">
        <is>
          <t>▶ DESPACHO Sala #4 → Vaca Muerta</t>
        </is>
      </c>
      <c r="C42" s="34" t="inlineStr">
        <is>
          <t>S4</t>
        </is>
      </c>
      <c r="D42" s="34" t="inlineStr">
        <is>
          <t>02/04/2027</t>
        </is>
      </c>
      <c r="E42" s="34" t="inlineStr">
        <is>
          <t>08/04/2027</t>
        </is>
      </c>
      <c r="F42" s="30" t="inlineStr">
        <is>
          <t>+81d</t>
        </is>
      </c>
      <c r="G42" s="12" t="n"/>
      <c r="H42" s="15" t="n"/>
      <c r="I42" s="14" t="n"/>
      <c r="J42" s="15" t="n"/>
      <c r="K42" s="14" t="n"/>
      <c r="L42" s="16" t="n"/>
      <c r="M42" s="14" t="n"/>
      <c r="N42" s="15" t="n"/>
      <c r="O42" s="14" t="n"/>
      <c r="P42" s="16" t="n"/>
      <c r="Q42" s="14" t="n"/>
      <c r="R42" s="15" t="n"/>
      <c r="S42" s="14" t="n"/>
      <c r="T42" s="15" t="n"/>
      <c r="U42" s="12" t="n"/>
      <c r="V42" s="15" t="n"/>
      <c r="W42" s="14" t="n"/>
      <c r="X42" s="15" t="n"/>
      <c r="Y42" s="12" t="n"/>
      <c r="Z42" s="15" t="n"/>
      <c r="AA42" s="14" t="n"/>
      <c r="AB42" s="15" t="n"/>
      <c r="AC42" s="12" t="n"/>
      <c r="AD42" s="15" t="n"/>
      <c r="AE42" s="14" t="n"/>
      <c r="AF42" s="15" t="n"/>
      <c r="AG42" s="14" t="n"/>
      <c r="AH42" s="16" t="n"/>
      <c r="AI42" s="14" t="n"/>
      <c r="AJ42" s="15" t="n"/>
      <c r="AK42" s="14" t="n"/>
      <c r="AL42" s="16" t="n"/>
      <c r="AM42" s="14" t="n"/>
      <c r="AN42" s="15" t="n"/>
      <c r="AO42" s="14" t="n"/>
      <c r="AP42" s="16" t="n"/>
      <c r="AQ42" s="14" t="n"/>
      <c r="AR42" s="15" t="n"/>
      <c r="AS42" s="14" t="n"/>
      <c r="AT42" s="15" t="n"/>
      <c r="AU42" s="12" t="n"/>
      <c r="AV42" s="15" t="n"/>
      <c r="AW42" s="14" t="n"/>
      <c r="AX42" s="15" t="n"/>
      <c r="AY42" s="12" t="n"/>
      <c r="AZ42" s="15" t="n"/>
      <c r="BA42" s="14" t="n"/>
      <c r="BB42" s="15" t="n"/>
      <c r="BC42" s="38" t="n"/>
      <c r="BD42" s="15" t="n"/>
      <c r="BE42" s="14" t="n"/>
      <c r="BF42" s="15" t="n"/>
      <c r="BG42" s="14" t="n"/>
      <c r="BH42" s="16" t="n"/>
      <c r="BI42" s="14" t="n"/>
      <c r="BJ42" s="15" t="n"/>
      <c r="BK42" s="14" t="n"/>
      <c r="BL42" s="16" t="n"/>
      <c r="BM42" s="14" t="n"/>
      <c r="BN42" s="15" t="n"/>
      <c r="BO42" s="14" t="n"/>
      <c r="BP42" s="16" t="n"/>
      <c r="BQ42" s="14" t="n"/>
      <c r="BR42" s="15" t="n"/>
      <c r="BS42" s="14" t="n"/>
      <c r="BT42" s="15" t="n"/>
      <c r="BU42" s="12" t="n"/>
      <c r="BV42" s="15" t="n"/>
      <c r="BW42" s="14" t="n"/>
      <c r="BX42" s="15" t="n"/>
      <c r="BY42" s="12" t="n"/>
      <c r="BZ42" s="15" t="n"/>
      <c r="CA42" s="14" t="n"/>
      <c r="CB42" s="15" t="n"/>
      <c r="CC42" s="12" t="n"/>
      <c r="CD42" s="15" t="n"/>
      <c r="CE42" s="14" t="n"/>
      <c r="CF42" s="15" t="n"/>
      <c r="CG42" s="14" t="n"/>
      <c r="CH42" s="16" t="n"/>
      <c r="CI42" s="14" t="n"/>
      <c r="CJ42" s="15" t="n"/>
      <c r="CK42" s="14" t="n"/>
      <c r="CL42" s="16" t="n"/>
      <c r="CM42" s="14" t="n"/>
      <c r="CN42" s="15" t="n"/>
      <c r="CO42" s="14" t="n"/>
      <c r="CP42" s="15" t="n"/>
      <c r="CQ42" s="12" t="n"/>
      <c r="CR42" s="15" t="n"/>
      <c r="CS42" s="14" t="n"/>
      <c r="CT42" s="15" t="n"/>
      <c r="CU42" s="12" t="n"/>
      <c r="CV42" s="15" t="n"/>
      <c r="CW42" s="14" t="n"/>
      <c r="CX42" s="15" t="n"/>
    </row>
    <row r="43" ht="13" customHeight="1">
      <c r="A43" s="32" t="inlineStr">
        <is>
          <t>S4-15</t>
        </is>
      </c>
      <c r="B43" s="36" t="inlineStr">
        <is>
          <t>★ ENTREGA S#4 — Cumplimiento OC 4508944973</t>
        </is>
      </c>
      <c r="C43" s="34" t="inlineStr">
        <is>
          <t>S4</t>
        </is>
      </c>
      <c r="D43" s="37" t="inlineStr">
        <is>
          <t>08/04/2027</t>
        </is>
      </c>
      <c r="E43" s="37" t="inlineStr">
        <is>
          <t>08/04/2027</t>
        </is>
      </c>
      <c r="F43" s="30" t="inlineStr">
        <is>
          <t>+81d</t>
        </is>
      </c>
      <c r="G43" s="12" t="n"/>
      <c r="H43" s="15" t="n"/>
      <c r="I43" s="14" t="n"/>
      <c r="J43" s="15" t="n"/>
      <c r="K43" s="14" t="n"/>
      <c r="L43" s="16" t="n"/>
      <c r="M43" s="14" t="n"/>
      <c r="N43" s="15" t="n"/>
      <c r="O43" s="14" t="n"/>
      <c r="P43" s="16" t="n"/>
      <c r="Q43" s="14" t="n"/>
      <c r="R43" s="15" t="n"/>
      <c r="S43" s="14" t="n"/>
      <c r="T43" s="15" t="n"/>
      <c r="U43" s="12" t="n"/>
      <c r="V43" s="15" t="n"/>
      <c r="W43" s="14" t="n"/>
      <c r="X43" s="15" t="n"/>
      <c r="Y43" s="12" t="n"/>
      <c r="Z43" s="15" t="n"/>
      <c r="AA43" s="14" t="n"/>
      <c r="AB43" s="15" t="n"/>
      <c r="AC43" s="12" t="n"/>
      <c r="AD43" s="15" t="n"/>
      <c r="AE43" s="14" t="n"/>
      <c r="AF43" s="15" t="n"/>
      <c r="AG43" s="14" t="n"/>
      <c r="AH43" s="16" t="n"/>
      <c r="AI43" s="14" t="n"/>
      <c r="AJ43" s="15" t="n"/>
      <c r="AK43" s="14" t="n"/>
      <c r="AL43" s="16" t="n"/>
      <c r="AM43" s="14" t="n"/>
      <c r="AN43" s="15" t="n"/>
      <c r="AO43" s="14" t="n"/>
      <c r="AP43" s="16" t="n"/>
      <c r="AQ43" s="14" t="n"/>
      <c r="AR43" s="15" t="n"/>
      <c r="AS43" s="14" t="n"/>
      <c r="AT43" s="15" t="n"/>
      <c r="AU43" s="12" t="n"/>
      <c r="AV43" s="15" t="n"/>
      <c r="AW43" s="14" t="n"/>
      <c r="AX43" s="15" t="n"/>
      <c r="AY43" s="12" t="n"/>
      <c r="AZ43" s="15" t="n"/>
      <c r="BA43" s="14" t="n"/>
      <c r="BB43" s="15" t="n"/>
      <c r="BC43" s="17" t="inlineStr">
        <is>
          <t>★</t>
        </is>
      </c>
      <c r="BD43" s="15" t="n"/>
      <c r="BE43" s="14" t="n"/>
      <c r="BF43" s="15" t="n"/>
      <c r="BG43" s="14" t="n"/>
      <c r="BH43" s="16" t="n"/>
      <c r="BI43" s="14" t="n"/>
      <c r="BJ43" s="15" t="n"/>
      <c r="BK43" s="14" t="n"/>
      <c r="BL43" s="16" t="n"/>
      <c r="BM43" s="14" t="n"/>
      <c r="BN43" s="15" t="n"/>
      <c r="BO43" s="14" t="n"/>
      <c r="BP43" s="16" t="n"/>
      <c r="BQ43" s="14" t="n"/>
      <c r="BR43" s="15" t="n"/>
      <c r="BS43" s="14" t="n"/>
      <c r="BT43" s="15" t="n"/>
      <c r="BU43" s="12" t="n"/>
      <c r="BV43" s="15" t="n"/>
      <c r="BW43" s="14" t="n"/>
      <c r="BX43" s="15" t="n"/>
      <c r="BY43" s="12" t="n"/>
      <c r="BZ43" s="15" t="n"/>
      <c r="CA43" s="14" t="n"/>
      <c r="CB43" s="15" t="n"/>
      <c r="CC43" s="12" t="n"/>
      <c r="CD43" s="15" t="n"/>
      <c r="CE43" s="14" t="n"/>
      <c r="CF43" s="15" t="n"/>
      <c r="CG43" s="14" t="n"/>
      <c r="CH43" s="16" t="n"/>
      <c r="CI43" s="14" t="n"/>
      <c r="CJ43" s="15" t="n"/>
      <c r="CK43" s="14" t="n"/>
      <c r="CL43" s="16" t="n"/>
      <c r="CM43" s="14" t="n"/>
      <c r="CN43" s="15" t="n"/>
      <c r="CO43" s="14" t="n"/>
      <c r="CP43" s="15" t="n"/>
      <c r="CQ43" s="12" t="n"/>
      <c r="CR43" s="15" t="n"/>
      <c r="CS43" s="14" t="n"/>
      <c r="CT43" s="15" t="n"/>
      <c r="CU43" s="12" t="n"/>
      <c r="CV43" s="15" t="n"/>
      <c r="CW43" s="14" t="n"/>
      <c r="CX43" s="15" t="n"/>
    </row>
    <row r="44" ht="16" customHeight="1">
      <c r="A44" s="39" t="inlineStr">
        <is>
          <t xml:space="preserve">  ▶  SALA #3 (BT) ★ CRÍTICA   ← CADENA CRÍTICA  |  OC 4508944971  |  12 meses  |  Entrega: 14-MAY-2027</t>
        </is>
      </c>
    </row>
    <row r="45" ht="14" customHeight="1">
      <c r="A45" s="40" t="inlineStr">
        <is>
          <t>S3-01</t>
        </is>
      </c>
      <c r="B45" s="41" t="inlineStr">
        <is>
          <t>Emisión Ingeniería Básica Sala #3</t>
        </is>
      </c>
      <c r="C45" s="42" t="inlineStr">
        <is>
          <t>S3</t>
        </is>
      </c>
      <c r="D45" s="40" t="inlineStr">
        <is>
          <t>22/05/2026</t>
        </is>
      </c>
      <c r="E45" s="40" t="inlineStr">
        <is>
          <t>12/06/2026</t>
        </is>
      </c>
      <c r="F45" s="43" t="inlineStr">
        <is>
          <t>—</t>
        </is>
      </c>
      <c r="G45" s="12" t="n"/>
      <c r="H45" s="15" t="n"/>
      <c r="I45" s="14" t="n"/>
      <c r="J45" s="44" t="n"/>
      <c r="K45" s="44" t="n"/>
      <c r="L45" s="45" t="n"/>
      <c r="M45" s="44" t="n"/>
      <c r="N45" s="15" t="n"/>
      <c r="O45" s="14" t="n"/>
      <c r="P45" s="16" t="n"/>
      <c r="Q45" s="14" t="n"/>
      <c r="R45" s="15" t="n"/>
      <c r="S45" s="14" t="n"/>
      <c r="T45" s="15" t="n"/>
      <c r="U45" s="12" t="n"/>
      <c r="V45" s="15" t="n"/>
      <c r="W45" s="14" t="n"/>
      <c r="X45" s="15" t="n"/>
      <c r="Y45" s="12" t="n"/>
      <c r="Z45" s="15" t="n"/>
      <c r="AA45" s="14" t="n"/>
      <c r="AB45" s="15" t="n"/>
      <c r="AC45" s="12" t="n"/>
      <c r="AD45" s="15" t="n"/>
      <c r="AE45" s="14" t="n"/>
      <c r="AF45" s="15" t="n"/>
      <c r="AG45" s="14" t="n"/>
      <c r="AH45" s="16" t="n"/>
      <c r="AI45" s="14" t="n"/>
      <c r="AJ45" s="15" t="n"/>
      <c r="AK45" s="14" t="n"/>
      <c r="AL45" s="16" t="n"/>
      <c r="AM45" s="14" t="n"/>
      <c r="AN45" s="15" t="n"/>
      <c r="AO45" s="14" t="n"/>
      <c r="AP45" s="16" t="n"/>
      <c r="AQ45" s="14" t="n"/>
      <c r="AR45" s="15" t="n"/>
      <c r="AS45" s="14" t="n"/>
      <c r="AT45" s="15" t="n"/>
      <c r="AU45" s="12" t="n"/>
      <c r="AV45" s="15" t="n"/>
      <c r="AW45" s="14" t="n"/>
      <c r="AX45" s="15" t="n"/>
      <c r="AY45" s="12" t="n"/>
      <c r="AZ45" s="15" t="n"/>
      <c r="BA45" s="14" t="n"/>
      <c r="BB45" s="15" t="n"/>
      <c r="BC45" s="12" t="n"/>
      <c r="BD45" s="15" t="n"/>
      <c r="BE45" s="14" t="n"/>
      <c r="BF45" s="15" t="n"/>
      <c r="BG45" s="14" t="n"/>
      <c r="BH45" s="16" t="n"/>
      <c r="BI45" s="14" t="n"/>
      <c r="BJ45" s="15" t="n"/>
      <c r="BK45" s="14" t="n"/>
      <c r="BL45" s="16" t="n"/>
      <c r="BM45" s="14" t="n"/>
      <c r="BN45" s="15" t="n"/>
      <c r="BO45" s="14" t="n"/>
      <c r="BP45" s="16" t="n"/>
      <c r="BQ45" s="14" t="n"/>
      <c r="BR45" s="15" t="n"/>
      <c r="BS45" s="14" t="n"/>
      <c r="BT45" s="15" t="n"/>
      <c r="BU45" s="12" t="n"/>
      <c r="BV45" s="15" t="n"/>
      <c r="BW45" s="14" t="n"/>
      <c r="BX45" s="15" t="n"/>
      <c r="BY45" s="12" t="n"/>
      <c r="BZ45" s="15" t="n"/>
      <c r="CA45" s="14" t="n"/>
      <c r="CB45" s="15" t="n"/>
      <c r="CC45" s="12" t="n"/>
      <c r="CD45" s="15" t="n"/>
      <c r="CE45" s="14" t="n"/>
      <c r="CF45" s="15" t="n"/>
      <c r="CG45" s="14" t="n"/>
      <c r="CH45" s="16" t="n"/>
      <c r="CI45" s="14" t="n"/>
      <c r="CJ45" s="15" t="n"/>
      <c r="CK45" s="14" t="n"/>
      <c r="CL45" s="16" t="n"/>
      <c r="CM45" s="14" t="n"/>
      <c r="CN45" s="15" t="n"/>
      <c r="CO45" s="14" t="n"/>
      <c r="CP45" s="15" t="n"/>
      <c r="CQ45" s="12" t="n"/>
      <c r="CR45" s="15" t="n"/>
      <c r="CS45" s="14" t="n"/>
      <c r="CT45" s="15" t="n"/>
      <c r="CU45" s="12" t="n"/>
      <c r="CV45" s="15" t="n"/>
      <c r="CW45" s="14" t="n"/>
      <c r="CX45" s="15" t="n"/>
    </row>
    <row r="46" ht="14" customHeight="1">
      <c r="A46" s="40" t="inlineStr">
        <is>
          <t>S3-02</t>
        </is>
      </c>
      <c r="B46" s="41" t="inlineStr">
        <is>
          <t>Aprobación IB Sala #3 (AESA — 10 días hábiles)</t>
        </is>
      </c>
      <c r="C46" s="42" t="inlineStr">
        <is>
          <t>S3</t>
        </is>
      </c>
      <c r="D46" s="40" t="inlineStr">
        <is>
          <t>15/06/2026</t>
        </is>
      </c>
      <c r="E46" s="40" t="inlineStr">
        <is>
          <t>26/06/2026</t>
        </is>
      </c>
      <c r="F46" s="43" t="inlineStr">
        <is>
          <t>—</t>
        </is>
      </c>
      <c r="G46" s="12" t="n"/>
      <c r="H46" s="15" t="n"/>
      <c r="I46" s="14" t="n"/>
      <c r="J46" s="15" t="n"/>
      <c r="K46" s="14" t="n"/>
      <c r="L46" s="16" t="n"/>
      <c r="M46" s="44" t="n"/>
      <c r="N46" s="44" t="n"/>
      <c r="O46" s="44" t="n"/>
      <c r="P46" s="16" t="n"/>
      <c r="Q46" s="14" t="n"/>
      <c r="R46" s="15" t="n"/>
      <c r="S46" s="14" t="n"/>
      <c r="T46" s="15" t="n"/>
      <c r="U46" s="12" t="n"/>
      <c r="V46" s="15" t="n"/>
      <c r="W46" s="14" t="n"/>
      <c r="X46" s="15" t="n"/>
      <c r="Y46" s="12" t="n"/>
      <c r="Z46" s="15" t="n"/>
      <c r="AA46" s="14" t="n"/>
      <c r="AB46" s="15" t="n"/>
      <c r="AC46" s="12" t="n"/>
      <c r="AD46" s="15" t="n"/>
      <c r="AE46" s="14" t="n"/>
      <c r="AF46" s="15" t="n"/>
      <c r="AG46" s="14" t="n"/>
      <c r="AH46" s="16" t="n"/>
      <c r="AI46" s="14" t="n"/>
      <c r="AJ46" s="15" t="n"/>
      <c r="AK46" s="14" t="n"/>
      <c r="AL46" s="16" t="n"/>
      <c r="AM46" s="14" t="n"/>
      <c r="AN46" s="15" t="n"/>
      <c r="AO46" s="14" t="n"/>
      <c r="AP46" s="16" t="n"/>
      <c r="AQ46" s="14" t="n"/>
      <c r="AR46" s="15" t="n"/>
      <c r="AS46" s="14" t="n"/>
      <c r="AT46" s="15" t="n"/>
      <c r="AU46" s="12" t="n"/>
      <c r="AV46" s="15" t="n"/>
      <c r="AW46" s="14" t="n"/>
      <c r="AX46" s="15" t="n"/>
      <c r="AY46" s="12" t="n"/>
      <c r="AZ46" s="15" t="n"/>
      <c r="BA46" s="14" t="n"/>
      <c r="BB46" s="15" t="n"/>
      <c r="BC46" s="12" t="n"/>
      <c r="BD46" s="15" t="n"/>
      <c r="BE46" s="14" t="n"/>
      <c r="BF46" s="15" t="n"/>
      <c r="BG46" s="14" t="n"/>
      <c r="BH46" s="16" t="n"/>
      <c r="BI46" s="14" t="n"/>
      <c r="BJ46" s="15" t="n"/>
      <c r="BK46" s="14" t="n"/>
      <c r="BL46" s="16" t="n"/>
      <c r="BM46" s="14" t="n"/>
      <c r="BN46" s="15" t="n"/>
      <c r="BO46" s="14" t="n"/>
      <c r="BP46" s="16" t="n"/>
      <c r="BQ46" s="14" t="n"/>
      <c r="BR46" s="15" t="n"/>
      <c r="BS46" s="14" t="n"/>
      <c r="BT46" s="15" t="n"/>
      <c r="BU46" s="12" t="n"/>
      <c r="BV46" s="15" t="n"/>
      <c r="BW46" s="14" t="n"/>
      <c r="BX46" s="15" t="n"/>
      <c r="BY46" s="12" t="n"/>
      <c r="BZ46" s="15" t="n"/>
      <c r="CA46" s="14" t="n"/>
      <c r="CB46" s="15" t="n"/>
      <c r="CC46" s="12" t="n"/>
      <c r="CD46" s="15" t="n"/>
      <c r="CE46" s="14" t="n"/>
      <c r="CF46" s="15" t="n"/>
      <c r="CG46" s="14" t="n"/>
      <c r="CH46" s="16" t="n"/>
      <c r="CI46" s="14" t="n"/>
      <c r="CJ46" s="15" t="n"/>
      <c r="CK46" s="14" t="n"/>
      <c r="CL46" s="16" t="n"/>
      <c r="CM46" s="14" t="n"/>
      <c r="CN46" s="15" t="n"/>
      <c r="CO46" s="14" t="n"/>
      <c r="CP46" s="15" t="n"/>
      <c r="CQ46" s="12" t="n"/>
      <c r="CR46" s="15" t="n"/>
      <c r="CS46" s="14" t="n"/>
      <c r="CT46" s="15" t="n"/>
      <c r="CU46" s="12" t="n"/>
      <c r="CV46" s="15" t="n"/>
      <c r="CW46" s="14" t="n"/>
      <c r="CX46" s="15" t="n"/>
    </row>
    <row r="47" ht="13" customHeight="1">
      <c r="A47" s="40" t="inlineStr">
        <is>
          <t>FP-S3-1</t>
        </is>
      </c>
      <c r="B47" s="41" t="inlineStr">
        <is>
          <t>◆ FREEZING POINT — Ing. Básica Sala #3</t>
        </is>
      </c>
      <c r="C47" s="42" t="inlineStr">
        <is>
          <t>S3</t>
        </is>
      </c>
      <c r="D47" s="40" t="inlineStr">
        <is>
          <t>03/07/2026</t>
        </is>
      </c>
      <c r="E47" s="40" t="inlineStr">
        <is>
          <t>03/07/2026</t>
        </is>
      </c>
      <c r="F47" s="43" t="inlineStr">
        <is>
          <t>—</t>
        </is>
      </c>
      <c r="G47" s="12" t="n"/>
      <c r="H47" s="15" t="n"/>
      <c r="I47" s="14" t="n"/>
      <c r="J47" s="15" t="n"/>
      <c r="K47" s="14" t="n"/>
      <c r="L47" s="16" t="n"/>
      <c r="M47" s="14" t="n"/>
      <c r="N47" s="15" t="n"/>
      <c r="O47" s="14" t="n"/>
      <c r="P47" s="46" t="inlineStr">
        <is>
          <t>◆</t>
        </is>
      </c>
      <c r="Q47" s="14" t="n"/>
      <c r="R47" s="15" t="n"/>
      <c r="S47" s="14" t="n"/>
      <c r="T47" s="15" t="n"/>
      <c r="U47" s="12" t="n"/>
      <c r="V47" s="15" t="n"/>
      <c r="W47" s="14" t="n"/>
      <c r="X47" s="15" t="n"/>
      <c r="Y47" s="12" t="n"/>
      <c r="Z47" s="15" t="n"/>
      <c r="AA47" s="14" t="n"/>
      <c r="AB47" s="15" t="n"/>
      <c r="AC47" s="12" t="n"/>
      <c r="AD47" s="15" t="n"/>
      <c r="AE47" s="14" t="n"/>
      <c r="AF47" s="15" t="n"/>
      <c r="AG47" s="14" t="n"/>
      <c r="AH47" s="16" t="n"/>
      <c r="AI47" s="14" t="n"/>
      <c r="AJ47" s="15" t="n"/>
      <c r="AK47" s="14" t="n"/>
      <c r="AL47" s="16" t="n"/>
      <c r="AM47" s="14" t="n"/>
      <c r="AN47" s="15" t="n"/>
      <c r="AO47" s="14" t="n"/>
      <c r="AP47" s="16" t="n"/>
      <c r="AQ47" s="14" t="n"/>
      <c r="AR47" s="15" t="n"/>
      <c r="AS47" s="14" t="n"/>
      <c r="AT47" s="15" t="n"/>
      <c r="AU47" s="12" t="n"/>
      <c r="AV47" s="15" t="n"/>
      <c r="AW47" s="14" t="n"/>
      <c r="AX47" s="15" t="n"/>
      <c r="AY47" s="12" t="n"/>
      <c r="AZ47" s="15" t="n"/>
      <c r="BA47" s="14" t="n"/>
      <c r="BB47" s="15" t="n"/>
      <c r="BC47" s="12" t="n"/>
      <c r="BD47" s="15" t="n"/>
      <c r="BE47" s="14" t="n"/>
      <c r="BF47" s="15" t="n"/>
      <c r="BG47" s="14" t="n"/>
      <c r="BH47" s="16" t="n"/>
      <c r="BI47" s="14" t="n"/>
      <c r="BJ47" s="15" t="n"/>
      <c r="BK47" s="14" t="n"/>
      <c r="BL47" s="16" t="n"/>
      <c r="BM47" s="14" t="n"/>
      <c r="BN47" s="15" t="n"/>
      <c r="BO47" s="14" t="n"/>
      <c r="BP47" s="16" t="n"/>
      <c r="BQ47" s="14" t="n"/>
      <c r="BR47" s="15" t="n"/>
      <c r="BS47" s="14" t="n"/>
      <c r="BT47" s="15" t="n"/>
      <c r="BU47" s="12" t="n"/>
      <c r="BV47" s="15" t="n"/>
      <c r="BW47" s="14" t="n"/>
      <c r="BX47" s="15" t="n"/>
      <c r="BY47" s="12" t="n"/>
      <c r="BZ47" s="15" t="n"/>
      <c r="CA47" s="14" t="n"/>
      <c r="CB47" s="15" t="n"/>
      <c r="CC47" s="12" t="n"/>
      <c r="CD47" s="15" t="n"/>
      <c r="CE47" s="14" t="n"/>
      <c r="CF47" s="15" t="n"/>
      <c r="CG47" s="14" t="n"/>
      <c r="CH47" s="16" t="n"/>
      <c r="CI47" s="14" t="n"/>
      <c r="CJ47" s="15" t="n"/>
      <c r="CK47" s="14" t="n"/>
      <c r="CL47" s="16" t="n"/>
      <c r="CM47" s="14" t="n"/>
      <c r="CN47" s="15" t="n"/>
      <c r="CO47" s="14" t="n"/>
      <c r="CP47" s="15" t="n"/>
      <c r="CQ47" s="12" t="n"/>
      <c r="CR47" s="15" t="n"/>
      <c r="CS47" s="14" t="n"/>
      <c r="CT47" s="15" t="n"/>
      <c r="CU47" s="12" t="n"/>
      <c r="CV47" s="15" t="n"/>
      <c r="CW47" s="14" t="n"/>
      <c r="CX47" s="15" t="n"/>
    </row>
    <row r="48" ht="14" customHeight="1">
      <c r="A48" s="40" t="inlineStr">
        <is>
          <t>S3-03</t>
        </is>
      </c>
      <c r="B48" s="41" t="inlineStr">
        <is>
          <t>OC a 3ros: Ductos de Barras Turquía (post FP-IB S3)</t>
        </is>
      </c>
      <c r="C48" s="42" t="inlineStr">
        <is>
          <t>S3</t>
        </is>
      </c>
      <c r="D48" s="40" t="inlineStr">
        <is>
          <t>06/07/2026</t>
        </is>
      </c>
      <c r="E48" s="40" t="inlineStr">
        <is>
          <t>17/07/2026</t>
        </is>
      </c>
      <c r="F48" s="43" t="inlineStr">
        <is>
          <t>—</t>
        </is>
      </c>
      <c r="G48" s="12" t="n"/>
      <c r="H48" s="15" t="n"/>
      <c r="I48" s="14" t="n"/>
      <c r="J48" s="15" t="n"/>
      <c r="K48" s="14" t="n"/>
      <c r="L48" s="16" t="n"/>
      <c r="M48" s="14" t="n"/>
      <c r="N48" s="15" t="n"/>
      <c r="O48" s="14" t="n"/>
      <c r="P48" s="45" t="n"/>
      <c r="Q48" s="44" t="n"/>
      <c r="R48" s="44" t="n"/>
      <c r="S48" s="14" t="n"/>
      <c r="T48" s="15" t="n"/>
      <c r="U48" s="12" t="n"/>
      <c r="V48" s="15" t="n"/>
      <c r="W48" s="14" t="n"/>
      <c r="X48" s="15" t="n"/>
      <c r="Y48" s="12" t="n"/>
      <c r="Z48" s="15" t="n"/>
      <c r="AA48" s="14" t="n"/>
      <c r="AB48" s="15" t="n"/>
      <c r="AC48" s="12" t="n"/>
      <c r="AD48" s="15" t="n"/>
      <c r="AE48" s="14" t="n"/>
      <c r="AF48" s="15" t="n"/>
      <c r="AG48" s="14" t="n"/>
      <c r="AH48" s="16" t="n"/>
      <c r="AI48" s="14" t="n"/>
      <c r="AJ48" s="15" t="n"/>
      <c r="AK48" s="14" t="n"/>
      <c r="AL48" s="16" t="n"/>
      <c r="AM48" s="14" t="n"/>
      <c r="AN48" s="15" t="n"/>
      <c r="AO48" s="14" t="n"/>
      <c r="AP48" s="16" t="n"/>
      <c r="AQ48" s="14" t="n"/>
      <c r="AR48" s="15" t="n"/>
      <c r="AS48" s="14" t="n"/>
      <c r="AT48" s="15" t="n"/>
      <c r="AU48" s="12" t="n"/>
      <c r="AV48" s="15" t="n"/>
      <c r="AW48" s="14" t="n"/>
      <c r="AX48" s="15" t="n"/>
      <c r="AY48" s="12" t="n"/>
      <c r="AZ48" s="15" t="n"/>
      <c r="BA48" s="14" t="n"/>
      <c r="BB48" s="15" t="n"/>
      <c r="BC48" s="12" t="n"/>
      <c r="BD48" s="15" t="n"/>
      <c r="BE48" s="14" t="n"/>
      <c r="BF48" s="15" t="n"/>
      <c r="BG48" s="14" t="n"/>
      <c r="BH48" s="16" t="n"/>
      <c r="BI48" s="14" t="n"/>
      <c r="BJ48" s="15" t="n"/>
      <c r="BK48" s="14" t="n"/>
      <c r="BL48" s="16" t="n"/>
      <c r="BM48" s="14" t="n"/>
      <c r="BN48" s="15" t="n"/>
      <c r="BO48" s="14" t="n"/>
      <c r="BP48" s="16" t="n"/>
      <c r="BQ48" s="14" t="n"/>
      <c r="BR48" s="15" t="n"/>
      <c r="BS48" s="14" t="n"/>
      <c r="BT48" s="15" t="n"/>
      <c r="BU48" s="12" t="n"/>
      <c r="BV48" s="15" t="n"/>
      <c r="BW48" s="14" t="n"/>
      <c r="BX48" s="15" t="n"/>
      <c r="BY48" s="12" t="n"/>
      <c r="BZ48" s="15" t="n"/>
      <c r="CA48" s="14" t="n"/>
      <c r="CB48" s="15" t="n"/>
      <c r="CC48" s="12" t="n"/>
      <c r="CD48" s="15" t="n"/>
      <c r="CE48" s="14" t="n"/>
      <c r="CF48" s="15" t="n"/>
      <c r="CG48" s="14" t="n"/>
      <c r="CH48" s="16" t="n"/>
      <c r="CI48" s="14" t="n"/>
      <c r="CJ48" s="15" t="n"/>
      <c r="CK48" s="14" t="n"/>
      <c r="CL48" s="16" t="n"/>
      <c r="CM48" s="14" t="n"/>
      <c r="CN48" s="15" t="n"/>
      <c r="CO48" s="14" t="n"/>
      <c r="CP48" s="15" t="n"/>
      <c r="CQ48" s="12" t="n"/>
      <c r="CR48" s="15" t="n"/>
      <c r="CS48" s="14" t="n"/>
      <c r="CT48" s="15" t="n"/>
      <c r="CU48" s="12" t="n"/>
      <c r="CV48" s="15" t="n"/>
      <c r="CW48" s="14" t="n"/>
      <c r="CX48" s="15" t="n"/>
    </row>
    <row r="49" ht="14" customHeight="1">
      <c r="A49" s="40" t="inlineStr">
        <is>
          <t>S3-04</t>
        </is>
      </c>
      <c r="B49" s="41" t="inlineStr">
        <is>
          <t>OC a 3ros: Variadores BT Finlandia (post FP-IB S3)</t>
        </is>
      </c>
      <c r="C49" s="42" t="inlineStr">
        <is>
          <t>S3</t>
        </is>
      </c>
      <c r="D49" s="40" t="inlineStr">
        <is>
          <t>06/07/2026</t>
        </is>
      </c>
      <c r="E49" s="40" t="inlineStr">
        <is>
          <t>17/07/2026</t>
        </is>
      </c>
      <c r="F49" s="43" t="inlineStr">
        <is>
          <t>—</t>
        </is>
      </c>
      <c r="G49" s="12" t="n"/>
      <c r="H49" s="15" t="n"/>
      <c r="I49" s="14" t="n"/>
      <c r="J49" s="15" t="n"/>
      <c r="K49" s="14" t="n"/>
      <c r="L49" s="16" t="n"/>
      <c r="M49" s="14" t="n"/>
      <c r="N49" s="15" t="n"/>
      <c r="O49" s="14" t="n"/>
      <c r="P49" s="45" t="n"/>
      <c r="Q49" s="44" t="n"/>
      <c r="R49" s="44" t="n"/>
      <c r="S49" s="14" t="n"/>
      <c r="T49" s="15" t="n"/>
      <c r="U49" s="12" t="n"/>
      <c r="V49" s="15" t="n"/>
      <c r="W49" s="14" t="n"/>
      <c r="X49" s="15" t="n"/>
      <c r="Y49" s="12" t="n"/>
      <c r="Z49" s="15" t="n"/>
      <c r="AA49" s="14" t="n"/>
      <c r="AB49" s="15" t="n"/>
      <c r="AC49" s="12" t="n"/>
      <c r="AD49" s="15" t="n"/>
      <c r="AE49" s="14" t="n"/>
      <c r="AF49" s="15" t="n"/>
      <c r="AG49" s="14" t="n"/>
      <c r="AH49" s="16" t="n"/>
      <c r="AI49" s="14" t="n"/>
      <c r="AJ49" s="15" t="n"/>
      <c r="AK49" s="14" t="n"/>
      <c r="AL49" s="16" t="n"/>
      <c r="AM49" s="14" t="n"/>
      <c r="AN49" s="15" t="n"/>
      <c r="AO49" s="14" t="n"/>
      <c r="AP49" s="16" t="n"/>
      <c r="AQ49" s="14" t="n"/>
      <c r="AR49" s="15" t="n"/>
      <c r="AS49" s="14" t="n"/>
      <c r="AT49" s="15" t="n"/>
      <c r="AU49" s="12" t="n"/>
      <c r="AV49" s="15" t="n"/>
      <c r="AW49" s="14" t="n"/>
      <c r="AX49" s="15" t="n"/>
      <c r="AY49" s="12" t="n"/>
      <c r="AZ49" s="15" t="n"/>
      <c r="BA49" s="14" t="n"/>
      <c r="BB49" s="15" t="n"/>
      <c r="BC49" s="12" t="n"/>
      <c r="BD49" s="15" t="n"/>
      <c r="BE49" s="14" t="n"/>
      <c r="BF49" s="15" t="n"/>
      <c r="BG49" s="14" t="n"/>
      <c r="BH49" s="16" t="n"/>
      <c r="BI49" s="14" t="n"/>
      <c r="BJ49" s="15" t="n"/>
      <c r="BK49" s="14" t="n"/>
      <c r="BL49" s="16" t="n"/>
      <c r="BM49" s="14" t="n"/>
      <c r="BN49" s="15" t="n"/>
      <c r="BO49" s="14" t="n"/>
      <c r="BP49" s="16" t="n"/>
      <c r="BQ49" s="14" t="n"/>
      <c r="BR49" s="15" t="n"/>
      <c r="BS49" s="14" t="n"/>
      <c r="BT49" s="15" t="n"/>
      <c r="BU49" s="12" t="n"/>
      <c r="BV49" s="15" t="n"/>
      <c r="BW49" s="14" t="n"/>
      <c r="BX49" s="15" t="n"/>
      <c r="BY49" s="12" t="n"/>
      <c r="BZ49" s="15" t="n"/>
      <c r="CA49" s="14" t="n"/>
      <c r="CB49" s="15" t="n"/>
      <c r="CC49" s="12" t="n"/>
      <c r="CD49" s="15" t="n"/>
      <c r="CE49" s="14" t="n"/>
      <c r="CF49" s="15" t="n"/>
      <c r="CG49" s="14" t="n"/>
      <c r="CH49" s="16" t="n"/>
      <c r="CI49" s="14" t="n"/>
      <c r="CJ49" s="15" t="n"/>
      <c r="CK49" s="14" t="n"/>
      <c r="CL49" s="16" t="n"/>
      <c r="CM49" s="14" t="n"/>
      <c r="CN49" s="15" t="n"/>
      <c r="CO49" s="14" t="n"/>
      <c r="CP49" s="15" t="n"/>
      <c r="CQ49" s="12" t="n"/>
      <c r="CR49" s="15" t="n"/>
      <c r="CS49" s="14" t="n"/>
      <c r="CT49" s="15" t="n"/>
      <c r="CU49" s="12" t="n"/>
      <c r="CV49" s="15" t="n"/>
      <c r="CW49" s="14" t="n"/>
      <c r="CX49" s="15" t="n"/>
    </row>
    <row r="50" ht="14" customHeight="1">
      <c r="A50" s="40" t="inlineStr">
        <is>
          <t>S3-05</t>
        </is>
      </c>
      <c r="B50" s="41" t="inlineStr">
        <is>
          <t>Emisión Ingeniería de Detalle Sala #3</t>
        </is>
      </c>
      <c r="C50" s="42" t="inlineStr">
        <is>
          <t>S3</t>
        </is>
      </c>
      <c r="D50" s="40" t="inlineStr">
        <is>
          <t>29/06/2026</t>
        </is>
      </c>
      <c r="E50" s="40" t="inlineStr">
        <is>
          <t>31/07/2026</t>
        </is>
      </c>
      <c r="F50" s="43" t="inlineStr">
        <is>
          <t>—</t>
        </is>
      </c>
      <c r="G50" s="12" t="n"/>
      <c r="H50" s="15" t="n"/>
      <c r="I50" s="14" t="n"/>
      <c r="J50" s="15" t="n"/>
      <c r="K50" s="14" t="n"/>
      <c r="L50" s="16" t="n"/>
      <c r="M50" s="14" t="n"/>
      <c r="N50" s="15" t="n"/>
      <c r="O50" s="44" t="n"/>
      <c r="P50" s="45" t="n"/>
      <c r="Q50" s="44" t="n"/>
      <c r="R50" s="44" t="n"/>
      <c r="S50" s="44" t="n"/>
      <c r="T50" s="44" t="n"/>
      <c r="U50" s="12" t="n"/>
      <c r="V50" s="15" t="n"/>
      <c r="W50" s="14" t="n"/>
      <c r="X50" s="15" t="n"/>
      <c r="Y50" s="12" t="n"/>
      <c r="Z50" s="15" t="n"/>
      <c r="AA50" s="14" t="n"/>
      <c r="AB50" s="15" t="n"/>
      <c r="AC50" s="12" t="n"/>
      <c r="AD50" s="15" t="n"/>
      <c r="AE50" s="14" t="n"/>
      <c r="AF50" s="15" t="n"/>
      <c r="AG50" s="14" t="n"/>
      <c r="AH50" s="16" t="n"/>
      <c r="AI50" s="14" t="n"/>
      <c r="AJ50" s="15" t="n"/>
      <c r="AK50" s="14" t="n"/>
      <c r="AL50" s="16" t="n"/>
      <c r="AM50" s="14" t="n"/>
      <c r="AN50" s="15" t="n"/>
      <c r="AO50" s="14" t="n"/>
      <c r="AP50" s="16" t="n"/>
      <c r="AQ50" s="14" t="n"/>
      <c r="AR50" s="15" t="n"/>
      <c r="AS50" s="14" t="n"/>
      <c r="AT50" s="15" t="n"/>
      <c r="AU50" s="12" t="n"/>
      <c r="AV50" s="15" t="n"/>
      <c r="AW50" s="14" t="n"/>
      <c r="AX50" s="15" t="n"/>
      <c r="AY50" s="12" t="n"/>
      <c r="AZ50" s="15" t="n"/>
      <c r="BA50" s="14" t="n"/>
      <c r="BB50" s="15" t="n"/>
      <c r="BC50" s="12" t="n"/>
      <c r="BD50" s="15" t="n"/>
      <c r="BE50" s="14" t="n"/>
      <c r="BF50" s="15" t="n"/>
      <c r="BG50" s="14" t="n"/>
      <c r="BH50" s="16" t="n"/>
      <c r="BI50" s="14" t="n"/>
      <c r="BJ50" s="15" t="n"/>
      <c r="BK50" s="14" t="n"/>
      <c r="BL50" s="16" t="n"/>
      <c r="BM50" s="14" t="n"/>
      <c r="BN50" s="15" t="n"/>
      <c r="BO50" s="14" t="n"/>
      <c r="BP50" s="16" t="n"/>
      <c r="BQ50" s="14" t="n"/>
      <c r="BR50" s="15" t="n"/>
      <c r="BS50" s="14" t="n"/>
      <c r="BT50" s="15" t="n"/>
      <c r="BU50" s="12" t="n"/>
      <c r="BV50" s="15" t="n"/>
      <c r="BW50" s="14" t="n"/>
      <c r="BX50" s="15" t="n"/>
      <c r="BY50" s="12" t="n"/>
      <c r="BZ50" s="15" t="n"/>
      <c r="CA50" s="14" t="n"/>
      <c r="CB50" s="15" t="n"/>
      <c r="CC50" s="12" t="n"/>
      <c r="CD50" s="15" t="n"/>
      <c r="CE50" s="14" t="n"/>
      <c r="CF50" s="15" t="n"/>
      <c r="CG50" s="14" t="n"/>
      <c r="CH50" s="16" t="n"/>
      <c r="CI50" s="14" t="n"/>
      <c r="CJ50" s="15" t="n"/>
      <c r="CK50" s="14" t="n"/>
      <c r="CL50" s="16" t="n"/>
      <c r="CM50" s="14" t="n"/>
      <c r="CN50" s="15" t="n"/>
      <c r="CO50" s="14" t="n"/>
      <c r="CP50" s="15" t="n"/>
      <c r="CQ50" s="12" t="n"/>
      <c r="CR50" s="15" t="n"/>
      <c r="CS50" s="14" t="n"/>
      <c r="CT50" s="15" t="n"/>
      <c r="CU50" s="12" t="n"/>
      <c r="CV50" s="15" t="n"/>
      <c r="CW50" s="14" t="n"/>
      <c r="CX50" s="15" t="n"/>
    </row>
    <row r="51" ht="14" customHeight="1">
      <c r="A51" s="40" t="inlineStr">
        <is>
          <t>S3-WARN</t>
        </is>
      </c>
      <c r="B51" s="41" t="inlineStr">
        <is>
          <t>⚠ OPEN ISSUE: Confirmar cambio CCM7 (3x22kW → 2x45kW+VFD)</t>
        </is>
      </c>
      <c r="C51" s="42" t="inlineStr">
        <is>
          <t>S3</t>
        </is>
      </c>
      <c r="D51" s="40" t="inlineStr">
        <is>
          <t>26/05/2026</t>
        </is>
      </c>
      <c r="E51" s="40" t="inlineStr">
        <is>
          <t>05/06/2026</t>
        </is>
      </c>
      <c r="F51" s="43" t="inlineStr">
        <is>
          <t>—</t>
        </is>
      </c>
      <c r="G51" s="12" t="n"/>
      <c r="H51" s="15" t="n"/>
      <c r="I51" s="14" t="n"/>
      <c r="J51" s="47" t="inlineStr">
        <is>
          <t>⚠</t>
        </is>
      </c>
      <c r="K51" s="48" t="n"/>
      <c r="L51" s="49" t="n"/>
      <c r="M51" s="14" t="n"/>
      <c r="N51" s="15" t="n"/>
      <c r="O51" s="14" t="n"/>
      <c r="P51" s="16" t="n"/>
      <c r="Q51" s="14" t="n"/>
      <c r="R51" s="15" t="n"/>
      <c r="S51" s="14" t="n"/>
      <c r="T51" s="15" t="n"/>
      <c r="U51" s="12" t="n"/>
      <c r="V51" s="15" t="n"/>
      <c r="W51" s="14" t="n"/>
      <c r="X51" s="15" t="n"/>
      <c r="Y51" s="12" t="n"/>
      <c r="Z51" s="15" t="n"/>
      <c r="AA51" s="14" t="n"/>
      <c r="AB51" s="15" t="n"/>
      <c r="AC51" s="12" t="n"/>
      <c r="AD51" s="15" t="n"/>
      <c r="AE51" s="14" t="n"/>
      <c r="AF51" s="15" t="n"/>
      <c r="AG51" s="14" t="n"/>
      <c r="AH51" s="16" t="n"/>
      <c r="AI51" s="14" t="n"/>
      <c r="AJ51" s="15" t="n"/>
      <c r="AK51" s="14" t="n"/>
      <c r="AL51" s="16" t="n"/>
      <c r="AM51" s="14" t="n"/>
      <c r="AN51" s="15" t="n"/>
      <c r="AO51" s="14" t="n"/>
      <c r="AP51" s="16" t="n"/>
      <c r="AQ51" s="14" t="n"/>
      <c r="AR51" s="15" t="n"/>
      <c r="AS51" s="14" t="n"/>
      <c r="AT51" s="15" t="n"/>
      <c r="AU51" s="12" t="n"/>
      <c r="AV51" s="15" t="n"/>
      <c r="AW51" s="14" t="n"/>
      <c r="AX51" s="15" t="n"/>
      <c r="AY51" s="12" t="n"/>
      <c r="AZ51" s="15" t="n"/>
      <c r="BA51" s="14" t="n"/>
      <c r="BB51" s="15" t="n"/>
      <c r="BC51" s="12" t="n"/>
      <c r="BD51" s="15" t="n"/>
      <c r="BE51" s="14" t="n"/>
      <c r="BF51" s="15" t="n"/>
      <c r="BG51" s="14" t="n"/>
      <c r="BH51" s="16" t="n"/>
      <c r="BI51" s="14" t="n"/>
      <c r="BJ51" s="15" t="n"/>
      <c r="BK51" s="14" t="n"/>
      <c r="BL51" s="16" t="n"/>
      <c r="BM51" s="14" t="n"/>
      <c r="BN51" s="15" t="n"/>
      <c r="BO51" s="14" t="n"/>
      <c r="BP51" s="16" t="n"/>
      <c r="BQ51" s="14" t="n"/>
      <c r="BR51" s="15" t="n"/>
      <c r="BS51" s="14" t="n"/>
      <c r="BT51" s="15" t="n"/>
      <c r="BU51" s="12" t="n"/>
      <c r="BV51" s="15" t="n"/>
      <c r="BW51" s="14" t="n"/>
      <c r="BX51" s="15" t="n"/>
      <c r="BY51" s="12" t="n"/>
      <c r="BZ51" s="15" t="n"/>
      <c r="CA51" s="14" t="n"/>
      <c r="CB51" s="15" t="n"/>
      <c r="CC51" s="12" t="n"/>
      <c r="CD51" s="15" t="n"/>
      <c r="CE51" s="14" t="n"/>
      <c r="CF51" s="15" t="n"/>
      <c r="CG51" s="14" t="n"/>
      <c r="CH51" s="16" t="n"/>
      <c r="CI51" s="14" t="n"/>
      <c r="CJ51" s="15" t="n"/>
      <c r="CK51" s="14" t="n"/>
      <c r="CL51" s="16" t="n"/>
      <c r="CM51" s="14" t="n"/>
      <c r="CN51" s="15" t="n"/>
      <c r="CO51" s="14" t="n"/>
      <c r="CP51" s="15" t="n"/>
      <c r="CQ51" s="12" t="n"/>
      <c r="CR51" s="15" t="n"/>
      <c r="CS51" s="14" t="n"/>
      <c r="CT51" s="15" t="n"/>
      <c r="CU51" s="12" t="n"/>
      <c r="CV51" s="15" t="n"/>
      <c r="CW51" s="14" t="n"/>
      <c r="CX51" s="15" t="n"/>
    </row>
    <row r="52" ht="14" customHeight="1">
      <c r="A52" s="40" t="inlineStr">
        <is>
          <t>S3-06</t>
        </is>
      </c>
      <c r="B52" s="41" t="inlineStr">
        <is>
          <t>Aprobación ID Sala #3 (AESA — 10 días hábiles)</t>
        </is>
      </c>
      <c r="C52" s="42" t="inlineStr">
        <is>
          <t>S3</t>
        </is>
      </c>
      <c r="D52" s="40" t="inlineStr">
        <is>
          <t>03/08/2026</t>
        </is>
      </c>
      <c r="E52" s="40" t="inlineStr">
        <is>
          <t>14/08/2026</t>
        </is>
      </c>
      <c r="F52" s="43" t="inlineStr">
        <is>
          <t>—</t>
        </is>
      </c>
      <c r="G52" s="12" t="n"/>
      <c r="H52" s="15" t="n"/>
      <c r="I52" s="14" t="n"/>
      <c r="J52" s="15" t="n"/>
      <c r="K52" s="14" t="n"/>
      <c r="L52" s="16" t="n"/>
      <c r="M52" s="14" t="n"/>
      <c r="N52" s="15" t="n"/>
      <c r="O52" s="14" t="n"/>
      <c r="P52" s="16" t="n"/>
      <c r="Q52" s="14" t="n"/>
      <c r="R52" s="15" t="n"/>
      <c r="S52" s="14" t="n"/>
      <c r="T52" s="44" t="n"/>
      <c r="U52" s="45" t="n"/>
      <c r="V52" s="44" t="n"/>
      <c r="W52" s="14" t="n"/>
      <c r="X52" s="15" t="n"/>
      <c r="Y52" s="12" t="n"/>
      <c r="Z52" s="15" t="n"/>
      <c r="AA52" s="14" t="n"/>
      <c r="AB52" s="15" t="n"/>
      <c r="AC52" s="12" t="n"/>
      <c r="AD52" s="15" t="n"/>
      <c r="AE52" s="14" t="n"/>
      <c r="AF52" s="15" t="n"/>
      <c r="AG52" s="14" t="n"/>
      <c r="AH52" s="16" t="n"/>
      <c r="AI52" s="14" t="n"/>
      <c r="AJ52" s="15" t="n"/>
      <c r="AK52" s="14" t="n"/>
      <c r="AL52" s="16" t="n"/>
      <c r="AM52" s="14" t="n"/>
      <c r="AN52" s="15" t="n"/>
      <c r="AO52" s="14" t="n"/>
      <c r="AP52" s="16" t="n"/>
      <c r="AQ52" s="14" t="n"/>
      <c r="AR52" s="15" t="n"/>
      <c r="AS52" s="14" t="n"/>
      <c r="AT52" s="15" t="n"/>
      <c r="AU52" s="12" t="n"/>
      <c r="AV52" s="15" t="n"/>
      <c r="AW52" s="14" t="n"/>
      <c r="AX52" s="15" t="n"/>
      <c r="AY52" s="12" t="n"/>
      <c r="AZ52" s="15" t="n"/>
      <c r="BA52" s="14" t="n"/>
      <c r="BB52" s="15" t="n"/>
      <c r="BC52" s="12" t="n"/>
      <c r="BD52" s="15" t="n"/>
      <c r="BE52" s="14" t="n"/>
      <c r="BF52" s="15" t="n"/>
      <c r="BG52" s="14" t="n"/>
      <c r="BH52" s="16" t="n"/>
      <c r="BI52" s="14" t="n"/>
      <c r="BJ52" s="15" t="n"/>
      <c r="BK52" s="14" t="n"/>
      <c r="BL52" s="16" t="n"/>
      <c r="BM52" s="14" t="n"/>
      <c r="BN52" s="15" t="n"/>
      <c r="BO52" s="14" t="n"/>
      <c r="BP52" s="16" t="n"/>
      <c r="BQ52" s="14" t="n"/>
      <c r="BR52" s="15" t="n"/>
      <c r="BS52" s="14" t="n"/>
      <c r="BT52" s="15" t="n"/>
      <c r="BU52" s="12" t="n"/>
      <c r="BV52" s="15" t="n"/>
      <c r="BW52" s="14" t="n"/>
      <c r="BX52" s="15" t="n"/>
      <c r="BY52" s="12" t="n"/>
      <c r="BZ52" s="15" t="n"/>
      <c r="CA52" s="14" t="n"/>
      <c r="CB52" s="15" t="n"/>
      <c r="CC52" s="12" t="n"/>
      <c r="CD52" s="15" t="n"/>
      <c r="CE52" s="14" t="n"/>
      <c r="CF52" s="15" t="n"/>
      <c r="CG52" s="14" t="n"/>
      <c r="CH52" s="16" t="n"/>
      <c r="CI52" s="14" t="n"/>
      <c r="CJ52" s="15" t="n"/>
      <c r="CK52" s="14" t="n"/>
      <c r="CL52" s="16" t="n"/>
      <c r="CM52" s="14" t="n"/>
      <c r="CN52" s="15" t="n"/>
      <c r="CO52" s="14" t="n"/>
      <c r="CP52" s="15" t="n"/>
      <c r="CQ52" s="12" t="n"/>
      <c r="CR52" s="15" t="n"/>
      <c r="CS52" s="14" t="n"/>
      <c r="CT52" s="15" t="n"/>
      <c r="CU52" s="12" t="n"/>
      <c r="CV52" s="15" t="n"/>
      <c r="CW52" s="14" t="n"/>
      <c r="CX52" s="15" t="n"/>
    </row>
    <row r="53" ht="13" customHeight="1">
      <c r="A53" s="40" t="inlineStr">
        <is>
          <t>FP-S3-2</t>
        </is>
      </c>
      <c r="B53" s="41" t="inlineStr">
        <is>
          <t>◆ FREEZING POINT — Ing. Detalle Sala #3</t>
        </is>
      </c>
      <c r="C53" s="42" t="inlineStr">
        <is>
          <t>S3</t>
        </is>
      </c>
      <c r="D53" s="40" t="inlineStr">
        <is>
          <t>14/08/2026</t>
        </is>
      </c>
      <c r="E53" s="40" t="inlineStr">
        <is>
          <t>14/08/2026</t>
        </is>
      </c>
      <c r="F53" s="43" t="inlineStr">
        <is>
          <t>—</t>
        </is>
      </c>
      <c r="G53" s="12" t="n"/>
      <c r="H53" s="15" t="n"/>
      <c r="I53" s="14" t="n"/>
      <c r="J53" s="15" t="n"/>
      <c r="K53" s="14" t="n"/>
      <c r="L53" s="16" t="n"/>
      <c r="M53" s="14" t="n"/>
      <c r="N53" s="15" t="n"/>
      <c r="O53" s="14" t="n"/>
      <c r="P53" s="16" t="n"/>
      <c r="Q53" s="14" t="n"/>
      <c r="R53" s="15" t="n"/>
      <c r="S53" s="14" t="n"/>
      <c r="T53" s="15" t="n"/>
      <c r="U53" s="12" t="n"/>
      <c r="V53" s="27" t="inlineStr">
        <is>
          <t>◆</t>
        </is>
      </c>
      <c r="W53" s="14" t="n"/>
      <c r="X53" s="15" t="n"/>
      <c r="Y53" s="12" t="n"/>
      <c r="Z53" s="15" t="n"/>
      <c r="AA53" s="14" t="n"/>
      <c r="AB53" s="15" t="n"/>
      <c r="AC53" s="12" t="n"/>
      <c r="AD53" s="15" t="n"/>
      <c r="AE53" s="14" t="n"/>
      <c r="AF53" s="15" t="n"/>
      <c r="AG53" s="14" t="n"/>
      <c r="AH53" s="16" t="n"/>
      <c r="AI53" s="14" t="n"/>
      <c r="AJ53" s="15" t="n"/>
      <c r="AK53" s="14" t="n"/>
      <c r="AL53" s="16" t="n"/>
      <c r="AM53" s="14" t="n"/>
      <c r="AN53" s="15" t="n"/>
      <c r="AO53" s="14" t="n"/>
      <c r="AP53" s="16" t="n"/>
      <c r="AQ53" s="14" t="n"/>
      <c r="AR53" s="15" t="n"/>
      <c r="AS53" s="14" t="n"/>
      <c r="AT53" s="15" t="n"/>
      <c r="AU53" s="12" t="n"/>
      <c r="AV53" s="15" t="n"/>
      <c r="AW53" s="14" t="n"/>
      <c r="AX53" s="15" t="n"/>
      <c r="AY53" s="12" t="n"/>
      <c r="AZ53" s="15" t="n"/>
      <c r="BA53" s="14" t="n"/>
      <c r="BB53" s="15" t="n"/>
      <c r="BC53" s="12" t="n"/>
      <c r="BD53" s="15" t="n"/>
      <c r="BE53" s="14" t="n"/>
      <c r="BF53" s="15" t="n"/>
      <c r="BG53" s="14" t="n"/>
      <c r="BH53" s="16" t="n"/>
      <c r="BI53" s="14" t="n"/>
      <c r="BJ53" s="15" t="n"/>
      <c r="BK53" s="14" t="n"/>
      <c r="BL53" s="16" t="n"/>
      <c r="BM53" s="14" t="n"/>
      <c r="BN53" s="15" t="n"/>
      <c r="BO53" s="14" t="n"/>
      <c r="BP53" s="16" t="n"/>
      <c r="BQ53" s="14" t="n"/>
      <c r="BR53" s="15" t="n"/>
      <c r="BS53" s="14" t="n"/>
      <c r="BT53" s="15" t="n"/>
      <c r="BU53" s="12" t="n"/>
      <c r="BV53" s="15" t="n"/>
      <c r="BW53" s="14" t="n"/>
      <c r="BX53" s="15" t="n"/>
      <c r="BY53" s="12" t="n"/>
      <c r="BZ53" s="15" t="n"/>
      <c r="CA53" s="14" t="n"/>
      <c r="CB53" s="15" t="n"/>
      <c r="CC53" s="12" t="n"/>
      <c r="CD53" s="15" t="n"/>
      <c r="CE53" s="14" t="n"/>
      <c r="CF53" s="15" t="n"/>
      <c r="CG53" s="14" t="n"/>
      <c r="CH53" s="16" t="n"/>
      <c r="CI53" s="14" t="n"/>
      <c r="CJ53" s="15" t="n"/>
      <c r="CK53" s="14" t="n"/>
      <c r="CL53" s="16" t="n"/>
      <c r="CM53" s="14" t="n"/>
      <c r="CN53" s="15" t="n"/>
      <c r="CO53" s="14" t="n"/>
      <c r="CP53" s="15" t="n"/>
      <c r="CQ53" s="12" t="n"/>
      <c r="CR53" s="15" t="n"/>
      <c r="CS53" s="14" t="n"/>
      <c r="CT53" s="15" t="n"/>
      <c r="CU53" s="12" t="n"/>
      <c r="CV53" s="15" t="n"/>
      <c r="CW53" s="14" t="n"/>
      <c r="CX53" s="15" t="n"/>
    </row>
    <row r="54" ht="14" customHeight="1">
      <c r="A54" s="40" t="inlineStr">
        <is>
          <t>S3-07</t>
        </is>
      </c>
      <c r="B54" s="41" t="inlineStr">
        <is>
          <t>Emisión Ingeniería Constructiva Sala #3</t>
        </is>
      </c>
      <c r="C54" s="42" t="inlineStr">
        <is>
          <t>S3</t>
        </is>
      </c>
      <c r="D54" s="40" t="inlineStr">
        <is>
          <t>17/08/2026</t>
        </is>
      </c>
      <c r="E54" s="40" t="inlineStr">
        <is>
          <t>28/08/2026</t>
        </is>
      </c>
      <c r="F54" s="43" t="inlineStr">
        <is>
          <t>—</t>
        </is>
      </c>
      <c r="G54" s="12" t="n"/>
      <c r="H54" s="15" t="n"/>
      <c r="I54" s="14" t="n"/>
      <c r="J54" s="15" t="n"/>
      <c r="K54" s="14" t="n"/>
      <c r="L54" s="16" t="n"/>
      <c r="M54" s="14" t="n"/>
      <c r="N54" s="15" t="n"/>
      <c r="O54" s="14" t="n"/>
      <c r="P54" s="16" t="n"/>
      <c r="Q54" s="14" t="n"/>
      <c r="R54" s="15" t="n"/>
      <c r="S54" s="14" t="n"/>
      <c r="T54" s="15" t="n"/>
      <c r="U54" s="12" t="n"/>
      <c r="V54" s="44" t="n"/>
      <c r="W54" s="44" t="n"/>
      <c r="X54" s="44" t="n"/>
      <c r="Y54" s="12" t="n"/>
      <c r="Z54" s="15" t="n"/>
      <c r="AA54" s="14" t="n"/>
      <c r="AB54" s="15" t="n"/>
      <c r="AC54" s="12" t="n"/>
      <c r="AD54" s="15" t="n"/>
      <c r="AE54" s="14" t="n"/>
      <c r="AF54" s="15" t="n"/>
      <c r="AG54" s="14" t="n"/>
      <c r="AH54" s="16" t="n"/>
      <c r="AI54" s="14" t="n"/>
      <c r="AJ54" s="15" t="n"/>
      <c r="AK54" s="14" t="n"/>
      <c r="AL54" s="16" t="n"/>
      <c r="AM54" s="14" t="n"/>
      <c r="AN54" s="15" t="n"/>
      <c r="AO54" s="14" t="n"/>
      <c r="AP54" s="16" t="n"/>
      <c r="AQ54" s="14" t="n"/>
      <c r="AR54" s="15" t="n"/>
      <c r="AS54" s="14" t="n"/>
      <c r="AT54" s="15" t="n"/>
      <c r="AU54" s="12" t="n"/>
      <c r="AV54" s="15" t="n"/>
      <c r="AW54" s="14" t="n"/>
      <c r="AX54" s="15" t="n"/>
      <c r="AY54" s="12" t="n"/>
      <c r="AZ54" s="15" t="n"/>
      <c r="BA54" s="14" t="n"/>
      <c r="BB54" s="15" t="n"/>
      <c r="BC54" s="12" t="n"/>
      <c r="BD54" s="15" t="n"/>
      <c r="BE54" s="14" t="n"/>
      <c r="BF54" s="15" t="n"/>
      <c r="BG54" s="14" t="n"/>
      <c r="BH54" s="16" t="n"/>
      <c r="BI54" s="14" t="n"/>
      <c r="BJ54" s="15" t="n"/>
      <c r="BK54" s="14" t="n"/>
      <c r="BL54" s="16" t="n"/>
      <c r="BM54" s="14" t="n"/>
      <c r="BN54" s="15" t="n"/>
      <c r="BO54" s="14" t="n"/>
      <c r="BP54" s="16" t="n"/>
      <c r="BQ54" s="14" t="n"/>
      <c r="BR54" s="15" t="n"/>
      <c r="BS54" s="14" t="n"/>
      <c r="BT54" s="15" t="n"/>
      <c r="BU54" s="12" t="n"/>
      <c r="BV54" s="15" t="n"/>
      <c r="BW54" s="14" t="n"/>
      <c r="BX54" s="15" t="n"/>
      <c r="BY54" s="12" t="n"/>
      <c r="BZ54" s="15" t="n"/>
      <c r="CA54" s="14" t="n"/>
      <c r="CB54" s="15" t="n"/>
      <c r="CC54" s="12" t="n"/>
      <c r="CD54" s="15" t="n"/>
      <c r="CE54" s="14" t="n"/>
      <c r="CF54" s="15" t="n"/>
      <c r="CG54" s="14" t="n"/>
      <c r="CH54" s="16" t="n"/>
      <c r="CI54" s="14" t="n"/>
      <c r="CJ54" s="15" t="n"/>
      <c r="CK54" s="14" t="n"/>
      <c r="CL54" s="16" t="n"/>
      <c r="CM54" s="14" t="n"/>
      <c r="CN54" s="15" t="n"/>
      <c r="CO54" s="14" t="n"/>
      <c r="CP54" s="15" t="n"/>
      <c r="CQ54" s="12" t="n"/>
      <c r="CR54" s="15" t="n"/>
      <c r="CS54" s="14" t="n"/>
      <c r="CT54" s="15" t="n"/>
      <c r="CU54" s="12" t="n"/>
      <c r="CV54" s="15" t="n"/>
      <c r="CW54" s="14" t="n"/>
      <c r="CX54" s="15" t="n"/>
    </row>
    <row r="55" ht="14" customHeight="1">
      <c r="A55" s="40" t="inlineStr">
        <is>
          <t>S3-08</t>
        </is>
      </c>
      <c r="B55" s="41" t="inlineStr">
        <is>
          <t>Aprobación IC Sala #3 (AESA — 10 días hábiles)</t>
        </is>
      </c>
      <c r="C55" s="42" t="inlineStr">
        <is>
          <t>S3</t>
        </is>
      </c>
      <c r="D55" s="40" t="inlineStr">
        <is>
          <t>01/09/2026</t>
        </is>
      </c>
      <c r="E55" s="40" t="inlineStr">
        <is>
          <t>12/09/2026</t>
        </is>
      </c>
      <c r="F55" s="43" t="inlineStr">
        <is>
          <t>—</t>
        </is>
      </c>
      <c r="G55" s="12" t="n"/>
      <c r="H55" s="15" t="n"/>
      <c r="I55" s="14" t="n"/>
      <c r="J55" s="15" t="n"/>
      <c r="K55" s="14" t="n"/>
      <c r="L55" s="16" t="n"/>
      <c r="M55" s="14" t="n"/>
      <c r="N55" s="15" t="n"/>
      <c r="O55" s="14" t="n"/>
      <c r="P55" s="16" t="n"/>
      <c r="Q55" s="14" t="n"/>
      <c r="R55" s="15" t="n"/>
      <c r="S55" s="14" t="n"/>
      <c r="T55" s="15" t="n"/>
      <c r="U55" s="12" t="n"/>
      <c r="V55" s="15" t="n"/>
      <c r="W55" s="14" t="n"/>
      <c r="X55" s="44" t="n"/>
      <c r="Y55" s="45" t="n"/>
      <c r="Z55" s="44" t="n"/>
      <c r="AA55" s="14" t="n"/>
      <c r="AB55" s="15" t="n"/>
      <c r="AC55" s="12" t="n"/>
      <c r="AD55" s="15" t="n"/>
      <c r="AE55" s="14" t="n"/>
      <c r="AF55" s="15" t="n"/>
      <c r="AG55" s="14" t="n"/>
      <c r="AH55" s="16" t="n"/>
      <c r="AI55" s="14" t="n"/>
      <c r="AJ55" s="15" t="n"/>
      <c r="AK55" s="14" t="n"/>
      <c r="AL55" s="16" t="n"/>
      <c r="AM55" s="14" t="n"/>
      <c r="AN55" s="15" t="n"/>
      <c r="AO55" s="14" t="n"/>
      <c r="AP55" s="16" t="n"/>
      <c r="AQ55" s="14" t="n"/>
      <c r="AR55" s="15" t="n"/>
      <c r="AS55" s="14" t="n"/>
      <c r="AT55" s="15" t="n"/>
      <c r="AU55" s="12" t="n"/>
      <c r="AV55" s="15" t="n"/>
      <c r="AW55" s="14" t="n"/>
      <c r="AX55" s="15" t="n"/>
      <c r="AY55" s="12" t="n"/>
      <c r="AZ55" s="15" t="n"/>
      <c r="BA55" s="14" t="n"/>
      <c r="BB55" s="15" t="n"/>
      <c r="BC55" s="12" t="n"/>
      <c r="BD55" s="15" t="n"/>
      <c r="BE55" s="14" t="n"/>
      <c r="BF55" s="15" t="n"/>
      <c r="BG55" s="14" t="n"/>
      <c r="BH55" s="16" t="n"/>
      <c r="BI55" s="14" t="n"/>
      <c r="BJ55" s="15" t="n"/>
      <c r="BK55" s="14" t="n"/>
      <c r="BL55" s="16" t="n"/>
      <c r="BM55" s="14" t="n"/>
      <c r="BN55" s="15" t="n"/>
      <c r="BO55" s="14" t="n"/>
      <c r="BP55" s="16" t="n"/>
      <c r="BQ55" s="14" t="n"/>
      <c r="BR55" s="15" t="n"/>
      <c r="BS55" s="14" t="n"/>
      <c r="BT55" s="15" t="n"/>
      <c r="BU55" s="12" t="n"/>
      <c r="BV55" s="15" t="n"/>
      <c r="BW55" s="14" t="n"/>
      <c r="BX55" s="15" t="n"/>
      <c r="BY55" s="12" t="n"/>
      <c r="BZ55" s="15" t="n"/>
      <c r="CA55" s="14" t="n"/>
      <c r="CB55" s="15" t="n"/>
      <c r="CC55" s="12" t="n"/>
      <c r="CD55" s="15" t="n"/>
      <c r="CE55" s="14" t="n"/>
      <c r="CF55" s="15" t="n"/>
      <c r="CG55" s="14" t="n"/>
      <c r="CH55" s="16" t="n"/>
      <c r="CI55" s="14" t="n"/>
      <c r="CJ55" s="15" t="n"/>
      <c r="CK55" s="14" t="n"/>
      <c r="CL55" s="16" t="n"/>
      <c r="CM55" s="14" t="n"/>
      <c r="CN55" s="15" t="n"/>
      <c r="CO55" s="14" t="n"/>
      <c r="CP55" s="15" t="n"/>
      <c r="CQ55" s="12" t="n"/>
      <c r="CR55" s="15" t="n"/>
      <c r="CS55" s="14" t="n"/>
      <c r="CT55" s="15" t="n"/>
      <c r="CU55" s="12" t="n"/>
      <c r="CV55" s="15" t="n"/>
      <c r="CW55" s="14" t="n"/>
      <c r="CX55" s="15" t="n"/>
    </row>
    <row r="56" ht="13" customHeight="1">
      <c r="A56" s="40" t="inlineStr">
        <is>
          <t>FP-S3-3</t>
        </is>
      </c>
      <c r="B56" s="41" t="inlineStr">
        <is>
          <t>◆ FREEZING POINT — Ing. Constructiva Sala #3  ← ÚLTIMO FP ABB</t>
        </is>
      </c>
      <c r="C56" s="42" t="inlineStr">
        <is>
          <t>S3</t>
        </is>
      </c>
      <c r="D56" s="40" t="inlineStr">
        <is>
          <t>31/08/2026</t>
        </is>
      </c>
      <c r="E56" s="40" t="inlineStr">
        <is>
          <t>31/08/2026</t>
        </is>
      </c>
      <c r="F56" s="43" t="inlineStr">
        <is>
          <t>—</t>
        </is>
      </c>
      <c r="G56" s="12" t="n"/>
      <c r="H56" s="15" t="n"/>
      <c r="I56" s="14" t="n"/>
      <c r="J56" s="15" t="n"/>
      <c r="K56" s="14" t="n"/>
      <c r="L56" s="16" t="n"/>
      <c r="M56" s="14" t="n"/>
      <c r="N56" s="15" t="n"/>
      <c r="O56" s="14" t="n"/>
      <c r="P56" s="16" t="n"/>
      <c r="Q56" s="14" t="n"/>
      <c r="R56" s="15" t="n"/>
      <c r="S56" s="14" t="n"/>
      <c r="T56" s="15" t="n"/>
      <c r="U56" s="12" t="n"/>
      <c r="V56" s="15" t="n"/>
      <c r="W56" s="14" t="n"/>
      <c r="X56" s="27" t="inlineStr">
        <is>
          <t>◆</t>
        </is>
      </c>
      <c r="Y56" s="12" t="n"/>
      <c r="Z56" s="15" t="n"/>
      <c r="AA56" s="14" t="n"/>
      <c r="AB56" s="15" t="n"/>
      <c r="AC56" s="12" t="n"/>
      <c r="AD56" s="15" t="n"/>
      <c r="AE56" s="14" t="n"/>
      <c r="AF56" s="15" t="n"/>
      <c r="AG56" s="14" t="n"/>
      <c r="AH56" s="16" t="n"/>
      <c r="AI56" s="14" t="n"/>
      <c r="AJ56" s="15" t="n"/>
      <c r="AK56" s="14" t="n"/>
      <c r="AL56" s="16" t="n"/>
      <c r="AM56" s="14" t="n"/>
      <c r="AN56" s="15" t="n"/>
      <c r="AO56" s="14" t="n"/>
      <c r="AP56" s="16" t="n"/>
      <c r="AQ56" s="14" t="n"/>
      <c r="AR56" s="15" t="n"/>
      <c r="AS56" s="14" t="n"/>
      <c r="AT56" s="15" t="n"/>
      <c r="AU56" s="12" t="n"/>
      <c r="AV56" s="15" t="n"/>
      <c r="AW56" s="14" t="n"/>
      <c r="AX56" s="15" t="n"/>
      <c r="AY56" s="12" t="n"/>
      <c r="AZ56" s="15" t="n"/>
      <c r="BA56" s="14" t="n"/>
      <c r="BB56" s="15" t="n"/>
      <c r="BC56" s="12" t="n"/>
      <c r="BD56" s="15" t="n"/>
      <c r="BE56" s="14" t="n"/>
      <c r="BF56" s="15" t="n"/>
      <c r="BG56" s="14" t="n"/>
      <c r="BH56" s="16" t="n"/>
      <c r="BI56" s="14" t="n"/>
      <c r="BJ56" s="15" t="n"/>
      <c r="BK56" s="14" t="n"/>
      <c r="BL56" s="16" t="n"/>
      <c r="BM56" s="14" t="n"/>
      <c r="BN56" s="15" t="n"/>
      <c r="BO56" s="14" t="n"/>
      <c r="BP56" s="16" t="n"/>
      <c r="BQ56" s="14" t="n"/>
      <c r="BR56" s="15" t="n"/>
      <c r="BS56" s="14" t="n"/>
      <c r="BT56" s="15" t="n"/>
      <c r="BU56" s="12" t="n"/>
      <c r="BV56" s="15" t="n"/>
      <c r="BW56" s="14" t="n"/>
      <c r="BX56" s="15" t="n"/>
      <c r="BY56" s="12" t="n"/>
      <c r="BZ56" s="15" t="n"/>
      <c r="CA56" s="14" t="n"/>
      <c r="CB56" s="15" t="n"/>
      <c r="CC56" s="12" t="n"/>
      <c r="CD56" s="15" t="n"/>
      <c r="CE56" s="14" t="n"/>
      <c r="CF56" s="15" t="n"/>
      <c r="CG56" s="14" t="n"/>
      <c r="CH56" s="16" t="n"/>
      <c r="CI56" s="14" t="n"/>
      <c r="CJ56" s="15" t="n"/>
      <c r="CK56" s="14" t="n"/>
      <c r="CL56" s="16" t="n"/>
      <c r="CM56" s="14" t="n"/>
      <c r="CN56" s="15" t="n"/>
      <c r="CO56" s="14" t="n"/>
      <c r="CP56" s="15" t="n"/>
      <c r="CQ56" s="12" t="n"/>
      <c r="CR56" s="15" t="n"/>
      <c r="CS56" s="14" t="n"/>
      <c r="CT56" s="15" t="n"/>
      <c r="CU56" s="12" t="n"/>
      <c r="CV56" s="15" t="n"/>
      <c r="CW56" s="14" t="n"/>
      <c r="CX56" s="15" t="n"/>
    </row>
    <row r="57" ht="14" customHeight="1">
      <c r="A57" s="40" t="inlineStr">
        <is>
          <t>S3-09</t>
        </is>
      </c>
      <c r="B57" s="41" t="inlineStr">
        <is>
          <t>Fabricación Tableros S#3 (37 CCMs — Brasil M&amp;B)</t>
        </is>
      </c>
      <c r="C57" s="42" t="inlineStr">
        <is>
          <t>S3</t>
        </is>
      </c>
      <c r="D57" s="40" t="inlineStr">
        <is>
          <t>14/09/2026</t>
        </is>
      </c>
      <c r="E57" s="40" t="inlineStr">
        <is>
          <t>02/11/2026</t>
        </is>
      </c>
      <c r="F57" s="43" t="inlineStr">
        <is>
          <t>—</t>
        </is>
      </c>
      <c r="G57" s="12" t="n"/>
      <c r="H57" s="15" t="n"/>
      <c r="I57" s="14" t="n"/>
      <c r="J57" s="15" t="n"/>
      <c r="K57" s="14" t="n"/>
      <c r="L57" s="16" t="n"/>
      <c r="M57" s="14" t="n"/>
      <c r="N57" s="15" t="n"/>
      <c r="O57" s="14" t="n"/>
      <c r="P57" s="16" t="n"/>
      <c r="Q57" s="14" t="n"/>
      <c r="R57" s="15" t="n"/>
      <c r="S57" s="14" t="n"/>
      <c r="T57" s="15" t="n"/>
      <c r="U57" s="12" t="n"/>
      <c r="V57" s="15" t="n"/>
      <c r="W57" s="14" t="n"/>
      <c r="X57" s="15" t="n"/>
      <c r="Y57" s="12" t="n"/>
      <c r="Z57" s="44" t="n"/>
      <c r="AA57" s="44" t="n"/>
      <c r="AB57" s="44" t="n"/>
      <c r="AC57" s="45" t="n"/>
      <c r="AD57" s="44" t="n"/>
      <c r="AE57" s="44" t="n"/>
      <c r="AF57" s="44" t="n"/>
      <c r="AG57" s="44" t="n"/>
      <c r="AH57" s="16" t="n"/>
      <c r="AI57" s="14" t="n"/>
      <c r="AJ57" s="15" t="n"/>
      <c r="AK57" s="14" t="n"/>
      <c r="AL57" s="16" t="n"/>
      <c r="AM57" s="14" t="n"/>
      <c r="AN57" s="15" t="n"/>
      <c r="AO57" s="14" t="n"/>
      <c r="AP57" s="16" t="n"/>
      <c r="AQ57" s="14" t="n"/>
      <c r="AR57" s="15" t="n"/>
      <c r="AS57" s="14" t="n"/>
      <c r="AT57" s="15" t="n"/>
      <c r="AU57" s="12" t="n"/>
      <c r="AV57" s="15" t="n"/>
      <c r="AW57" s="14" t="n"/>
      <c r="AX57" s="15" t="n"/>
      <c r="AY57" s="12" t="n"/>
      <c r="AZ57" s="15" t="n"/>
      <c r="BA57" s="14" t="n"/>
      <c r="BB57" s="15" t="n"/>
      <c r="BC57" s="12" t="n"/>
      <c r="BD57" s="15" t="n"/>
      <c r="BE57" s="14" t="n"/>
      <c r="BF57" s="15" t="n"/>
      <c r="BG57" s="14" t="n"/>
      <c r="BH57" s="16" t="n"/>
      <c r="BI57" s="14" t="n"/>
      <c r="BJ57" s="15" t="n"/>
      <c r="BK57" s="14" t="n"/>
      <c r="BL57" s="16" t="n"/>
      <c r="BM57" s="14" t="n"/>
      <c r="BN57" s="15" t="n"/>
      <c r="BO57" s="14" t="n"/>
      <c r="BP57" s="16" t="n"/>
      <c r="BQ57" s="14" t="n"/>
      <c r="BR57" s="15" t="n"/>
      <c r="BS57" s="14" t="n"/>
      <c r="BT57" s="15" t="n"/>
      <c r="BU57" s="12" t="n"/>
      <c r="BV57" s="15" t="n"/>
      <c r="BW57" s="14" t="n"/>
      <c r="BX57" s="15" t="n"/>
      <c r="BY57" s="12" t="n"/>
      <c r="BZ57" s="15" t="n"/>
      <c r="CA57" s="14" t="n"/>
      <c r="CB57" s="15" t="n"/>
      <c r="CC57" s="12" t="n"/>
      <c r="CD57" s="15" t="n"/>
      <c r="CE57" s="14" t="n"/>
      <c r="CF57" s="15" t="n"/>
      <c r="CG57" s="14" t="n"/>
      <c r="CH57" s="16" t="n"/>
      <c r="CI57" s="14" t="n"/>
      <c r="CJ57" s="15" t="n"/>
      <c r="CK57" s="14" t="n"/>
      <c r="CL57" s="16" t="n"/>
      <c r="CM57" s="14" t="n"/>
      <c r="CN57" s="15" t="n"/>
      <c r="CO57" s="14" t="n"/>
      <c r="CP57" s="15" t="n"/>
      <c r="CQ57" s="12" t="n"/>
      <c r="CR57" s="15" t="n"/>
      <c r="CS57" s="14" t="n"/>
      <c r="CT57" s="15" t="n"/>
      <c r="CU57" s="12" t="n"/>
      <c r="CV57" s="15" t="n"/>
      <c r="CW57" s="14" t="n"/>
      <c r="CX57" s="15" t="n"/>
    </row>
    <row r="58" ht="14" customHeight="1">
      <c r="A58" s="40" t="inlineStr">
        <is>
          <t>S3-10</t>
        </is>
      </c>
      <c r="B58" s="41" t="inlineStr">
        <is>
          <t>Ensayos Celdas y Tableros BT Sala #3</t>
        </is>
      </c>
      <c r="C58" s="42" t="inlineStr">
        <is>
          <t>S3</t>
        </is>
      </c>
      <c r="D58" s="40" t="inlineStr">
        <is>
          <t>03/11/2026</t>
        </is>
      </c>
      <c r="E58" s="40" t="inlineStr">
        <is>
          <t>23/11/2026</t>
        </is>
      </c>
      <c r="F58" s="43" t="inlineStr">
        <is>
          <t>—</t>
        </is>
      </c>
      <c r="G58" s="12" t="n"/>
      <c r="H58" s="15" t="n"/>
      <c r="I58" s="14" t="n"/>
      <c r="J58" s="15" t="n"/>
      <c r="K58" s="14" t="n"/>
      <c r="L58" s="16" t="n"/>
      <c r="M58" s="14" t="n"/>
      <c r="N58" s="15" t="n"/>
      <c r="O58" s="14" t="n"/>
      <c r="P58" s="16" t="n"/>
      <c r="Q58" s="14" t="n"/>
      <c r="R58" s="15" t="n"/>
      <c r="S58" s="14" t="n"/>
      <c r="T58" s="15" t="n"/>
      <c r="U58" s="12" t="n"/>
      <c r="V58" s="15" t="n"/>
      <c r="W58" s="14" t="n"/>
      <c r="X58" s="15" t="n"/>
      <c r="Y58" s="12" t="n"/>
      <c r="Z58" s="15" t="n"/>
      <c r="AA58" s="14" t="n"/>
      <c r="AB58" s="15" t="n"/>
      <c r="AC58" s="12" t="n"/>
      <c r="AD58" s="15" t="n"/>
      <c r="AE58" s="14" t="n"/>
      <c r="AF58" s="15" t="n"/>
      <c r="AG58" s="28" t="n"/>
      <c r="AH58" s="29" t="n"/>
      <c r="AI58" s="28" t="n"/>
      <c r="AJ58" s="28" t="n"/>
      <c r="AK58" s="14" t="n"/>
      <c r="AL58" s="16" t="n"/>
      <c r="AM58" s="14" t="n"/>
      <c r="AN58" s="15" t="n"/>
      <c r="AO58" s="14" t="n"/>
      <c r="AP58" s="16" t="n"/>
      <c r="AQ58" s="14" t="n"/>
      <c r="AR58" s="15" t="n"/>
      <c r="AS58" s="14" t="n"/>
      <c r="AT58" s="15" t="n"/>
      <c r="AU58" s="12" t="n"/>
      <c r="AV58" s="15" t="n"/>
      <c r="AW58" s="14" t="n"/>
      <c r="AX58" s="15" t="n"/>
      <c r="AY58" s="12" t="n"/>
      <c r="AZ58" s="15" t="n"/>
      <c r="BA58" s="14" t="n"/>
      <c r="BB58" s="15" t="n"/>
      <c r="BC58" s="12" t="n"/>
      <c r="BD58" s="15" t="n"/>
      <c r="BE58" s="14" t="n"/>
      <c r="BF58" s="15" t="n"/>
      <c r="BG58" s="14" t="n"/>
      <c r="BH58" s="16" t="n"/>
      <c r="BI58" s="14" t="n"/>
      <c r="BJ58" s="15" t="n"/>
      <c r="BK58" s="14" t="n"/>
      <c r="BL58" s="16" t="n"/>
      <c r="BM58" s="14" t="n"/>
      <c r="BN58" s="15" t="n"/>
      <c r="BO58" s="14" t="n"/>
      <c r="BP58" s="16" t="n"/>
      <c r="BQ58" s="14" t="n"/>
      <c r="BR58" s="15" t="n"/>
      <c r="BS58" s="14" t="n"/>
      <c r="BT58" s="15" t="n"/>
      <c r="BU58" s="12" t="n"/>
      <c r="BV58" s="15" t="n"/>
      <c r="BW58" s="14" t="n"/>
      <c r="BX58" s="15" t="n"/>
      <c r="BY58" s="12" t="n"/>
      <c r="BZ58" s="15" t="n"/>
      <c r="CA58" s="14" t="n"/>
      <c r="CB58" s="15" t="n"/>
      <c r="CC58" s="12" t="n"/>
      <c r="CD58" s="15" t="n"/>
      <c r="CE58" s="14" t="n"/>
      <c r="CF58" s="15" t="n"/>
      <c r="CG58" s="14" t="n"/>
      <c r="CH58" s="16" t="n"/>
      <c r="CI58" s="14" t="n"/>
      <c r="CJ58" s="15" t="n"/>
      <c r="CK58" s="14" t="n"/>
      <c r="CL58" s="16" t="n"/>
      <c r="CM58" s="14" t="n"/>
      <c r="CN58" s="15" t="n"/>
      <c r="CO58" s="14" t="n"/>
      <c r="CP58" s="15" t="n"/>
      <c r="CQ58" s="12" t="n"/>
      <c r="CR58" s="15" t="n"/>
      <c r="CS58" s="14" t="n"/>
      <c r="CT58" s="15" t="n"/>
      <c r="CU58" s="12" t="n"/>
      <c r="CV58" s="15" t="n"/>
      <c r="CW58" s="14" t="n"/>
      <c r="CX58" s="15" t="n"/>
    </row>
    <row r="59" ht="14" customHeight="1">
      <c r="A59" s="40" t="inlineStr">
        <is>
          <t>S3-11</t>
        </is>
      </c>
      <c r="B59" s="41" t="inlineStr">
        <is>
          <t>Acopio materiales en Argentina (celdas + VFDs + ductos S#3)</t>
        </is>
      </c>
      <c r="C59" s="42" t="inlineStr">
        <is>
          <t>S3</t>
        </is>
      </c>
      <c r="D59" s="40" t="inlineStr">
        <is>
          <t>07/12/2026</t>
        </is>
      </c>
      <c r="E59" s="40" t="inlineStr">
        <is>
          <t>29/01/2027</t>
        </is>
      </c>
      <c r="F59" s="43" t="inlineStr">
        <is>
          <t>—</t>
        </is>
      </c>
      <c r="G59" s="12" t="n"/>
      <c r="H59" s="15" t="n"/>
      <c r="I59" s="14" t="n"/>
      <c r="J59" s="15" t="n"/>
      <c r="K59" s="14" t="n"/>
      <c r="L59" s="16" t="n"/>
      <c r="M59" s="14" t="n"/>
      <c r="N59" s="15" t="n"/>
      <c r="O59" s="14" t="n"/>
      <c r="P59" s="16" t="n"/>
      <c r="Q59" s="14" t="n"/>
      <c r="R59" s="15" t="n"/>
      <c r="S59" s="14" t="n"/>
      <c r="T59" s="15" t="n"/>
      <c r="U59" s="12" t="n"/>
      <c r="V59" s="15" t="n"/>
      <c r="W59" s="14" t="n"/>
      <c r="X59" s="15" t="n"/>
      <c r="Y59" s="12" t="n"/>
      <c r="Z59" s="15" t="n"/>
      <c r="AA59" s="14" t="n"/>
      <c r="AB59" s="15" t="n"/>
      <c r="AC59" s="12" t="n"/>
      <c r="AD59" s="15" t="n"/>
      <c r="AE59" s="14" t="n"/>
      <c r="AF59" s="15" t="n"/>
      <c r="AG59" s="14" t="n"/>
      <c r="AH59" s="16" t="n"/>
      <c r="AI59" s="14" t="n"/>
      <c r="AJ59" s="15" t="n"/>
      <c r="AK59" s="14" t="n"/>
      <c r="AL59" s="45" t="n"/>
      <c r="AM59" s="44" t="n"/>
      <c r="AN59" s="44" t="n"/>
      <c r="AO59" s="44" t="n"/>
      <c r="AP59" s="45" t="n"/>
      <c r="AQ59" s="44" t="n"/>
      <c r="AR59" s="44" t="n"/>
      <c r="AS59" s="44" t="n"/>
      <c r="AT59" s="44" t="n"/>
      <c r="AU59" s="12" t="n"/>
      <c r="AV59" s="15" t="n"/>
      <c r="AW59" s="14" t="n"/>
      <c r="AX59" s="15" t="n"/>
      <c r="AY59" s="12" t="n"/>
      <c r="AZ59" s="15" t="n"/>
      <c r="BA59" s="14" t="n"/>
      <c r="BB59" s="15" t="n"/>
      <c r="BC59" s="12" t="n"/>
      <c r="BD59" s="15" t="n"/>
      <c r="BE59" s="14" t="n"/>
      <c r="BF59" s="15" t="n"/>
      <c r="BG59" s="14" t="n"/>
      <c r="BH59" s="16" t="n"/>
      <c r="BI59" s="14" t="n"/>
      <c r="BJ59" s="15" t="n"/>
      <c r="BK59" s="14" t="n"/>
      <c r="BL59" s="16" t="n"/>
      <c r="BM59" s="14" t="n"/>
      <c r="BN59" s="15" t="n"/>
      <c r="BO59" s="14" t="n"/>
      <c r="BP59" s="16" t="n"/>
      <c r="BQ59" s="14" t="n"/>
      <c r="BR59" s="15" t="n"/>
      <c r="BS59" s="14" t="n"/>
      <c r="BT59" s="15" t="n"/>
      <c r="BU59" s="12" t="n"/>
      <c r="BV59" s="15" t="n"/>
      <c r="BW59" s="14" t="n"/>
      <c r="BX59" s="15" t="n"/>
      <c r="BY59" s="12" t="n"/>
      <c r="BZ59" s="15" t="n"/>
      <c r="CA59" s="14" t="n"/>
      <c r="CB59" s="15" t="n"/>
      <c r="CC59" s="12" t="n"/>
      <c r="CD59" s="15" t="n"/>
      <c r="CE59" s="14" t="n"/>
      <c r="CF59" s="15" t="n"/>
      <c r="CG59" s="14" t="n"/>
      <c r="CH59" s="16" t="n"/>
      <c r="CI59" s="14" t="n"/>
      <c r="CJ59" s="15" t="n"/>
      <c r="CK59" s="14" t="n"/>
      <c r="CL59" s="16" t="n"/>
      <c r="CM59" s="14" t="n"/>
      <c r="CN59" s="15" t="n"/>
      <c r="CO59" s="14" t="n"/>
      <c r="CP59" s="15" t="n"/>
      <c r="CQ59" s="12" t="n"/>
      <c r="CR59" s="15" t="n"/>
      <c r="CS59" s="14" t="n"/>
      <c r="CT59" s="15" t="n"/>
      <c r="CU59" s="12" t="n"/>
      <c r="CV59" s="15" t="n"/>
      <c r="CW59" s="14" t="n"/>
      <c r="CX59" s="15" t="n"/>
    </row>
    <row r="60" ht="14" customHeight="1">
      <c r="A60" s="40" t="inlineStr">
        <is>
          <t>S3-12</t>
        </is>
      </c>
      <c r="B60" s="41" t="inlineStr">
        <is>
          <t>Montaje e integración en Shelter S#3 (Bottino — Mendoza)</t>
        </is>
      </c>
      <c r="C60" s="42" t="inlineStr">
        <is>
          <t>S3</t>
        </is>
      </c>
      <c r="D60" s="40" t="inlineStr">
        <is>
          <t>01/02/2027</t>
        </is>
      </c>
      <c r="E60" s="40" t="inlineStr">
        <is>
          <t>26/03/2027</t>
        </is>
      </c>
      <c r="F60" s="43" t="inlineStr">
        <is>
          <t>—</t>
        </is>
      </c>
      <c r="G60" s="12" t="n"/>
      <c r="H60" s="15" t="n"/>
      <c r="I60" s="14" t="n"/>
      <c r="J60" s="15" t="n"/>
      <c r="K60" s="14" t="n"/>
      <c r="L60" s="16" t="n"/>
      <c r="M60" s="14" t="n"/>
      <c r="N60" s="15" t="n"/>
      <c r="O60" s="14" t="n"/>
      <c r="P60" s="16" t="n"/>
      <c r="Q60" s="14" t="n"/>
      <c r="R60" s="15" t="n"/>
      <c r="S60" s="14" t="n"/>
      <c r="T60" s="15" t="n"/>
      <c r="U60" s="12" t="n"/>
      <c r="V60" s="15" t="n"/>
      <c r="W60" s="14" t="n"/>
      <c r="X60" s="15" t="n"/>
      <c r="Y60" s="12" t="n"/>
      <c r="Z60" s="15" t="n"/>
      <c r="AA60" s="14" t="n"/>
      <c r="AB60" s="15" t="n"/>
      <c r="AC60" s="12" t="n"/>
      <c r="AD60" s="15" t="n"/>
      <c r="AE60" s="14" t="n"/>
      <c r="AF60" s="15" t="n"/>
      <c r="AG60" s="14" t="n"/>
      <c r="AH60" s="16" t="n"/>
      <c r="AI60" s="14" t="n"/>
      <c r="AJ60" s="15" t="n"/>
      <c r="AK60" s="14" t="n"/>
      <c r="AL60" s="16" t="n"/>
      <c r="AM60" s="14" t="n"/>
      <c r="AN60" s="15" t="n"/>
      <c r="AO60" s="14" t="n"/>
      <c r="AP60" s="16" t="n"/>
      <c r="AQ60" s="14" t="n"/>
      <c r="AR60" s="15" t="n"/>
      <c r="AS60" s="14" t="n"/>
      <c r="AT60" s="44" t="n"/>
      <c r="AU60" s="45" t="n"/>
      <c r="AV60" s="44" t="n"/>
      <c r="AW60" s="44" t="n"/>
      <c r="AX60" s="44" t="n"/>
      <c r="AY60" s="45" t="n"/>
      <c r="AZ60" s="44" t="n"/>
      <c r="BA60" s="44" t="n"/>
      <c r="BB60" s="44" t="n"/>
      <c r="BC60" s="12" t="n"/>
      <c r="BD60" s="15" t="n"/>
      <c r="BE60" s="14" t="n"/>
      <c r="BF60" s="15" t="n"/>
      <c r="BG60" s="14" t="n"/>
      <c r="BH60" s="16" t="n"/>
      <c r="BI60" s="14" t="n"/>
      <c r="BJ60" s="15" t="n"/>
      <c r="BK60" s="14" t="n"/>
      <c r="BL60" s="16" t="n"/>
      <c r="BM60" s="14" t="n"/>
      <c r="BN60" s="15" t="n"/>
      <c r="BO60" s="14" t="n"/>
      <c r="BP60" s="16" t="n"/>
      <c r="BQ60" s="14" t="n"/>
      <c r="BR60" s="15" t="n"/>
      <c r="BS60" s="14" t="n"/>
      <c r="BT60" s="15" t="n"/>
      <c r="BU60" s="12" t="n"/>
      <c r="BV60" s="15" t="n"/>
      <c r="BW60" s="14" t="n"/>
      <c r="BX60" s="15" t="n"/>
      <c r="BY60" s="12" t="n"/>
      <c r="BZ60" s="15" t="n"/>
      <c r="CA60" s="14" t="n"/>
      <c r="CB60" s="15" t="n"/>
      <c r="CC60" s="12" t="n"/>
      <c r="CD60" s="15" t="n"/>
      <c r="CE60" s="14" t="n"/>
      <c r="CF60" s="15" t="n"/>
      <c r="CG60" s="14" t="n"/>
      <c r="CH60" s="16" t="n"/>
      <c r="CI60" s="14" t="n"/>
      <c r="CJ60" s="15" t="n"/>
      <c r="CK60" s="14" t="n"/>
      <c r="CL60" s="16" t="n"/>
      <c r="CM60" s="14" t="n"/>
      <c r="CN60" s="15" t="n"/>
      <c r="CO60" s="14" t="n"/>
      <c r="CP60" s="15" t="n"/>
      <c r="CQ60" s="12" t="n"/>
      <c r="CR60" s="15" t="n"/>
      <c r="CS60" s="14" t="n"/>
      <c r="CT60" s="15" t="n"/>
      <c r="CU60" s="12" t="n"/>
      <c r="CV60" s="15" t="n"/>
      <c r="CW60" s="14" t="n"/>
      <c r="CX60" s="15" t="n"/>
    </row>
    <row r="61" ht="14" customHeight="1">
      <c r="A61" s="40" t="inlineStr">
        <is>
          <t>S3-13</t>
        </is>
      </c>
      <c r="B61" s="41" t="inlineStr">
        <is>
          <t>FAT Sala Eléctrica #3  ← FAT MÁS TARDÍO DE ABB</t>
        </is>
      </c>
      <c r="C61" s="42" t="inlineStr">
        <is>
          <t>S3</t>
        </is>
      </c>
      <c r="D61" s="40" t="inlineStr">
        <is>
          <t>02/04/2027</t>
        </is>
      </c>
      <c r="E61" s="40" t="inlineStr">
        <is>
          <t>19/04/2027</t>
        </is>
      </c>
      <c r="F61" s="30" t="inlineStr">
        <is>
          <t>+35d</t>
        </is>
      </c>
      <c r="G61" s="12" t="n"/>
      <c r="H61" s="15" t="n"/>
      <c r="I61" s="14" t="n"/>
      <c r="J61" s="15" t="n"/>
      <c r="K61" s="14" t="n"/>
      <c r="L61" s="16" t="n"/>
      <c r="M61" s="14" t="n"/>
      <c r="N61" s="15" t="n"/>
      <c r="O61" s="14" t="n"/>
      <c r="P61" s="16" t="n"/>
      <c r="Q61" s="14" t="n"/>
      <c r="R61" s="15" t="n"/>
      <c r="S61" s="14" t="n"/>
      <c r="T61" s="15" t="n"/>
      <c r="U61" s="12" t="n"/>
      <c r="V61" s="15" t="n"/>
      <c r="W61" s="14" t="n"/>
      <c r="X61" s="15" t="n"/>
      <c r="Y61" s="12" t="n"/>
      <c r="Z61" s="15" t="n"/>
      <c r="AA61" s="14" t="n"/>
      <c r="AB61" s="15" t="n"/>
      <c r="AC61" s="12" t="n"/>
      <c r="AD61" s="15" t="n"/>
      <c r="AE61" s="14" t="n"/>
      <c r="AF61" s="15" t="n"/>
      <c r="AG61" s="14" t="n"/>
      <c r="AH61" s="16" t="n"/>
      <c r="AI61" s="14" t="n"/>
      <c r="AJ61" s="15" t="n"/>
      <c r="AK61" s="14" t="n"/>
      <c r="AL61" s="16" t="n"/>
      <c r="AM61" s="14" t="n"/>
      <c r="AN61" s="15" t="n"/>
      <c r="AO61" s="14" t="n"/>
      <c r="AP61" s="16" t="n"/>
      <c r="AQ61" s="14" t="n"/>
      <c r="AR61" s="15" t="n"/>
      <c r="AS61" s="14" t="n"/>
      <c r="AT61" s="15" t="n"/>
      <c r="AU61" s="12" t="n"/>
      <c r="AV61" s="15" t="n"/>
      <c r="AW61" s="14" t="n"/>
      <c r="AX61" s="15" t="n"/>
      <c r="AY61" s="12" t="n"/>
      <c r="AZ61" s="15" t="n"/>
      <c r="BA61" s="14" t="n"/>
      <c r="BB61" s="15" t="n"/>
      <c r="BC61" s="29" t="n"/>
      <c r="BD61" s="28" t="n"/>
      <c r="BE61" s="28" t="n"/>
      <c r="BF61" s="15" t="n"/>
      <c r="BG61" s="14" t="n"/>
      <c r="BH61" s="16" t="n"/>
      <c r="BI61" s="14" t="n"/>
      <c r="BJ61" s="15" t="n"/>
      <c r="BK61" s="14" t="n"/>
      <c r="BL61" s="16" t="n"/>
      <c r="BM61" s="14" t="n"/>
      <c r="BN61" s="15" t="n"/>
      <c r="BO61" s="14" t="n"/>
      <c r="BP61" s="16" t="n"/>
      <c r="BQ61" s="14" t="n"/>
      <c r="BR61" s="15" t="n"/>
      <c r="BS61" s="14" t="n"/>
      <c r="BT61" s="15" t="n"/>
      <c r="BU61" s="12" t="n"/>
      <c r="BV61" s="15" t="n"/>
      <c r="BW61" s="14" t="n"/>
      <c r="BX61" s="15" t="n"/>
      <c r="BY61" s="12" t="n"/>
      <c r="BZ61" s="15" t="n"/>
      <c r="CA61" s="14" t="n"/>
      <c r="CB61" s="15" t="n"/>
      <c r="CC61" s="12" t="n"/>
      <c r="CD61" s="15" t="n"/>
      <c r="CE61" s="14" t="n"/>
      <c r="CF61" s="15" t="n"/>
      <c r="CG61" s="14" t="n"/>
      <c r="CH61" s="16" t="n"/>
      <c r="CI61" s="14" t="n"/>
      <c r="CJ61" s="15" t="n"/>
      <c r="CK61" s="14" t="n"/>
      <c r="CL61" s="16" t="n"/>
      <c r="CM61" s="14" t="n"/>
      <c r="CN61" s="15" t="n"/>
      <c r="CO61" s="14" t="n"/>
      <c r="CP61" s="15" t="n"/>
      <c r="CQ61" s="12" t="n"/>
      <c r="CR61" s="15" t="n"/>
      <c r="CS61" s="14" t="n"/>
      <c r="CT61" s="15" t="n"/>
      <c r="CU61" s="12" t="n"/>
      <c r="CV61" s="15" t="n"/>
      <c r="CW61" s="14" t="n"/>
      <c r="CX61" s="15" t="n"/>
    </row>
    <row r="62" ht="14" customHeight="1">
      <c r="A62" s="40" t="inlineStr">
        <is>
          <t>S3-14</t>
        </is>
      </c>
      <c r="B62" s="41" t="inlineStr">
        <is>
          <t>▶ DESPACHO Sala #3 ← DESPACHO MÁS TARDÍO DE ABB</t>
        </is>
      </c>
      <c r="C62" s="42" t="inlineStr">
        <is>
          <t>S3</t>
        </is>
      </c>
      <c r="D62" s="40" t="inlineStr">
        <is>
          <t>10/05/2027</t>
        </is>
      </c>
      <c r="E62" s="40" t="inlineStr">
        <is>
          <t>14/05/2027</t>
        </is>
      </c>
      <c r="F62" s="30" t="inlineStr">
        <is>
          <t>+45d</t>
        </is>
      </c>
      <c r="G62" s="12" t="n"/>
      <c r="H62" s="15" t="n"/>
      <c r="I62" s="14" t="n"/>
      <c r="J62" s="15" t="n"/>
      <c r="K62" s="14" t="n"/>
      <c r="L62" s="16" t="n"/>
      <c r="M62" s="14" t="n"/>
      <c r="N62" s="15" t="n"/>
      <c r="O62" s="14" t="n"/>
      <c r="P62" s="16" t="n"/>
      <c r="Q62" s="14" t="n"/>
      <c r="R62" s="15" t="n"/>
      <c r="S62" s="14" t="n"/>
      <c r="T62" s="15" t="n"/>
      <c r="U62" s="12" t="n"/>
      <c r="V62" s="15" t="n"/>
      <c r="W62" s="14" t="n"/>
      <c r="X62" s="15" t="n"/>
      <c r="Y62" s="12" t="n"/>
      <c r="Z62" s="15" t="n"/>
      <c r="AA62" s="14" t="n"/>
      <c r="AB62" s="15" t="n"/>
      <c r="AC62" s="12" t="n"/>
      <c r="AD62" s="15" t="n"/>
      <c r="AE62" s="14" t="n"/>
      <c r="AF62" s="15" t="n"/>
      <c r="AG62" s="14" t="n"/>
      <c r="AH62" s="16" t="n"/>
      <c r="AI62" s="14" t="n"/>
      <c r="AJ62" s="15" t="n"/>
      <c r="AK62" s="14" t="n"/>
      <c r="AL62" s="16" t="n"/>
      <c r="AM62" s="14" t="n"/>
      <c r="AN62" s="15" t="n"/>
      <c r="AO62" s="14" t="n"/>
      <c r="AP62" s="16" t="n"/>
      <c r="AQ62" s="14" t="n"/>
      <c r="AR62" s="15" t="n"/>
      <c r="AS62" s="14" t="n"/>
      <c r="AT62" s="15" t="n"/>
      <c r="AU62" s="12" t="n"/>
      <c r="AV62" s="15" t="n"/>
      <c r="AW62" s="14" t="n"/>
      <c r="AX62" s="15" t="n"/>
      <c r="AY62" s="12" t="n"/>
      <c r="AZ62" s="15" t="n"/>
      <c r="BA62" s="14" t="n"/>
      <c r="BB62" s="15" t="n"/>
      <c r="BC62" s="12" t="n"/>
      <c r="BD62" s="15" t="n"/>
      <c r="BE62" s="14" t="n"/>
      <c r="BF62" s="15" t="n"/>
      <c r="BG62" s="14" t="n"/>
      <c r="BH62" s="38" t="n"/>
      <c r="BI62" s="50" t="n"/>
      <c r="BJ62" s="15" t="n"/>
      <c r="BK62" s="14" t="n"/>
      <c r="BL62" s="16" t="n"/>
      <c r="BM62" s="14" t="n"/>
      <c r="BN62" s="15" t="n"/>
      <c r="BO62" s="14" t="n"/>
      <c r="BP62" s="16" t="n"/>
      <c r="BQ62" s="14" t="n"/>
      <c r="BR62" s="15" t="n"/>
      <c r="BS62" s="14" t="n"/>
      <c r="BT62" s="15" t="n"/>
      <c r="BU62" s="12" t="n"/>
      <c r="BV62" s="15" t="n"/>
      <c r="BW62" s="14" t="n"/>
      <c r="BX62" s="15" t="n"/>
      <c r="BY62" s="12" t="n"/>
      <c r="BZ62" s="15" t="n"/>
      <c r="CA62" s="14" t="n"/>
      <c r="CB62" s="15" t="n"/>
      <c r="CC62" s="12" t="n"/>
      <c r="CD62" s="15" t="n"/>
      <c r="CE62" s="14" t="n"/>
      <c r="CF62" s="15" t="n"/>
      <c r="CG62" s="14" t="n"/>
      <c r="CH62" s="16" t="n"/>
      <c r="CI62" s="14" t="n"/>
      <c r="CJ62" s="15" t="n"/>
      <c r="CK62" s="14" t="n"/>
      <c r="CL62" s="16" t="n"/>
      <c r="CM62" s="14" t="n"/>
      <c r="CN62" s="15" t="n"/>
      <c r="CO62" s="14" t="n"/>
      <c r="CP62" s="15" t="n"/>
      <c r="CQ62" s="12" t="n"/>
      <c r="CR62" s="15" t="n"/>
      <c r="CS62" s="14" t="n"/>
      <c r="CT62" s="15" t="n"/>
      <c r="CU62" s="12" t="n"/>
      <c r="CV62" s="15" t="n"/>
      <c r="CW62" s="14" t="n"/>
      <c r="CX62" s="15" t="n"/>
    </row>
    <row r="63" ht="13" customHeight="1">
      <c r="A63" s="40" t="inlineStr">
        <is>
          <t>S3-15</t>
        </is>
      </c>
      <c r="B63" s="41" t="inlineStr">
        <is>
          <t>★ ENTREGA S#3 — Cumplimiento OC 4508944971</t>
        </is>
      </c>
      <c r="C63" s="42" t="inlineStr">
        <is>
          <t>S3</t>
        </is>
      </c>
      <c r="D63" s="40" t="inlineStr">
        <is>
          <t>14/05/2027</t>
        </is>
      </c>
      <c r="E63" s="51" t="inlineStr">
        <is>
          <t>14/05/2027</t>
        </is>
      </c>
      <c r="F63" s="30" t="inlineStr">
        <is>
          <t>+45d</t>
        </is>
      </c>
      <c r="G63" s="12" t="n"/>
      <c r="H63" s="15" t="n"/>
      <c r="I63" s="14" t="n"/>
      <c r="J63" s="15" t="n"/>
      <c r="K63" s="14" t="n"/>
      <c r="L63" s="16" t="n"/>
      <c r="M63" s="14" t="n"/>
      <c r="N63" s="15" t="n"/>
      <c r="O63" s="14" t="n"/>
      <c r="P63" s="16" t="n"/>
      <c r="Q63" s="14" t="n"/>
      <c r="R63" s="15" t="n"/>
      <c r="S63" s="14" t="n"/>
      <c r="T63" s="15" t="n"/>
      <c r="U63" s="12" t="n"/>
      <c r="V63" s="15" t="n"/>
      <c r="W63" s="14" t="n"/>
      <c r="X63" s="15" t="n"/>
      <c r="Y63" s="12" t="n"/>
      <c r="Z63" s="15" t="n"/>
      <c r="AA63" s="14" t="n"/>
      <c r="AB63" s="15" t="n"/>
      <c r="AC63" s="12" t="n"/>
      <c r="AD63" s="15" t="n"/>
      <c r="AE63" s="14" t="n"/>
      <c r="AF63" s="15" t="n"/>
      <c r="AG63" s="14" t="n"/>
      <c r="AH63" s="16" t="n"/>
      <c r="AI63" s="14" t="n"/>
      <c r="AJ63" s="15" t="n"/>
      <c r="AK63" s="14" t="n"/>
      <c r="AL63" s="16" t="n"/>
      <c r="AM63" s="14" t="n"/>
      <c r="AN63" s="15" t="n"/>
      <c r="AO63" s="14" t="n"/>
      <c r="AP63" s="16" t="n"/>
      <c r="AQ63" s="14" t="n"/>
      <c r="AR63" s="15" t="n"/>
      <c r="AS63" s="14" t="n"/>
      <c r="AT63" s="15" t="n"/>
      <c r="AU63" s="12" t="n"/>
      <c r="AV63" s="15" t="n"/>
      <c r="AW63" s="14" t="n"/>
      <c r="AX63" s="15" t="n"/>
      <c r="AY63" s="12" t="n"/>
      <c r="AZ63" s="15" t="n"/>
      <c r="BA63" s="14" t="n"/>
      <c r="BB63" s="15" t="n"/>
      <c r="BC63" s="12" t="n"/>
      <c r="BD63" s="15" t="n"/>
      <c r="BE63" s="14" t="n"/>
      <c r="BF63" s="15" t="n"/>
      <c r="BG63" s="14" t="n"/>
      <c r="BH63" s="16" t="n"/>
      <c r="BI63" s="13" t="inlineStr">
        <is>
          <t>★</t>
        </is>
      </c>
      <c r="BJ63" s="15" t="n"/>
      <c r="BK63" s="14" t="n"/>
      <c r="BL63" s="16" t="n"/>
      <c r="BM63" s="14" t="n"/>
      <c r="BN63" s="15" t="n"/>
      <c r="BO63" s="14" t="n"/>
      <c r="BP63" s="16" t="n"/>
      <c r="BQ63" s="14" t="n"/>
      <c r="BR63" s="15" t="n"/>
      <c r="BS63" s="14" t="n"/>
      <c r="BT63" s="15" t="n"/>
      <c r="BU63" s="12" t="n"/>
      <c r="BV63" s="15" t="n"/>
      <c r="BW63" s="14" t="n"/>
      <c r="BX63" s="15" t="n"/>
      <c r="BY63" s="12" t="n"/>
      <c r="BZ63" s="15" t="n"/>
      <c r="CA63" s="14" t="n"/>
      <c r="CB63" s="15" t="n"/>
      <c r="CC63" s="12" t="n"/>
      <c r="CD63" s="15" t="n"/>
      <c r="CE63" s="14" t="n"/>
      <c r="CF63" s="15" t="n"/>
      <c r="CG63" s="14" t="n"/>
      <c r="CH63" s="16" t="n"/>
      <c r="CI63" s="14" t="n"/>
      <c r="CJ63" s="15" t="n"/>
      <c r="CK63" s="14" t="n"/>
      <c r="CL63" s="16" t="n"/>
      <c r="CM63" s="14" t="n"/>
      <c r="CN63" s="15" t="n"/>
      <c r="CO63" s="14" t="n"/>
      <c r="CP63" s="15" t="n"/>
      <c r="CQ63" s="12" t="n"/>
      <c r="CR63" s="15" t="n"/>
      <c r="CS63" s="14" t="n"/>
      <c r="CT63" s="15" t="n"/>
      <c r="CU63" s="12" t="n"/>
      <c r="CV63" s="15" t="n"/>
      <c r="CW63" s="14" t="n"/>
      <c r="CX63" s="15" t="n"/>
    </row>
    <row r="64" ht="16" customHeight="1">
      <c r="A64" s="52" t="inlineStr">
        <is>
          <t xml:space="preserve">  ▶  HITOS DE PAGO</t>
        </is>
      </c>
    </row>
    <row r="65" ht="14" customHeight="1">
      <c r="A65" s="53" t="inlineStr">
        <is>
          <t>PAY-01</t>
        </is>
      </c>
      <c r="B65" s="54" t="inlineStr">
        <is>
          <t>§ 10% — Envío Ingeniería Básica (S3 + S4 + PMS)</t>
        </is>
      </c>
      <c r="C65" s="55" t="inlineStr">
        <is>
          <t>S3+S4+PMS</t>
        </is>
      </c>
      <c r="D65" s="55" t="inlineStr">
        <is>
          <t>12/06/2026</t>
        </is>
      </c>
      <c r="E65" s="55" t="inlineStr">
        <is>
          <t>12/06/2026</t>
        </is>
      </c>
      <c r="F65" s="56" t="inlineStr">
        <is>
          <t>—</t>
        </is>
      </c>
      <c r="G65" s="12" t="n"/>
      <c r="H65" s="15" t="n"/>
      <c r="I65" s="14" t="n"/>
      <c r="J65" s="15" t="n"/>
      <c r="K65" s="14" t="n"/>
      <c r="L65" s="16" t="n"/>
      <c r="M65" s="57" t="inlineStr">
        <is>
          <t>§</t>
        </is>
      </c>
      <c r="N65" s="15" t="n"/>
      <c r="O65" s="14" t="n"/>
      <c r="P65" s="16" t="n"/>
      <c r="Q65" s="14" t="n"/>
      <c r="R65" s="15" t="n"/>
      <c r="S65" s="14" t="n"/>
      <c r="T65" s="15" t="n"/>
      <c r="U65" s="12" t="n"/>
      <c r="V65" s="15" t="n"/>
      <c r="W65" s="14" t="n"/>
      <c r="X65" s="15" t="n"/>
      <c r="Y65" s="12" t="n"/>
      <c r="Z65" s="15" t="n"/>
      <c r="AA65" s="14" t="n"/>
      <c r="AB65" s="15" t="n"/>
      <c r="AC65" s="12" t="n"/>
      <c r="AD65" s="15" t="n"/>
      <c r="AE65" s="14" t="n"/>
      <c r="AF65" s="15" t="n"/>
      <c r="AG65" s="14" t="n"/>
      <c r="AH65" s="16" t="n"/>
      <c r="AI65" s="14" t="n"/>
      <c r="AJ65" s="15" t="n"/>
      <c r="AK65" s="14" t="n"/>
      <c r="AL65" s="16" t="n"/>
      <c r="AM65" s="14" t="n"/>
      <c r="AN65" s="15" t="n"/>
      <c r="AO65" s="14" t="n"/>
      <c r="AP65" s="16" t="n"/>
      <c r="AQ65" s="14" t="n"/>
      <c r="AR65" s="15" t="n"/>
      <c r="AS65" s="14" t="n"/>
      <c r="AT65" s="15" t="n"/>
      <c r="AU65" s="12" t="n"/>
      <c r="AV65" s="15" t="n"/>
      <c r="AW65" s="14" t="n"/>
      <c r="AX65" s="15" t="n"/>
      <c r="AY65" s="12" t="n"/>
      <c r="AZ65" s="15" t="n"/>
      <c r="BA65" s="14" t="n"/>
      <c r="BB65" s="15" t="n"/>
      <c r="BC65" s="12" t="n"/>
      <c r="BD65" s="15" t="n"/>
      <c r="BE65" s="14" t="n"/>
      <c r="BF65" s="15" t="n"/>
      <c r="BG65" s="14" t="n"/>
      <c r="BH65" s="16" t="n"/>
      <c r="BI65" s="14" t="n"/>
      <c r="BJ65" s="15" t="n"/>
      <c r="BK65" s="14" t="n"/>
      <c r="BL65" s="16" t="n"/>
      <c r="BM65" s="14" t="n"/>
      <c r="BN65" s="15" t="n"/>
      <c r="BO65" s="14" t="n"/>
      <c r="BP65" s="16" t="n"/>
      <c r="BQ65" s="14" t="n"/>
      <c r="BR65" s="15" t="n"/>
      <c r="BS65" s="14" t="n"/>
      <c r="BT65" s="15" t="n"/>
      <c r="BU65" s="12" t="n"/>
      <c r="BV65" s="15" t="n"/>
      <c r="BW65" s="14" t="n"/>
      <c r="BX65" s="15" t="n"/>
      <c r="BY65" s="12" t="n"/>
      <c r="BZ65" s="15" t="n"/>
      <c r="CA65" s="14" t="n"/>
      <c r="CB65" s="15" t="n"/>
      <c r="CC65" s="12" t="n"/>
      <c r="CD65" s="15" t="n"/>
      <c r="CE65" s="14" t="n"/>
      <c r="CF65" s="15" t="n"/>
      <c r="CG65" s="14" t="n"/>
      <c r="CH65" s="16" t="n"/>
      <c r="CI65" s="14" t="n"/>
      <c r="CJ65" s="15" t="n"/>
      <c r="CK65" s="14" t="n"/>
      <c r="CL65" s="16" t="n"/>
      <c r="CM65" s="14" t="n"/>
      <c r="CN65" s="15" t="n"/>
      <c r="CO65" s="14" t="n"/>
      <c r="CP65" s="15" t="n"/>
      <c r="CQ65" s="12" t="n"/>
      <c r="CR65" s="15" t="n"/>
      <c r="CS65" s="14" t="n"/>
      <c r="CT65" s="15" t="n"/>
      <c r="CU65" s="12" t="n"/>
      <c r="CV65" s="15" t="n"/>
      <c r="CW65" s="14" t="n"/>
      <c r="CX65" s="15" t="n"/>
    </row>
    <row r="66" ht="14" customHeight="1">
      <c r="A66" s="53" t="inlineStr">
        <is>
          <t>PAY-02</t>
        </is>
      </c>
      <c r="B66" s="54" t="inlineStr">
        <is>
          <t>§ 10% — Aprobación Ingeniería Básica (AESA aprueba)</t>
        </is>
      </c>
      <c r="C66" s="55" t="inlineStr">
        <is>
          <t>S3+S4+PMS</t>
        </is>
      </c>
      <c r="D66" s="55" t="inlineStr">
        <is>
          <t>03/07/2026</t>
        </is>
      </c>
      <c r="E66" s="55" t="inlineStr">
        <is>
          <t>03/07/2026</t>
        </is>
      </c>
      <c r="F66" s="56" t="inlineStr">
        <is>
          <t>—</t>
        </is>
      </c>
      <c r="G66" s="12" t="n"/>
      <c r="H66" s="15" t="n"/>
      <c r="I66" s="14" t="n"/>
      <c r="J66" s="15" t="n"/>
      <c r="K66" s="14" t="n"/>
      <c r="L66" s="16" t="n"/>
      <c r="M66" s="14" t="n"/>
      <c r="N66" s="15" t="n"/>
      <c r="O66" s="14" t="n"/>
      <c r="P66" s="58" t="inlineStr">
        <is>
          <t>§</t>
        </is>
      </c>
      <c r="Q66" s="14" t="n"/>
      <c r="R66" s="15" t="n"/>
      <c r="S66" s="14" t="n"/>
      <c r="T66" s="15" t="n"/>
      <c r="U66" s="12" t="n"/>
      <c r="V66" s="15" t="n"/>
      <c r="W66" s="14" t="n"/>
      <c r="X66" s="15" t="n"/>
      <c r="Y66" s="12" t="n"/>
      <c r="Z66" s="15" t="n"/>
      <c r="AA66" s="14" t="n"/>
      <c r="AB66" s="15" t="n"/>
      <c r="AC66" s="12" t="n"/>
      <c r="AD66" s="15" t="n"/>
      <c r="AE66" s="14" t="n"/>
      <c r="AF66" s="15" t="n"/>
      <c r="AG66" s="14" t="n"/>
      <c r="AH66" s="16" t="n"/>
      <c r="AI66" s="14" t="n"/>
      <c r="AJ66" s="15" t="n"/>
      <c r="AK66" s="14" t="n"/>
      <c r="AL66" s="16" t="n"/>
      <c r="AM66" s="14" t="n"/>
      <c r="AN66" s="15" t="n"/>
      <c r="AO66" s="14" t="n"/>
      <c r="AP66" s="16" t="n"/>
      <c r="AQ66" s="14" t="n"/>
      <c r="AR66" s="15" t="n"/>
      <c r="AS66" s="14" t="n"/>
      <c r="AT66" s="15" t="n"/>
      <c r="AU66" s="12" t="n"/>
      <c r="AV66" s="15" t="n"/>
      <c r="AW66" s="14" t="n"/>
      <c r="AX66" s="15" t="n"/>
      <c r="AY66" s="12" t="n"/>
      <c r="AZ66" s="15" t="n"/>
      <c r="BA66" s="14" t="n"/>
      <c r="BB66" s="15" t="n"/>
      <c r="BC66" s="12" t="n"/>
      <c r="BD66" s="15" t="n"/>
      <c r="BE66" s="14" t="n"/>
      <c r="BF66" s="15" t="n"/>
      <c r="BG66" s="14" t="n"/>
      <c r="BH66" s="16" t="n"/>
      <c r="BI66" s="14" t="n"/>
      <c r="BJ66" s="15" t="n"/>
      <c r="BK66" s="14" t="n"/>
      <c r="BL66" s="16" t="n"/>
      <c r="BM66" s="14" t="n"/>
      <c r="BN66" s="15" t="n"/>
      <c r="BO66" s="14" t="n"/>
      <c r="BP66" s="16" t="n"/>
      <c r="BQ66" s="14" t="n"/>
      <c r="BR66" s="15" t="n"/>
      <c r="BS66" s="14" t="n"/>
      <c r="BT66" s="15" t="n"/>
      <c r="BU66" s="12" t="n"/>
      <c r="BV66" s="15" t="n"/>
      <c r="BW66" s="14" t="n"/>
      <c r="BX66" s="15" t="n"/>
      <c r="BY66" s="12" t="n"/>
      <c r="BZ66" s="15" t="n"/>
      <c r="CA66" s="14" t="n"/>
      <c r="CB66" s="15" t="n"/>
      <c r="CC66" s="12" t="n"/>
      <c r="CD66" s="15" t="n"/>
      <c r="CE66" s="14" t="n"/>
      <c r="CF66" s="15" t="n"/>
      <c r="CG66" s="14" t="n"/>
      <c r="CH66" s="16" t="n"/>
      <c r="CI66" s="14" t="n"/>
      <c r="CJ66" s="15" t="n"/>
      <c r="CK66" s="14" t="n"/>
      <c r="CL66" s="16" t="n"/>
      <c r="CM66" s="14" t="n"/>
      <c r="CN66" s="15" t="n"/>
      <c r="CO66" s="14" t="n"/>
      <c r="CP66" s="15" t="n"/>
      <c r="CQ66" s="12" t="n"/>
      <c r="CR66" s="15" t="n"/>
      <c r="CS66" s="14" t="n"/>
      <c r="CT66" s="15" t="n"/>
      <c r="CU66" s="12" t="n"/>
      <c r="CV66" s="15" t="n"/>
      <c r="CW66" s="14" t="n"/>
      <c r="CX66" s="15" t="n"/>
    </row>
    <row r="67" ht="14" customHeight="1">
      <c r="A67" s="53" t="inlineStr">
        <is>
          <t>PAY-03</t>
        </is>
      </c>
      <c r="B67" s="54" t="inlineStr">
        <is>
          <t>§ 20% — FAT completado (S3 más tardío: 19-ABR-2027)</t>
        </is>
      </c>
      <c r="C67" s="55" t="inlineStr">
        <is>
          <t>S3</t>
        </is>
      </c>
      <c r="D67" s="55" t="inlineStr">
        <is>
          <t>19/04/2027</t>
        </is>
      </c>
      <c r="E67" s="55" t="inlineStr">
        <is>
          <t>19/04/2027</t>
        </is>
      </c>
      <c r="F67" s="56" t="inlineStr">
        <is>
          <t>—</t>
        </is>
      </c>
      <c r="G67" s="12" t="n"/>
      <c r="H67" s="15" t="n"/>
      <c r="I67" s="14" t="n"/>
      <c r="J67" s="15" t="n"/>
      <c r="K67" s="14" t="n"/>
      <c r="L67" s="16" t="n"/>
      <c r="M67" s="14" t="n"/>
      <c r="N67" s="15" t="n"/>
      <c r="O67" s="14" t="n"/>
      <c r="P67" s="16" t="n"/>
      <c r="Q67" s="14" t="n"/>
      <c r="R67" s="15" t="n"/>
      <c r="S67" s="14" t="n"/>
      <c r="T67" s="15" t="n"/>
      <c r="U67" s="12" t="n"/>
      <c r="V67" s="15" t="n"/>
      <c r="W67" s="14" t="n"/>
      <c r="X67" s="15" t="n"/>
      <c r="Y67" s="12" t="n"/>
      <c r="Z67" s="15" t="n"/>
      <c r="AA67" s="14" t="n"/>
      <c r="AB67" s="15" t="n"/>
      <c r="AC67" s="12" t="n"/>
      <c r="AD67" s="15" t="n"/>
      <c r="AE67" s="14" t="n"/>
      <c r="AF67" s="15" t="n"/>
      <c r="AG67" s="14" t="n"/>
      <c r="AH67" s="16" t="n"/>
      <c r="AI67" s="14" t="n"/>
      <c r="AJ67" s="15" t="n"/>
      <c r="AK67" s="14" t="n"/>
      <c r="AL67" s="16" t="n"/>
      <c r="AM67" s="14" t="n"/>
      <c r="AN67" s="15" t="n"/>
      <c r="AO67" s="14" t="n"/>
      <c r="AP67" s="16" t="n"/>
      <c r="AQ67" s="14" t="n"/>
      <c r="AR67" s="15" t="n"/>
      <c r="AS67" s="14" t="n"/>
      <c r="AT67" s="15" t="n"/>
      <c r="AU67" s="12" t="n"/>
      <c r="AV67" s="15" t="n"/>
      <c r="AW67" s="14" t="n"/>
      <c r="AX67" s="15" t="n"/>
      <c r="AY67" s="12" t="n"/>
      <c r="AZ67" s="15" t="n"/>
      <c r="BA67" s="14" t="n"/>
      <c r="BB67" s="15" t="n"/>
      <c r="BC67" s="12" t="n"/>
      <c r="BD67" s="15" t="n"/>
      <c r="BE67" s="57" t="inlineStr">
        <is>
          <t>§</t>
        </is>
      </c>
      <c r="BF67" s="15" t="n"/>
      <c r="BG67" s="14" t="n"/>
      <c r="BH67" s="16" t="n"/>
      <c r="BI67" s="14" t="n"/>
      <c r="BJ67" s="15" t="n"/>
      <c r="BK67" s="14" t="n"/>
      <c r="BL67" s="16" t="n"/>
      <c r="BM67" s="14" t="n"/>
      <c r="BN67" s="15" t="n"/>
      <c r="BO67" s="14" t="n"/>
      <c r="BP67" s="16" t="n"/>
      <c r="BQ67" s="14" t="n"/>
      <c r="BR67" s="15" t="n"/>
      <c r="BS67" s="14" t="n"/>
      <c r="BT67" s="15" t="n"/>
      <c r="BU67" s="12" t="n"/>
      <c r="BV67" s="15" t="n"/>
      <c r="BW67" s="14" t="n"/>
      <c r="BX67" s="15" t="n"/>
      <c r="BY67" s="12" t="n"/>
      <c r="BZ67" s="15" t="n"/>
      <c r="CA67" s="14" t="n"/>
      <c r="CB67" s="15" t="n"/>
      <c r="CC67" s="12" t="n"/>
      <c r="CD67" s="15" t="n"/>
      <c r="CE67" s="14" t="n"/>
      <c r="CF67" s="15" t="n"/>
      <c r="CG67" s="14" t="n"/>
      <c r="CH67" s="16" t="n"/>
      <c r="CI67" s="14" t="n"/>
      <c r="CJ67" s="15" t="n"/>
      <c r="CK67" s="14" t="n"/>
      <c r="CL67" s="16" t="n"/>
      <c r="CM67" s="14" t="n"/>
      <c r="CN67" s="15" t="n"/>
      <c r="CO67" s="14" t="n"/>
      <c r="CP67" s="15" t="n"/>
      <c r="CQ67" s="12" t="n"/>
      <c r="CR67" s="15" t="n"/>
      <c r="CS67" s="14" t="n"/>
      <c r="CT67" s="15" t="n"/>
      <c r="CU67" s="12" t="n"/>
      <c r="CV67" s="15" t="n"/>
      <c r="CW67" s="14" t="n"/>
      <c r="CX67" s="15" t="n"/>
    </row>
    <row r="68" ht="14" customHeight="1">
      <c r="A68" s="53" t="inlineStr">
        <is>
          <t>PAY-04</t>
        </is>
      </c>
      <c r="B68" s="54" t="inlineStr">
        <is>
          <t>§ 25% — Acopio Materiales Principales en Argentina</t>
        </is>
      </c>
      <c r="C68" s="55" t="inlineStr">
        <is>
          <t>S3+S4+PMS</t>
        </is>
      </c>
      <c r="D68" s="55" t="inlineStr">
        <is>
          <t>29/01/2027</t>
        </is>
      </c>
      <c r="E68" s="55" t="inlineStr">
        <is>
          <t>29/01/2027</t>
        </is>
      </c>
      <c r="F68" s="56" t="inlineStr">
        <is>
          <t>—</t>
        </is>
      </c>
      <c r="G68" s="12" t="n"/>
      <c r="H68" s="15" t="n"/>
      <c r="I68" s="14" t="n"/>
      <c r="J68" s="15" t="n"/>
      <c r="K68" s="14" t="n"/>
      <c r="L68" s="16" t="n"/>
      <c r="M68" s="14" t="n"/>
      <c r="N68" s="15" t="n"/>
      <c r="O68" s="14" t="n"/>
      <c r="P68" s="16" t="n"/>
      <c r="Q68" s="14" t="n"/>
      <c r="R68" s="15" t="n"/>
      <c r="S68" s="14" t="n"/>
      <c r="T68" s="15" t="n"/>
      <c r="U68" s="12" t="n"/>
      <c r="V68" s="15" t="n"/>
      <c r="W68" s="14" t="n"/>
      <c r="X68" s="15" t="n"/>
      <c r="Y68" s="12" t="n"/>
      <c r="Z68" s="15" t="n"/>
      <c r="AA68" s="14" t="n"/>
      <c r="AB68" s="15" t="n"/>
      <c r="AC68" s="12" t="n"/>
      <c r="AD68" s="15" t="n"/>
      <c r="AE68" s="14" t="n"/>
      <c r="AF68" s="15" t="n"/>
      <c r="AG68" s="14" t="n"/>
      <c r="AH68" s="16" t="n"/>
      <c r="AI68" s="14" t="n"/>
      <c r="AJ68" s="15" t="n"/>
      <c r="AK68" s="14" t="n"/>
      <c r="AL68" s="16" t="n"/>
      <c r="AM68" s="14" t="n"/>
      <c r="AN68" s="15" t="n"/>
      <c r="AO68" s="14" t="n"/>
      <c r="AP68" s="16" t="n"/>
      <c r="AQ68" s="14" t="n"/>
      <c r="AR68" s="15" t="n"/>
      <c r="AS68" s="14" t="n"/>
      <c r="AT68" s="57" t="inlineStr">
        <is>
          <t>§</t>
        </is>
      </c>
      <c r="AU68" s="12" t="n"/>
      <c r="AV68" s="15" t="n"/>
      <c r="AW68" s="14" t="n"/>
      <c r="AX68" s="15" t="n"/>
      <c r="AY68" s="12" t="n"/>
      <c r="AZ68" s="15" t="n"/>
      <c r="BA68" s="14" t="n"/>
      <c r="BB68" s="15" t="n"/>
      <c r="BC68" s="12" t="n"/>
      <c r="BD68" s="15" t="n"/>
      <c r="BE68" s="14" t="n"/>
      <c r="BF68" s="15" t="n"/>
      <c r="BG68" s="14" t="n"/>
      <c r="BH68" s="16" t="n"/>
      <c r="BI68" s="14" t="n"/>
      <c r="BJ68" s="15" t="n"/>
      <c r="BK68" s="14" t="n"/>
      <c r="BL68" s="16" t="n"/>
      <c r="BM68" s="14" t="n"/>
      <c r="BN68" s="15" t="n"/>
      <c r="BO68" s="14" t="n"/>
      <c r="BP68" s="16" t="n"/>
      <c r="BQ68" s="14" t="n"/>
      <c r="BR68" s="15" t="n"/>
      <c r="BS68" s="14" t="n"/>
      <c r="BT68" s="15" t="n"/>
      <c r="BU68" s="12" t="n"/>
      <c r="BV68" s="15" t="n"/>
      <c r="BW68" s="14" t="n"/>
      <c r="BX68" s="15" t="n"/>
      <c r="BY68" s="12" t="n"/>
      <c r="BZ68" s="15" t="n"/>
      <c r="CA68" s="14" t="n"/>
      <c r="CB68" s="15" t="n"/>
      <c r="CC68" s="12" t="n"/>
      <c r="CD68" s="15" t="n"/>
      <c r="CE68" s="14" t="n"/>
      <c r="CF68" s="15" t="n"/>
      <c r="CG68" s="14" t="n"/>
      <c r="CH68" s="16" t="n"/>
      <c r="CI68" s="14" t="n"/>
      <c r="CJ68" s="15" t="n"/>
      <c r="CK68" s="14" t="n"/>
      <c r="CL68" s="16" t="n"/>
      <c r="CM68" s="14" t="n"/>
      <c r="CN68" s="15" t="n"/>
      <c r="CO68" s="14" t="n"/>
      <c r="CP68" s="15" t="n"/>
      <c r="CQ68" s="12" t="n"/>
      <c r="CR68" s="15" t="n"/>
      <c r="CS68" s="14" t="n"/>
      <c r="CT68" s="15" t="n"/>
      <c r="CU68" s="12" t="n"/>
      <c r="CV68" s="15" t="n"/>
      <c r="CW68" s="14" t="n"/>
      <c r="CX68" s="15" t="n"/>
    </row>
    <row r="69" ht="14" customHeight="1">
      <c r="A69" s="53" t="inlineStr">
        <is>
          <t>PAY-05</t>
        </is>
      </c>
      <c r="B69" s="54" t="inlineStr">
        <is>
          <t>§ 30% — Contra Entrega (Shelter listo en Mendoza)</t>
        </is>
      </c>
      <c r="C69" s="55" t="inlineStr">
        <is>
          <t>S3+S4+PMS</t>
        </is>
      </c>
      <c r="D69" s="55" t="inlineStr">
        <is>
          <t>14/05/2027</t>
        </is>
      </c>
      <c r="E69" s="55" t="inlineStr">
        <is>
          <t>14/05/2027</t>
        </is>
      </c>
      <c r="F69" s="56" t="inlineStr">
        <is>
          <t>—</t>
        </is>
      </c>
      <c r="G69" s="12" t="n"/>
      <c r="H69" s="15" t="n"/>
      <c r="I69" s="14" t="n"/>
      <c r="J69" s="15" t="n"/>
      <c r="K69" s="14" t="n"/>
      <c r="L69" s="16" t="n"/>
      <c r="M69" s="14" t="n"/>
      <c r="N69" s="15" t="n"/>
      <c r="O69" s="14" t="n"/>
      <c r="P69" s="16" t="n"/>
      <c r="Q69" s="14" t="n"/>
      <c r="R69" s="15" t="n"/>
      <c r="S69" s="14" t="n"/>
      <c r="T69" s="15" t="n"/>
      <c r="U69" s="12" t="n"/>
      <c r="V69" s="15" t="n"/>
      <c r="W69" s="14" t="n"/>
      <c r="X69" s="15" t="n"/>
      <c r="Y69" s="12" t="n"/>
      <c r="Z69" s="15" t="n"/>
      <c r="AA69" s="14" t="n"/>
      <c r="AB69" s="15" t="n"/>
      <c r="AC69" s="12" t="n"/>
      <c r="AD69" s="15" t="n"/>
      <c r="AE69" s="14" t="n"/>
      <c r="AF69" s="15" t="n"/>
      <c r="AG69" s="14" t="n"/>
      <c r="AH69" s="16" t="n"/>
      <c r="AI69" s="14" t="n"/>
      <c r="AJ69" s="15" t="n"/>
      <c r="AK69" s="14" t="n"/>
      <c r="AL69" s="16" t="n"/>
      <c r="AM69" s="14" t="n"/>
      <c r="AN69" s="15" t="n"/>
      <c r="AO69" s="14" t="n"/>
      <c r="AP69" s="16" t="n"/>
      <c r="AQ69" s="14" t="n"/>
      <c r="AR69" s="15" t="n"/>
      <c r="AS69" s="14" t="n"/>
      <c r="AT69" s="15" t="n"/>
      <c r="AU69" s="12" t="n"/>
      <c r="AV69" s="15" t="n"/>
      <c r="AW69" s="14" t="n"/>
      <c r="AX69" s="15" t="n"/>
      <c r="AY69" s="12" t="n"/>
      <c r="AZ69" s="15" t="n"/>
      <c r="BA69" s="14" t="n"/>
      <c r="BB69" s="15" t="n"/>
      <c r="BC69" s="12" t="n"/>
      <c r="BD69" s="15" t="n"/>
      <c r="BE69" s="14" t="n"/>
      <c r="BF69" s="15" t="n"/>
      <c r="BG69" s="14" t="n"/>
      <c r="BH69" s="16" t="n"/>
      <c r="BI69" s="57" t="inlineStr">
        <is>
          <t>§</t>
        </is>
      </c>
      <c r="BJ69" s="15" t="n"/>
      <c r="BK69" s="14" t="n"/>
      <c r="BL69" s="16" t="n"/>
      <c r="BM69" s="14" t="n"/>
      <c r="BN69" s="15" t="n"/>
      <c r="BO69" s="14" t="n"/>
      <c r="BP69" s="16" t="n"/>
      <c r="BQ69" s="14" t="n"/>
      <c r="BR69" s="15" t="n"/>
      <c r="BS69" s="14" t="n"/>
      <c r="BT69" s="15" t="n"/>
      <c r="BU69" s="12" t="n"/>
      <c r="BV69" s="15" t="n"/>
      <c r="BW69" s="14" t="n"/>
      <c r="BX69" s="15" t="n"/>
      <c r="BY69" s="12" t="n"/>
      <c r="BZ69" s="15" t="n"/>
      <c r="CA69" s="14" t="n"/>
      <c r="CB69" s="15" t="n"/>
      <c r="CC69" s="12" t="n"/>
      <c r="CD69" s="15" t="n"/>
      <c r="CE69" s="14" t="n"/>
      <c r="CF69" s="15" t="n"/>
      <c r="CG69" s="14" t="n"/>
      <c r="CH69" s="16" t="n"/>
      <c r="CI69" s="14" t="n"/>
      <c r="CJ69" s="15" t="n"/>
      <c r="CK69" s="14" t="n"/>
      <c r="CL69" s="16" t="n"/>
      <c r="CM69" s="14" t="n"/>
      <c r="CN69" s="15" t="n"/>
      <c r="CO69" s="14" t="n"/>
      <c r="CP69" s="15" t="n"/>
      <c r="CQ69" s="12" t="n"/>
      <c r="CR69" s="15" t="n"/>
      <c r="CS69" s="14" t="n"/>
      <c r="CT69" s="15" t="n"/>
      <c r="CU69" s="12" t="n"/>
      <c r="CV69" s="15" t="n"/>
      <c r="CW69" s="14" t="n"/>
      <c r="CX69" s="15" t="n"/>
    </row>
    <row r="70" ht="14" customHeight="1">
      <c r="A70" s="53" t="inlineStr">
        <is>
          <t>PAY-06</t>
        </is>
      </c>
      <c r="B70" s="54" t="inlineStr">
        <is>
          <t>§ 5% — Entrega Databook aprobado</t>
        </is>
      </c>
      <c r="C70" s="55" t="inlineStr">
        <is>
          <t>S3+S4+PMS</t>
        </is>
      </c>
      <c r="D70" s="55" t="inlineStr">
        <is>
          <t>01/07/2027</t>
        </is>
      </c>
      <c r="E70" s="55" t="inlineStr">
        <is>
          <t>01/07/2027</t>
        </is>
      </c>
      <c r="F70" s="56" t="inlineStr">
        <is>
          <t>—</t>
        </is>
      </c>
      <c r="G70" s="12" t="n"/>
      <c r="H70" s="15" t="n"/>
      <c r="I70" s="14" t="n"/>
      <c r="J70" s="15" t="n"/>
      <c r="K70" s="14" t="n"/>
      <c r="L70" s="16" t="n"/>
      <c r="M70" s="14" t="n"/>
      <c r="N70" s="15" t="n"/>
      <c r="O70" s="14" t="n"/>
      <c r="P70" s="16" t="n"/>
      <c r="Q70" s="14" t="n"/>
      <c r="R70" s="15" t="n"/>
      <c r="S70" s="14" t="n"/>
      <c r="T70" s="15" t="n"/>
      <c r="U70" s="12" t="n"/>
      <c r="V70" s="15" t="n"/>
      <c r="W70" s="14" t="n"/>
      <c r="X70" s="15" t="n"/>
      <c r="Y70" s="12" t="n"/>
      <c r="Z70" s="15" t="n"/>
      <c r="AA70" s="14" t="n"/>
      <c r="AB70" s="15" t="n"/>
      <c r="AC70" s="12" t="n"/>
      <c r="AD70" s="15" t="n"/>
      <c r="AE70" s="14" t="n"/>
      <c r="AF70" s="15" t="n"/>
      <c r="AG70" s="14" t="n"/>
      <c r="AH70" s="16" t="n"/>
      <c r="AI70" s="14" t="n"/>
      <c r="AJ70" s="15" t="n"/>
      <c r="AK70" s="14" t="n"/>
      <c r="AL70" s="16" t="n"/>
      <c r="AM70" s="14" t="n"/>
      <c r="AN70" s="15" t="n"/>
      <c r="AO70" s="14" t="n"/>
      <c r="AP70" s="16" t="n"/>
      <c r="AQ70" s="14" t="n"/>
      <c r="AR70" s="15" t="n"/>
      <c r="AS70" s="14" t="n"/>
      <c r="AT70" s="15" t="n"/>
      <c r="AU70" s="12" t="n"/>
      <c r="AV70" s="15" t="n"/>
      <c r="AW70" s="14" t="n"/>
      <c r="AX70" s="15" t="n"/>
      <c r="AY70" s="12" t="n"/>
      <c r="AZ70" s="15" t="n"/>
      <c r="BA70" s="14" t="n"/>
      <c r="BB70" s="15" t="n"/>
      <c r="BC70" s="12" t="n"/>
      <c r="BD70" s="15" t="n"/>
      <c r="BE70" s="14" t="n"/>
      <c r="BF70" s="15" t="n"/>
      <c r="BG70" s="14" t="n"/>
      <c r="BH70" s="16" t="n"/>
      <c r="BI70" s="14" t="n"/>
      <c r="BJ70" s="15" t="n"/>
      <c r="BK70" s="14" t="n"/>
      <c r="BL70" s="16" t="n"/>
      <c r="BM70" s="14" t="n"/>
      <c r="BN70" s="15" t="n"/>
      <c r="BO70" s="57" t="inlineStr">
        <is>
          <t>§</t>
        </is>
      </c>
      <c r="BP70" s="16" t="n"/>
      <c r="BQ70" s="14" t="n"/>
      <c r="BR70" s="15" t="n"/>
      <c r="BS70" s="14" t="n"/>
      <c r="BT70" s="15" t="n"/>
      <c r="BU70" s="12" t="n"/>
      <c r="BV70" s="15" t="n"/>
      <c r="BW70" s="14" t="n"/>
      <c r="BX70" s="15" t="n"/>
      <c r="BY70" s="12" t="n"/>
      <c r="BZ70" s="15" t="n"/>
      <c r="CA70" s="14" t="n"/>
      <c r="CB70" s="15" t="n"/>
      <c r="CC70" s="12" t="n"/>
      <c r="CD70" s="15" t="n"/>
      <c r="CE70" s="14" t="n"/>
      <c r="CF70" s="15" t="n"/>
      <c r="CG70" s="14" t="n"/>
      <c r="CH70" s="16" t="n"/>
      <c r="CI70" s="14" t="n"/>
      <c r="CJ70" s="15" t="n"/>
      <c r="CK70" s="14" t="n"/>
      <c r="CL70" s="16" t="n"/>
      <c r="CM70" s="14" t="n"/>
      <c r="CN70" s="15" t="n"/>
      <c r="CO70" s="14" t="n"/>
      <c r="CP70" s="15" t="n"/>
      <c r="CQ70" s="12" t="n"/>
      <c r="CR70" s="15" t="n"/>
      <c r="CS70" s="14" t="n"/>
      <c r="CT70" s="15" t="n"/>
      <c r="CU70" s="12" t="n"/>
      <c r="CV70" s="15" t="n"/>
      <c r="CW70" s="14" t="n"/>
      <c r="CX70" s="15" t="n"/>
    </row>
    <row r="71" ht="16" customHeight="1">
      <c r="A71" s="59" t="inlineStr">
        <is>
          <t xml:space="preserve">  ▶  INTEGRACIÓN EPC</t>
        </is>
      </c>
    </row>
    <row r="72" ht="14" customHeight="1">
      <c r="A72" s="60" t="inlineStr">
        <is>
          <t>INT-01</t>
        </is>
      </c>
      <c r="B72" s="61" t="inlineStr">
        <is>
          <t>Inicio Precomisionado</t>
        </is>
      </c>
      <c r="C72" s="62" t="inlineStr">
        <is>
          <t>EPC</t>
        </is>
      </c>
      <c r="D72" s="62" t="inlineStr">
        <is>
          <t>03/05/2027</t>
        </is>
      </c>
      <c r="E72" s="62" t="inlineStr">
        <is>
          <t>13/01/2028</t>
        </is>
      </c>
      <c r="F72" s="63" t="inlineStr">
        <is>
          <t>—</t>
        </is>
      </c>
      <c r="G72" s="12" t="n"/>
      <c r="H72" s="15" t="n"/>
      <c r="I72" s="14" t="n"/>
      <c r="J72" s="15" t="n"/>
      <c r="K72" s="14" t="n"/>
      <c r="L72" s="16" t="n"/>
      <c r="M72" s="14" t="n"/>
      <c r="N72" s="15" t="n"/>
      <c r="O72" s="14" t="n"/>
      <c r="P72" s="16" t="n"/>
      <c r="Q72" s="14" t="n"/>
      <c r="R72" s="15" t="n"/>
      <c r="S72" s="14" t="n"/>
      <c r="T72" s="15" t="n"/>
      <c r="U72" s="12" t="n"/>
      <c r="V72" s="15" t="n"/>
      <c r="W72" s="14" t="n"/>
      <c r="X72" s="15" t="n"/>
      <c r="Y72" s="12" t="n"/>
      <c r="Z72" s="15" t="n"/>
      <c r="AA72" s="14" t="n"/>
      <c r="AB72" s="15" t="n"/>
      <c r="AC72" s="12" t="n"/>
      <c r="AD72" s="15" t="n"/>
      <c r="AE72" s="14" t="n"/>
      <c r="AF72" s="15" t="n"/>
      <c r="AG72" s="14" t="n"/>
      <c r="AH72" s="16" t="n"/>
      <c r="AI72" s="14" t="n"/>
      <c r="AJ72" s="15" t="n"/>
      <c r="AK72" s="14" t="n"/>
      <c r="AL72" s="16" t="n"/>
      <c r="AM72" s="14" t="n"/>
      <c r="AN72" s="15" t="n"/>
      <c r="AO72" s="14" t="n"/>
      <c r="AP72" s="16" t="n"/>
      <c r="AQ72" s="14" t="n"/>
      <c r="AR72" s="15" t="n"/>
      <c r="AS72" s="14" t="n"/>
      <c r="AT72" s="15" t="n"/>
      <c r="AU72" s="12" t="n"/>
      <c r="AV72" s="15" t="n"/>
      <c r="AW72" s="14" t="n"/>
      <c r="AX72" s="15" t="n"/>
      <c r="AY72" s="12" t="n"/>
      <c r="AZ72" s="15" t="n"/>
      <c r="BA72" s="14" t="n"/>
      <c r="BB72" s="15" t="n"/>
      <c r="BC72" s="12" t="n"/>
      <c r="BD72" s="15" t="n"/>
      <c r="BE72" s="14" t="n"/>
      <c r="BF72" s="15" t="n"/>
      <c r="BG72" s="64" t="n"/>
      <c r="BH72" s="65" t="n"/>
      <c r="BI72" s="64" t="n"/>
      <c r="BJ72" s="64" t="n"/>
      <c r="BK72" s="64" t="n"/>
      <c r="BL72" s="65" t="n"/>
      <c r="BM72" s="64" t="n"/>
      <c r="BN72" s="64" t="n"/>
      <c r="BO72" s="64" t="n"/>
      <c r="BP72" s="65" t="n"/>
      <c r="BQ72" s="64" t="n"/>
      <c r="BR72" s="64" t="n"/>
      <c r="BS72" s="64" t="n"/>
      <c r="BT72" s="64" t="n"/>
      <c r="BU72" s="65" t="n"/>
      <c r="BV72" s="64" t="n"/>
      <c r="BW72" s="64" t="n"/>
      <c r="BX72" s="64" t="n"/>
      <c r="BY72" s="65" t="n"/>
      <c r="BZ72" s="64" t="n"/>
      <c r="CA72" s="64" t="n"/>
      <c r="CB72" s="64" t="n"/>
      <c r="CC72" s="65" t="n"/>
      <c r="CD72" s="64" t="n"/>
      <c r="CE72" s="64" t="n"/>
      <c r="CF72" s="64" t="n"/>
      <c r="CG72" s="64" t="n"/>
      <c r="CH72" s="65" t="n"/>
      <c r="CI72" s="64" t="n"/>
      <c r="CJ72" s="64" t="n"/>
      <c r="CK72" s="64" t="n"/>
      <c r="CL72" s="65" t="n"/>
      <c r="CM72" s="64" t="n"/>
      <c r="CN72" s="64" t="n"/>
      <c r="CO72" s="64" t="n"/>
      <c r="CP72" s="64" t="n"/>
      <c r="CQ72" s="65" t="n"/>
      <c r="CR72" s="15" t="n"/>
      <c r="CS72" s="14" t="n"/>
      <c r="CT72" s="15" t="n"/>
      <c r="CU72" s="12" t="n"/>
      <c r="CV72" s="15" t="n"/>
      <c r="CW72" s="14" t="n"/>
      <c r="CX72" s="15" t="n"/>
    </row>
    <row r="73" ht="14" customHeight="1">
      <c r="A73" s="66" t="inlineStr">
        <is>
          <t>INT-02</t>
        </is>
      </c>
      <c r="B73" s="67" t="inlineStr">
        <is>
          <t>iFAT — Integración Shelters + PMS + INAUCO + HIMA</t>
        </is>
      </c>
      <c r="C73" s="62" t="inlineStr">
        <is>
          <t>S3+S4+PMS</t>
        </is>
      </c>
      <c r="D73" s="66" t="inlineStr">
        <is>
          <t>25/06/2027</t>
        </is>
      </c>
      <c r="E73" s="66" t="inlineStr">
        <is>
          <t>14/07/2027</t>
        </is>
      </c>
      <c r="F73" s="68" t="inlineStr">
        <is>
          <t>+3d</t>
        </is>
      </c>
      <c r="G73" s="12" t="n"/>
      <c r="H73" s="15" t="n"/>
      <c r="I73" s="14" t="n"/>
      <c r="J73" s="15" t="n"/>
      <c r="K73" s="14" t="n"/>
      <c r="L73" s="16" t="n"/>
      <c r="M73" s="14" t="n"/>
      <c r="N73" s="15" t="n"/>
      <c r="O73" s="14" t="n"/>
      <c r="P73" s="16" t="n"/>
      <c r="Q73" s="14" t="n"/>
      <c r="R73" s="15" t="n"/>
      <c r="S73" s="14" t="n"/>
      <c r="T73" s="15" t="n"/>
      <c r="U73" s="12" t="n"/>
      <c r="V73" s="15" t="n"/>
      <c r="W73" s="14" t="n"/>
      <c r="X73" s="15" t="n"/>
      <c r="Y73" s="12" t="n"/>
      <c r="Z73" s="15" t="n"/>
      <c r="AA73" s="14" t="n"/>
      <c r="AB73" s="15" t="n"/>
      <c r="AC73" s="12" t="n"/>
      <c r="AD73" s="15" t="n"/>
      <c r="AE73" s="14" t="n"/>
      <c r="AF73" s="15" t="n"/>
      <c r="AG73" s="14" t="n"/>
      <c r="AH73" s="16" t="n"/>
      <c r="AI73" s="14" t="n"/>
      <c r="AJ73" s="15" t="n"/>
      <c r="AK73" s="14" t="n"/>
      <c r="AL73" s="16" t="n"/>
      <c r="AM73" s="14" t="n"/>
      <c r="AN73" s="15" t="n"/>
      <c r="AO73" s="14" t="n"/>
      <c r="AP73" s="16" t="n"/>
      <c r="AQ73" s="14" t="n"/>
      <c r="AR73" s="15" t="n"/>
      <c r="AS73" s="14" t="n"/>
      <c r="AT73" s="15" t="n"/>
      <c r="AU73" s="12" t="n"/>
      <c r="AV73" s="15" t="n"/>
      <c r="AW73" s="14" t="n"/>
      <c r="AX73" s="15" t="n"/>
      <c r="AY73" s="12" t="n"/>
      <c r="AZ73" s="15" t="n"/>
      <c r="BA73" s="14" t="n"/>
      <c r="BB73" s="15" t="n"/>
      <c r="BC73" s="12" t="n"/>
      <c r="BD73" s="15" t="n"/>
      <c r="BE73" s="14" t="n"/>
      <c r="BF73" s="15" t="n"/>
      <c r="BG73" s="14" t="n"/>
      <c r="BH73" s="16" t="n"/>
      <c r="BI73" s="14" t="n"/>
      <c r="BJ73" s="15" t="n"/>
      <c r="BK73" s="14" t="n"/>
      <c r="BL73" s="16" t="n"/>
      <c r="BM73" s="14" t="n"/>
      <c r="BN73" s="15" t="n"/>
      <c r="BO73" s="28" t="n"/>
      <c r="BP73" s="29" t="n"/>
      <c r="BQ73" s="28" t="n"/>
      <c r="BR73" s="15" t="n"/>
      <c r="BS73" s="14" t="n"/>
      <c r="BT73" s="15" t="n"/>
      <c r="BU73" s="12" t="n"/>
      <c r="BV73" s="15" t="n"/>
      <c r="BW73" s="14" t="n"/>
      <c r="BX73" s="15" t="n"/>
      <c r="BY73" s="12" t="n"/>
      <c r="BZ73" s="15" t="n"/>
      <c r="CA73" s="14" t="n"/>
      <c r="CB73" s="15" t="n"/>
      <c r="CC73" s="12" t="n"/>
      <c r="CD73" s="15" t="n"/>
      <c r="CE73" s="14" t="n"/>
      <c r="CF73" s="15" t="n"/>
      <c r="CG73" s="14" t="n"/>
      <c r="CH73" s="16" t="n"/>
      <c r="CI73" s="14" t="n"/>
      <c r="CJ73" s="15" t="n"/>
      <c r="CK73" s="14" t="n"/>
      <c r="CL73" s="16" t="n"/>
      <c r="CM73" s="14" t="n"/>
      <c r="CN73" s="15" t="n"/>
      <c r="CO73" s="14" t="n"/>
      <c r="CP73" s="15" t="n"/>
      <c r="CQ73" s="12" t="n"/>
      <c r="CR73" s="15" t="n"/>
      <c r="CS73" s="14" t="n"/>
      <c r="CT73" s="15" t="n"/>
      <c r="CU73" s="12" t="n"/>
      <c r="CV73" s="15" t="n"/>
      <c r="CW73" s="14" t="n"/>
      <c r="CX73" s="15" t="n"/>
    </row>
    <row r="74" ht="14" customHeight="1">
      <c r="A74" s="60" t="inlineStr">
        <is>
          <t>INT-03</t>
        </is>
      </c>
      <c r="B74" s="61" t="inlineStr">
        <is>
          <t>Inicio montaje Shelters en campo (S#3 y S#4)</t>
        </is>
      </c>
      <c r="C74" s="62" t="inlineStr">
        <is>
          <t>EPC</t>
        </is>
      </c>
      <c r="D74" s="62" t="inlineStr">
        <is>
          <t>28/06/2027</t>
        </is>
      </c>
      <c r="E74" s="62" t="inlineStr">
        <is>
          <t>21/08/2027</t>
        </is>
      </c>
      <c r="F74" s="63" t="inlineStr">
        <is>
          <t>—</t>
        </is>
      </c>
      <c r="G74" s="12" t="n"/>
      <c r="H74" s="15" t="n"/>
      <c r="I74" s="14" t="n"/>
      <c r="J74" s="15" t="n"/>
      <c r="K74" s="14" t="n"/>
      <c r="L74" s="16" t="n"/>
      <c r="M74" s="14" t="n"/>
      <c r="N74" s="15" t="n"/>
      <c r="O74" s="14" t="n"/>
      <c r="P74" s="16" t="n"/>
      <c r="Q74" s="14" t="n"/>
      <c r="R74" s="15" t="n"/>
      <c r="S74" s="14" t="n"/>
      <c r="T74" s="15" t="n"/>
      <c r="U74" s="12" t="n"/>
      <c r="V74" s="15" t="n"/>
      <c r="W74" s="14" t="n"/>
      <c r="X74" s="15" t="n"/>
      <c r="Y74" s="12" t="n"/>
      <c r="Z74" s="15" t="n"/>
      <c r="AA74" s="14" t="n"/>
      <c r="AB74" s="15" t="n"/>
      <c r="AC74" s="12" t="n"/>
      <c r="AD74" s="15" t="n"/>
      <c r="AE74" s="14" t="n"/>
      <c r="AF74" s="15" t="n"/>
      <c r="AG74" s="14" t="n"/>
      <c r="AH74" s="16" t="n"/>
      <c r="AI74" s="14" t="n"/>
      <c r="AJ74" s="15" t="n"/>
      <c r="AK74" s="14" t="n"/>
      <c r="AL74" s="16" t="n"/>
      <c r="AM74" s="14" t="n"/>
      <c r="AN74" s="15" t="n"/>
      <c r="AO74" s="14" t="n"/>
      <c r="AP74" s="16" t="n"/>
      <c r="AQ74" s="14" t="n"/>
      <c r="AR74" s="15" t="n"/>
      <c r="AS74" s="14" t="n"/>
      <c r="AT74" s="15" t="n"/>
      <c r="AU74" s="12" t="n"/>
      <c r="AV74" s="15" t="n"/>
      <c r="AW74" s="14" t="n"/>
      <c r="AX74" s="15" t="n"/>
      <c r="AY74" s="12" t="n"/>
      <c r="AZ74" s="15" t="n"/>
      <c r="BA74" s="14" t="n"/>
      <c r="BB74" s="15" t="n"/>
      <c r="BC74" s="12" t="n"/>
      <c r="BD74" s="15" t="n"/>
      <c r="BE74" s="14" t="n"/>
      <c r="BF74" s="15" t="n"/>
      <c r="BG74" s="14" t="n"/>
      <c r="BH74" s="16" t="n"/>
      <c r="BI74" s="14" t="n"/>
      <c r="BJ74" s="15" t="n"/>
      <c r="BK74" s="14" t="n"/>
      <c r="BL74" s="16" t="n"/>
      <c r="BM74" s="14" t="n"/>
      <c r="BN74" s="15" t="n"/>
      <c r="BO74" s="64" t="n"/>
      <c r="BP74" s="65" t="n"/>
      <c r="BQ74" s="64" t="n"/>
      <c r="BR74" s="64" t="n"/>
      <c r="BS74" s="64" t="n"/>
      <c r="BT74" s="64" t="n"/>
      <c r="BU74" s="65" t="n"/>
      <c r="BV74" s="64" t="n"/>
      <c r="BW74" s="64" t="n"/>
      <c r="BX74" s="15" t="n"/>
      <c r="BY74" s="12" t="n"/>
      <c r="BZ74" s="15" t="n"/>
      <c r="CA74" s="14" t="n"/>
      <c r="CB74" s="15" t="n"/>
      <c r="CC74" s="12" t="n"/>
      <c r="CD74" s="15" t="n"/>
      <c r="CE74" s="14" t="n"/>
      <c r="CF74" s="15" t="n"/>
      <c r="CG74" s="14" t="n"/>
      <c r="CH74" s="16" t="n"/>
      <c r="CI74" s="14" t="n"/>
      <c r="CJ74" s="15" t="n"/>
      <c r="CK74" s="14" t="n"/>
      <c r="CL74" s="16" t="n"/>
      <c r="CM74" s="14" t="n"/>
      <c r="CN74" s="15" t="n"/>
      <c r="CO74" s="14" t="n"/>
      <c r="CP74" s="15" t="n"/>
      <c r="CQ74" s="12" t="n"/>
      <c r="CR74" s="15" t="n"/>
      <c r="CS74" s="14" t="n"/>
      <c r="CT74" s="15" t="n"/>
      <c r="CU74" s="12" t="n"/>
      <c r="CV74" s="15" t="n"/>
      <c r="CW74" s="14" t="n"/>
      <c r="CX74" s="15" t="n"/>
    </row>
    <row r="75" ht="14" customHeight="1">
      <c r="A75" s="66" t="inlineStr">
        <is>
          <t>INT-04</t>
        </is>
      </c>
      <c r="B75" s="67" t="inlineStr">
        <is>
          <t>Inicio Comisionado</t>
        </is>
      </c>
      <c r="C75" s="62" t="inlineStr">
        <is>
          <t>EPC</t>
        </is>
      </c>
      <c r="D75" s="66" t="inlineStr">
        <is>
          <t>16/07/2027</t>
        </is>
      </c>
      <c r="E75" s="66" t="inlineStr">
        <is>
          <t>31/01/2028</t>
        </is>
      </c>
      <c r="F75" s="63" t="inlineStr">
        <is>
          <t>—</t>
        </is>
      </c>
      <c r="G75" s="12" t="n"/>
      <c r="H75" s="15" t="n"/>
      <c r="I75" s="14" t="n"/>
      <c r="J75" s="15" t="n"/>
      <c r="K75" s="14" t="n"/>
      <c r="L75" s="16" t="n"/>
      <c r="M75" s="14" t="n"/>
      <c r="N75" s="15" t="n"/>
      <c r="O75" s="14" t="n"/>
      <c r="P75" s="16" t="n"/>
      <c r="Q75" s="14" t="n"/>
      <c r="R75" s="15" t="n"/>
      <c r="S75" s="14" t="n"/>
      <c r="T75" s="15" t="n"/>
      <c r="U75" s="12" t="n"/>
      <c r="V75" s="15" t="n"/>
      <c r="W75" s="14" t="n"/>
      <c r="X75" s="15" t="n"/>
      <c r="Y75" s="12" t="n"/>
      <c r="Z75" s="15" t="n"/>
      <c r="AA75" s="14" t="n"/>
      <c r="AB75" s="15" t="n"/>
      <c r="AC75" s="12" t="n"/>
      <c r="AD75" s="15" t="n"/>
      <c r="AE75" s="14" t="n"/>
      <c r="AF75" s="15" t="n"/>
      <c r="AG75" s="14" t="n"/>
      <c r="AH75" s="16" t="n"/>
      <c r="AI75" s="14" t="n"/>
      <c r="AJ75" s="15" t="n"/>
      <c r="AK75" s="14" t="n"/>
      <c r="AL75" s="16" t="n"/>
      <c r="AM75" s="14" t="n"/>
      <c r="AN75" s="15" t="n"/>
      <c r="AO75" s="14" t="n"/>
      <c r="AP75" s="16" t="n"/>
      <c r="AQ75" s="14" t="n"/>
      <c r="AR75" s="15" t="n"/>
      <c r="AS75" s="14" t="n"/>
      <c r="AT75" s="15" t="n"/>
      <c r="AU75" s="12" t="n"/>
      <c r="AV75" s="15" t="n"/>
      <c r="AW75" s="14" t="n"/>
      <c r="AX75" s="15" t="n"/>
      <c r="AY75" s="12" t="n"/>
      <c r="AZ75" s="15" t="n"/>
      <c r="BA75" s="14" t="n"/>
      <c r="BB75" s="15" t="n"/>
      <c r="BC75" s="12" t="n"/>
      <c r="BD75" s="15" t="n"/>
      <c r="BE75" s="14" t="n"/>
      <c r="BF75" s="15" t="n"/>
      <c r="BG75" s="14" t="n"/>
      <c r="BH75" s="16" t="n"/>
      <c r="BI75" s="14" t="n"/>
      <c r="BJ75" s="15" t="n"/>
      <c r="BK75" s="14" t="n"/>
      <c r="BL75" s="16" t="n"/>
      <c r="BM75" s="14" t="n"/>
      <c r="BN75" s="15" t="n"/>
      <c r="BO75" s="14" t="n"/>
      <c r="BP75" s="16" t="n"/>
      <c r="BQ75" s="14" t="n"/>
      <c r="BR75" s="64" t="n"/>
      <c r="BS75" s="64" t="n"/>
      <c r="BT75" s="64" t="n"/>
      <c r="BU75" s="65" t="n"/>
      <c r="BV75" s="64" t="n"/>
      <c r="BW75" s="64" t="n"/>
      <c r="BX75" s="64" t="n"/>
      <c r="BY75" s="65" t="n"/>
      <c r="BZ75" s="64" t="n"/>
      <c r="CA75" s="64" t="n"/>
      <c r="CB75" s="64" t="n"/>
      <c r="CC75" s="65" t="n"/>
      <c r="CD75" s="64" t="n"/>
      <c r="CE75" s="64" t="n"/>
      <c r="CF75" s="64" t="n"/>
      <c r="CG75" s="64" t="n"/>
      <c r="CH75" s="65" t="n"/>
      <c r="CI75" s="64" t="n"/>
      <c r="CJ75" s="64" t="n"/>
      <c r="CK75" s="64" t="n"/>
      <c r="CL75" s="65" t="n"/>
      <c r="CM75" s="64" t="n"/>
      <c r="CN75" s="64" t="n"/>
      <c r="CO75" s="64" t="n"/>
      <c r="CP75" s="64" t="n"/>
      <c r="CQ75" s="65" t="n"/>
      <c r="CR75" s="64" t="n"/>
      <c r="CS75" s="64" t="n"/>
      <c r="CT75" s="64" t="n"/>
      <c r="CU75" s="12" t="n"/>
      <c r="CV75" s="15" t="n"/>
      <c r="CW75" s="14" t="n"/>
      <c r="CX75" s="15" t="n"/>
    </row>
    <row r="76" ht="13" customHeight="1">
      <c r="A76" s="66" t="inlineStr">
        <is>
          <t>INT-05</t>
        </is>
      </c>
      <c r="B76" s="67" t="inlineStr">
        <is>
          <t>★ RFSU — Ready For Start Up Planta Total</t>
        </is>
      </c>
      <c r="C76" s="62" t="inlineStr">
        <is>
          <t>PROYECTO</t>
        </is>
      </c>
      <c r="D76" s="66" t="inlineStr">
        <is>
          <t>31/01/2028</t>
        </is>
      </c>
      <c r="E76" s="69" t="inlineStr">
        <is>
          <t>31/01/2028</t>
        </is>
      </c>
      <c r="F76" s="63" t="inlineStr">
        <is>
          <t>—</t>
        </is>
      </c>
      <c r="G76" s="12" t="n"/>
      <c r="H76" s="15" t="n"/>
      <c r="I76" s="14" t="n"/>
      <c r="J76" s="15" t="n"/>
      <c r="K76" s="14" t="n"/>
      <c r="L76" s="16" t="n"/>
      <c r="M76" s="14" t="n"/>
      <c r="N76" s="15" t="n"/>
      <c r="O76" s="14" t="n"/>
      <c r="P76" s="16" t="n"/>
      <c r="Q76" s="14" t="n"/>
      <c r="R76" s="15" t="n"/>
      <c r="S76" s="14" t="n"/>
      <c r="T76" s="15" t="n"/>
      <c r="U76" s="12" t="n"/>
      <c r="V76" s="15" t="n"/>
      <c r="W76" s="14" t="n"/>
      <c r="X76" s="15" t="n"/>
      <c r="Y76" s="12" t="n"/>
      <c r="Z76" s="15" t="n"/>
      <c r="AA76" s="14" t="n"/>
      <c r="AB76" s="15" t="n"/>
      <c r="AC76" s="12" t="n"/>
      <c r="AD76" s="15" t="n"/>
      <c r="AE76" s="14" t="n"/>
      <c r="AF76" s="15" t="n"/>
      <c r="AG76" s="14" t="n"/>
      <c r="AH76" s="16" t="n"/>
      <c r="AI76" s="14" t="n"/>
      <c r="AJ76" s="15" t="n"/>
      <c r="AK76" s="14" t="n"/>
      <c r="AL76" s="16" t="n"/>
      <c r="AM76" s="14" t="n"/>
      <c r="AN76" s="15" t="n"/>
      <c r="AO76" s="14" t="n"/>
      <c r="AP76" s="16" t="n"/>
      <c r="AQ76" s="14" t="n"/>
      <c r="AR76" s="15" t="n"/>
      <c r="AS76" s="14" t="n"/>
      <c r="AT76" s="15" t="n"/>
      <c r="AU76" s="12" t="n"/>
      <c r="AV76" s="15" t="n"/>
      <c r="AW76" s="14" t="n"/>
      <c r="AX76" s="15" t="n"/>
      <c r="AY76" s="12" t="n"/>
      <c r="AZ76" s="15" t="n"/>
      <c r="BA76" s="14" t="n"/>
      <c r="BB76" s="15" t="n"/>
      <c r="BC76" s="12" t="n"/>
      <c r="BD76" s="15" t="n"/>
      <c r="BE76" s="14" t="n"/>
      <c r="BF76" s="15" t="n"/>
      <c r="BG76" s="14" t="n"/>
      <c r="BH76" s="16" t="n"/>
      <c r="BI76" s="14" t="n"/>
      <c r="BJ76" s="15" t="n"/>
      <c r="BK76" s="14" t="n"/>
      <c r="BL76" s="16" t="n"/>
      <c r="BM76" s="14" t="n"/>
      <c r="BN76" s="15" t="n"/>
      <c r="BO76" s="14" t="n"/>
      <c r="BP76" s="16" t="n"/>
      <c r="BQ76" s="14" t="n"/>
      <c r="BR76" s="15" t="n"/>
      <c r="BS76" s="14" t="n"/>
      <c r="BT76" s="15" t="n"/>
      <c r="BU76" s="12" t="n"/>
      <c r="BV76" s="15" t="n"/>
      <c r="BW76" s="14" t="n"/>
      <c r="BX76" s="15" t="n"/>
      <c r="BY76" s="12" t="n"/>
      <c r="BZ76" s="15" t="n"/>
      <c r="CA76" s="14" t="n"/>
      <c r="CB76" s="15" t="n"/>
      <c r="CC76" s="12" t="n"/>
      <c r="CD76" s="15" t="n"/>
      <c r="CE76" s="14" t="n"/>
      <c r="CF76" s="15" t="n"/>
      <c r="CG76" s="14" t="n"/>
      <c r="CH76" s="16" t="n"/>
      <c r="CI76" s="14" t="n"/>
      <c r="CJ76" s="15" t="n"/>
      <c r="CK76" s="14" t="n"/>
      <c r="CL76" s="16" t="n"/>
      <c r="CM76" s="14" t="n"/>
      <c r="CN76" s="15" t="n"/>
      <c r="CO76" s="14" t="n"/>
      <c r="CP76" s="15" t="n"/>
      <c r="CQ76" s="12" t="n"/>
      <c r="CR76" s="15" t="n"/>
      <c r="CS76" s="14" t="n"/>
      <c r="CT76" s="13" t="inlineStr">
        <is>
          <t>★</t>
        </is>
      </c>
      <c r="CU76" s="12" t="n"/>
      <c r="CV76" s="15" t="n"/>
      <c r="CW76" s="14" t="n"/>
      <c r="CX76" s="15" t="n"/>
    </row>
    <row r="77" ht="22" customHeight="1">
      <c r="A77" s="70" t="inlineStr">
        <is>
          <t>★ CADENA CRÍTICA S#3: 37 CCMs BT → FP-IC 31/AGO/2026 → FAT 19/ABR/2027 → Despacho 14/MAY/2027  |  Holguras: FAT S3 +35d | Despacho S3 +45d | iFAT +3d | RFSU 31/ENE/2028 = IGUAL EN P6 ✅</t>
        </is>
      </c>
    </row>
  </sheetData>
  <mergeCells count="34">
    <mergeCell ref="AP4:AT4"/>
    <mergeCell ref="P4:T4"/>
    <mergeCell ref="A13:CX13"/>
    <mergeCell ref="AL4:AO4"/>
    <mergeCell ref="A44:CX44"/>
    <mergeCell ref="BU4:BX4"/>
    <mergeCell ref="A77:CX77"/>
    <mergeCell ref="A64:CX64"/>
    <mergeCell ref="BP4:BT4"/>
    <mergeCell ref="U4:X4"/>
    <mergeCell ref="AP3:CP3"/>
    <mergeCell ref="A1:CX1"/>
    <mergeCell ref="Y4:AB4"/>
    <mergeCell ref="CQ3:CX3"/>
    <mergeCell ref="BH4:BK4"/>
    <mergeCell ref="BY4:CB4"/>
    <mergeCell ref="A6:CX6"/>
    <mergeCell ref="CU4:CX4"/>
    <mergeCell ref="AC4:AG4"/>
    <mergeCell ref="CC4:CG4"/>
    <mergeCell ref="A25:CX25"/>
    <mergeCell ref="AU4:AX4"/>
    <mergeCell ref="AH4:AK4"/>
    <mergeCell ref="AY4:BB4"/>
    <mergeCell ref="G3:AO3"/>
    <mergeCell ref="CH4:CK4"/>
    <mergeCell ref="G4:K4"/>
    <mergeCell ref="A2:CX2"/>
    <mergeCell ref="A71:CX71"/>
    <mergeCell ref="BC4:BG4"/>
    <mergeCell ref="CL4:CP4"/>
    <mergeCell ref="L4:O4"/>
    <mergeCell ref="BL4:BO4"/>
    <mergeCell ref="CQ4:C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4" customWidth="1" min="4" max="4"/>
    <col width="14" customWidth="1" min="5" max="5"/>
    <col width="14" customWidth="1" min="6" max="6"/>
    <col width="18" customWidth="1" min="7" max="7"/>
    <col width="22" customWidth="1" min="8" max="8"/>
    <col width="28" customWidth="1" min="9" max="9"/>
    <col width="4" customWidth="1" min="10" max="10"/>
  </cols>
  <sheetData>
    <row r="1" ht="8" customHeight="1"/>
    <row r="2" ht="28" customHeight="1">
      <c r="B2" s="71" t="inlineStr">
        <is>
          <t>FREEZING POINTS — REGISTRO Y SEGUIMIENTO</t>
        </is>
      </c>
      <c r="C2" s="72" t="n"/>
      <c r="D2" s="72" t="n"/>
      <c r="E2" s="72" t="n"/>
      <c r="F2" s="72" t="n"/>
      <c r="G2" s="72" t="n"/>
      <c r="H2" s="72" t="n"/>
      <c r="I2" s="72" t="n"/>
      <c r="J2" s="72" t="n"/>
    </row>
    <row r="3" ht="18" customHeight="1">
      <c r="B3" s="73" t="inlineStr">
        <is>
          <t>Congelamiento de diseño: un cambio post-FP requiere Nota de Cambio + impacto costo/plazo</t>
        </is>
      </c>
      <c r="C3" s="72" t="n"/>
      <c r="D3" s="72" t="n"/>
      <c r="E3" s="72" t="n"/>
      <c r="F3" s="72" t="n"/>
      <c r="G3" s="72" t="n"/>
      <c r="H3" s="72" t="n"/>
      <c r="I3" s="72" t="n"/>
      <c r="J3" s="72" t="n"/>
    </row>
    <row r="4" ht="8" customHeight="1"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</row>
    <row r="5" ht="22" customHeight="1">
      <c r="B5" s="74" t="inlineStr">
        <is>
          <t>#</t>
        </is>
      </c>
      <c r="C5" s="74" t="inlineStr">
        <is>
          <t>ID</t>
        </is>
      </c>
      <c r="D5" s="74" t="inlineStr">
        <is>
          <t>Freezing Point</t>
        </is>
      </c>
      <c r="E5" s="74" t="inlineStr">
        <is>
          <t>Fecha Plan</t>
        </is>
      </c>
      <c r="F5" s="74" t="inlineStr">
        <is>
          <t>Fecha Real</t>
        </is>
      </c>
      <c r="G5" s="74" t="inlineStr">
        <is>
          <t>Días δ</t>
        </is>
      </c>
      <c r="H5" s="74" t="inlineStr">
        <is>
          <t>Estado</t>
        </is>
      </c>
      <c r="I5" s="74" t="inlineStr">
        <is>
          <t>Impacto si se demora</t>
        </is>
      </c>
      <c r="J5" s="74" t="inlineStr">
        <is>
          <t>Acciones / Notas</t>
        </is>
      </c>
    </row>
    <row r="6" ht="28" customHeight="1">
      <c r="B6" s="75" t="n">
        <v>1</v>
      </c>
      <c r="C6" s="76" t="inlineStr">
        <is>
          <t>FP-P1</t>
        </is>
      </c>
      <c r="D6" s="77" t="inlineStr">
        <is>
          <t>◆ FREEZING POINT — Ing. Básica PMS</t>
        </is>
      </c>
      <c r="E6" s="78" t="inlineStr">
        <is>
          <t>19/06/2026</t>
        </is>
      </c>
      <c r="F6" s="79" t="inlineStr">
        <is>
          <t>—</t>
        </is>
      </c>
      <c r="G6" s="79" t="inlineStr">
        <is>
          <t>—</t>
        </is>
      </c>
      <c r="H6" s="80" t="inlineStr">
        <is>
          <t>Pendiente</t>
        </is>
      </c>
      <c r="I6" s="81" t="inlineStr">
        <is>
          <t>Demora en procura y fabricación tablero PMS. PMS tiene holgura amplia (222d vs P6)</t>
        </is>
      </c>
      <c r="J6" s="82" t="inlineStr">
        <is>
          <t>CONGELAR DISEÑO IB. Cambios posteriores → Nota de Cambio + impacto costo/plazo</t>
        </is>
      </c>
    </row>
    <row r="7" ht="28" customHeight="1">
      <c r="B7" s="75" t="n">
        <v>2</v>
      </c>
      <c r="C7" s="76" t="inlineStr">
        <is>
          <t>FP-P2</t>
        </is>
      </c>
      <c r="D7" s="77" t="inlineStr">
        <is>
          <t>◆ FREEZING POINT — Ing. Detalle PMS</t>
        </is>
      </c>
      <c r="E7" s="78" t="inlineStr">
        <is>
          <t>31/07/2026</t>
        </is>
      </c>
      <c r="F7" s="79" t="inlineStr">
        <is>
          <t>—</t>
        </is>
      </c>
      <c r="G7" s="79" t="inlineStr">
        <is>
          <t>—</t>
        </is>
      </c>
      <c r="H7" s="80" t="inlineStr">
        <is>
          <t>Pendiente</t>
        </is>
      </c>
      <c r="I7" s="81" t="inlineStr">
        <is>
          <t>Retrasa inicio fabricación tablero de control PMS. Holgura absorbida</t>
        </is>
      </c>
      <c r="J7" s="82" t="inlineStr">
        <is>
          <t>CONGELAR DISEÑO ID. Inicio oficial de fabricación tablero de control PMS</t>
        </is>
      </c>
    </row>
    <row r="8" ht="28" customHeight="1">
      <c r="B8" s="83" t="n">
        <v>3</v>
      </c>
      <c r="C8" s="84" t="inlineStr">
        <is>
          <t>FP-S4-1</t>
        </is>
      </c>
      <c r="D8" s="85" t="inlineStr">
        <is>
          <t>◆ FREEZING POINT — Ing. Básica Sala #4</t>
        </is>
      </c>
      <c r="E8" s="86" t="inlineStr">
        <is>
          <t>26/06/2026</t>
        </is>
      </c>
      <c r="F8" s="79" t="inlineStr">
        <is>
          <t>—</t>
        </is>
      </c>
      <c r="G8" s="79" t="inlineStr">
        <is>
          <t>—</t>
        </is>
      </c>
      <c r="H8" s="80" t="inlineStr">
        <is>
          <t>Pendiente</t>
        </is>
      </c>
      <c r="I8" s="87" t="inlineStr">
        <is>
          <t>Demora OC celdas MT Turquía (lead time 6m) → FAT S#4 tarde → Despacho S#4 tarde</t>
        </is>
      </c>
      <c r="J8" s="88" t="inlineStr">
        <is>
          <t>CONGELAR. Inicio procura celdas MT (Turquía — lead time ~6 meses). CRÍTICO para timing logístico</t>
        </is>
      </c>
    </row>
    <row r="9" ht="28" customHeight="1">
      <c r="B9" s="83" t="n">
        <v>4</v>
      </c>
      <c r="C9" s="84" t="inlineStr">
        <is>
          <t>FP-S4-2</t>
        </is>
      </c>
      <c r="D9" s="85" t="inlineStr">
        <is>
          <t>◆ FREEZING POINT — Ing. Detalle Sala #4</t>
        </is>
      </c>
      <c r="E9" s="86" t="inlineStr">
        <is>
          <t>14/08/2026</t>
        </is>
      </c>
      <c r="F9" s="79" t="inlineStr">
        <is>
          <t>—</t>
        </is>
      </c>
      <c r="G9" s="79" t="inlineStr">
        <is>
          <t>—</t>
        </is>
      </c>
      <c r="H9" s="80" t="inlineStr">
        <is>
          <t>Pendiente</t>
        </is>
      </c>
      <c r="I9" s="87" t="inlineStr">
        <is>
          <t>Retrasa fabricación tableros auxiliares. Impacto en montaje Shelter S#4</t>
        </is>
      </c>
      <c r="J9" s="88" t="inlineStr">
        <is>
          <t>CONGELAR diseño detalle. Inicio fabricación tableros auxiliares BsAs</t>
        </is>
      </c>
    </row>
    <row r="10" ht="28" customHeight="1">
      <c r="B10" s="83" t="n">
        <v>5</v>
      </c>
      <c r="C10" s="84" t="inlineStr">
        <is>
          <t>FP-S4-3</t>
        </is>
      </c>
      <c r="D10" s="85" t="inlineStr">
        <is>
          <t>◆ FREEZING POINT — Ing. Constructiva Sala #4  ← CIERRA INGENIERÍA S4</t>
        </is>
      </c>
      <c r="E10" s="86" t="inlineStr">
        <is>
          <t>28/08/2026</t>
        </is>
      </c>
      <c r="F10" s="79" t="inlineStr">
        <is>
          <t>—</t>
        </is>
      </c>
      <c r="G10" s="79" t="inlineStr">
        <is>
          <t>—</t>
        </is>
      </c>
      <c r="H10" s="80" t="inlineStr">
        <is>
          <t>Pendiente</t>
        </is>
      </c>
      <c r="I10" s="87" t="inlineStr">
        <is>
          <t>Cierra ingeniería S#4. Demora → montaje e integración Shelter late → FAT S#4 tarde</t>
        </is>
      </c>
      <c r="J10" s="88" t="inlineStr">
        <is>
          <t>ÚLTIMO FP DE S4 (24-AGO). Cierre total ingeniería Sala #4. Sin hito equivalente en P6 ⚠</t>
        </is>
      </c>
    </row>
    <row r="11" ht="28" customHeight="1">
      <c r="B11" s="89" t="n">
        <v>6</v>
      </c>
      <c r="C11" s="90" t="inlineStr">
        <is>
          <t>FP-S3-1</t>
        </is>
      </c>
      <c r="D11" s="91" t="inlineStr">
        <is>
          <t>◆ FREEZING POINT — Ing. Básica Sala #3</t>
        </is>
      </c>
      <c r="E11" s="90" t="inlineStr">
        <is>
          <t>03/07/2026</t>
        </is>
      </c>
      <c r="F11" s="79" t="inlineStr">
        <is>
          <t>—</t>
        </is>
      </c>
      <c r="G11" s="79" t="inlineStr">
        <is>
          <t>—</t>
        </is>
      </c>
      <c r="H11" s="80" t="inlineStr">
        <is>
          <t>Pendiente</t>
        </is>
      </c>
      <c r="I11" s="92" t="inlineStr">
        <is>
          <t>Demora OC ductos barras Turquía (lead 6m) + VFDs BT Finlandia → FAT S#3 tardío ★ CRÍTICO</t>
        </is>
      </c>
      <c r="J11" s="93" t="inlineStr">
        <is>
          <t>1 semana después que S4 (26-JUN). CONGELAR. Inicio procura ductos barras (Turquía)</t>
        </is>
      </c>
    </row>
    <row r="12" ht="28" customHeight="1">
      <c r="B12" s="89" t="n">
        <v>7</v>
      </c>
      <c r="C12" s="90" t="inlineStr">
        <is>
          <t>FP-S3-2</t>
        </is>
      </c>
      <c r="D12" s="91" t="inlineStr">
        <is>
          <t>◆ FREEZING POINT — Ing. Detalle Sala #3</t>
        </is>
      </c>
      <c r="E12" s="90" t="inlineStr">
        <is>
          <t>14/08/2026</t>
        </is>
      </c>
      <c r="F12" s="79" t="inlineStr">
        <is>
          <t>—</t>
        </is>
      </c>
      <c r="G12" s="79" t="inlineStr">
        <is>
          <t>—</t>
        </is>
      </c>
      <c r="H12" s="80" t="inlineStr">
        <is>
          <t>Pendiente</t>
        </is>
      </c>
      <c r="I12" s="92" t="inlineStr">
        <is>
          <t>Retrasa fabricación 37 CCMs Brasil. Demora en ensayos → FAT S#3 tarde → Despacho late</t>
        </is>
      </c>
      <c r="J12" s="93" t="inlineStr">
        <is>
          <t>CONGELAR diseño detalle S3. Inicio fabricación tableros BT (Brasil). Sin hito P6 ⚠</t>
        </is>
      </c>
    </row>
    <row r="13" ht="28" customHeight="1">
      <c r="B13" s="89" t="n">
        <v>8</v>
      </c>
      <c r="C13" s="90" t="inlineStr">
        <is>
          <t>FP-S3-3</t>
        </is>
      </c>
      <c r="D13" s="91" t="inlineStr">
        <is>
          <t>◆ FREEZING POINT — Ing. Constructiva Sala #3  ← ÚLTIMO FP ABB</t>
        </is>
      </c>
      <c r="E13" s="90" t="inlineStr">
        <is>
          <t>31/08/2026</t>
        </is>
      </c>
      <c r="F13" s="79" t="inlineStr">
        <is>
          <t>—</t>
        </is>
      </c>
      <c r="G13" s="79" t="inlineStr">
        <is>
          <t>—</t>
        </is>
      </c>
      <c r="H13" s="80" t="inlineStr">
        <is>
          <t>Pendiente</t>
        </is>
      </c>
      <c r="I13" s="92" t="inlineStr">
        <is>
          <t>★ ÚLTIMO FP: demora directa sobre montaje Shelter S#3 → FAT tarde → ENTREGA TARDE → PENALIDAD</t>
        </is>
      </c>
      <c r="J13" s="93" t="inlineStr">
        <is>
          <t>★ HITO CLAVE: ÚLTIMO FREEZING POINT DE TODO EL PROYECTO ABB — 31-AGO-2026. Cierra toda la ingeniería. Sin hito en P6 ⚠</t>
        </is>
      </c>
    </row>
    <row r="15" ht="22" customHeight="1">
      <c r="B15" s="94" t="inlineStr">
        <is>
          <t>★ ACCIÓN INMEDIATA: AESA debe confirmar antes del 05-JUN-2026 el cambio CCM7 (3×22kW → 2×45kW+VFD) — impacta IB y FP-S3-1</t>
        </is>
      </c>
    </row>
  </sheetData>
  <mergeCells count="4">
    <mergeCell ref="B15:I15"/>
    <mergeCell ref="B1:I1"/>
    <mergeCell ref="B2:I2"/>
    <mergeCell ref="B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42" customWidth="1" min="4" max="4"/>
    <col width="14" customWidth="1" min="5" max="5"/>
    <col width="14" customWidth="1" min="6" max="6"/>
    <col width="12" customWidth="1" min="7" max="7"/>
    <col width="18" customWidth="1" min="8" max="8"/>
    <col width="28" customWidth="1" min="9" max="9"/>
    <col width="4" customWidth="1" min="10" max="10"/>
  </cols>
  <sheetData>
    <row r="1" ht="8" customHeight="1"/>
    <row r="2" ht="28" customHeight="1">
      <c r="B2" s="95" t="inlineStr">
        <is>
          <t>CAMINO CRÍTICO — PROVISIÓN ABB  |  CPF-2 / La Calera II</t>
        </is>
      </c>
      <c r="C2" s="72" t="n"/>
      <c r="D2" s="72" t="n"/>
      <c r="E2" s="72" t="n"/>
      <c r="F2" s="72" t="n"/>
      <c r="G2" s="72" t="n"/>
      <c r="H2" s="72" t="n"/>
      <c r="I2" s="72" t="n"/>
    </row>
    <row r="3" ht="18" customHeight="1">
      <c r="B3" s="73" t="inlineStr">
        <is>
          <t>Sala #3 (BT) determina el despacho más tardío: 14-MAY-2027. Toda demora en S#3 impacta el proyecto sin holgura</t>
        </is>
      </c>
      <c r="C3" s="72" t="n"/>
      <c r="D3" s="72" t="n"/>
      <c r="E3" s="72" t="n"/>
      <c r="F3" s="72" t="n"/>
      <c r="G3" s="72" t="n"/>
      <c r="H3" s="72" t="n"/>
      <c r="I3" s="72" t="n"/>
    </row>
    <row r="4" ht="8" customHeight="1">
      <c r="B4" s="72" t="n"/>
      <c r="C4" s="72" t="n"/>
      <c r="D4" s="72" t="n"/>
      <c r="E4" s="72" t="n"/>
      <c r="F4" s="72" t="n"/>
      <c r="G4" s="72" t="n"/>
      <c r="H4" s="72" t="n"/>
      <c r="I4" s="72" t="n"/>
    </row>
    <row r="5" ht="22" customHeight="1">
      <c r="B5" s="74" t="inlineStr">
        <is>
          <t>#</t>
        </is>
      </c>
      <c r="C5" s="74" t="inlineStr">
        <is>
          <t>ID</t>
        </is>
      </c>
      <c r="D5" s="74" t="inlineStr">
        <is>
          <t>Actividad</t>
        </is>
      </c>
      <c r="E5" s="74" t="inlineStr">
        <is>
          <t>Inicio Plan</t>
        </is>
      </c>
      <c r="F5" s="74" t="inlineStr">
        <is>
          <t>Fin Plan</t>
        </is>
      </c>
      <c r="G5" s="74" t="inlineStr">
        <is>
          <t>Duración</t>
        </is>
      </c>
      <c r="H5" s="74" t="inlineStr">
        <is>
          <t>Tipo</t>
        </is>
      </c>
      <c r="I5" s="74" t="inlineStr">
        <is>
          <t>Consecuencia si demora</t>
        </is>
      </c>
    </row>
    <row r="6" ht="28" customHeight="1">
      <c r="B6" s="96" t="n">
        <v>1</v>
      </c>
      <c r="C6" s="97" t="inlineStr">
        <is>
          <t>HC-01</t>
        </is>
      </c>
      <c r="D6" s="98" t="inlineStr">
        <is>
          <t>◆ Aceptación OC — Inicio oficial ABB</t>
        </is>
      </c>
      <c r="E6" s="99" t="inlineStr">
        <is>
          <t>12/05/2026</t>
        </is>
      </c>
      <c r="F6" s="97" t="inlineStr">
        <is>
          <t>12/05/2026</t>
        </is>
      </c>
      <c r="G6" s="100" t="inlineStr">
        <is>
          <t>★</t>
        </is>
      </c>
      <c r="H6" s="99" t="inlineStr">
        <is>
          <t>Hito contractual</t>
        </is>
      </c>
      <c r="I6" s="101" t="inlineStr">
        <is>
          <t>Sin OC no hay proyecto. Completado ✅</t>
        </is>
      </c>
    </row>
    <row r="7" ht="28" customHeight="1">
      <c r="B7" s="96" t="n">
        <v>2</v>
      </c>
      <c r="C7" s="97" t="inlineStr">
        <is>
          <t>HC-02</t>
        </is>
      </c>
      <c r="D7" s="98" t="inlineStr">
        <is>
          <t>Envío cronograma preliminar ABB</t>
        </is>
      </c>
      <c r="E7" s="99" t="inlineStr">
        <is>
          <t>12/05/2026</t>
        </is>
      </c>
      <c r="F7" s="97" t="inlineStr">
        <is>
          <t>12/05/2026</t>
        </is>
      </c>
      <c r="G7" s="100" t="inlineStr">
        <is>
          <t>★</t>
        </is>
      </c>
      <c r="H7" s="99" t="inlineStr">
        <is>
          <t>Hito contractual</t>
        </is>
      </c>
      <c r="I7" s="101" t="inlineStr">
        <is>
          <t>Sin cronograma preliminar no hay baseline. Completado ✅</t>
        </is>
      </c>
    </row>
    <row r="8" ht="28" customHeight="1">
      <c r="B8" s="96" t="n">
        <v>3</v>
      </c>
      <c r="C8" s="97" t="inlineStr">
        <is>
          <t>HC-03</t>
        </is>
      </c>
      <c r="D8" s="98" t="inlineStr">
        <is>
          <t>KOM Salas Eléctricas #3 y #4</t>
        </is>
      </c>
      <c r="E8" s="99" t="inlineStr">
        <is>
          <t>18/05/2026</t>
        </is>
      </c>
      <c r="F8" s="97" t="inlineStr">
        <is>
          <t>18/05/2026</t>
        </is>
      </c>
      <c r="G8" s="100" t="inlineStr">
        <is>
          <t>★</t>
        </is>
      </c>
      <c r="H8" s="99" t="inlineStr">
        <is>
          <t>Hito contractual</t>
        </is>
      </c>
      <c r="I8" s="101" t="inlineStr">
        <is>
          <t>Sin KOM no comienza ingeniería. Completado ✅</t>
        </is>
      </c>
    </row>
    <row r="9" ht="28" customHeight="1">
      <c r="B9" s="96" t="n">
        <v>4</v>
      </c>
      <c r="C9" s="97" t="inlineStr">
        <is>
          <t>HC-04</t>
        </is>
      </c>
      <c r="D9" s="98" t="inlineStr">
        <is>
          <t>KOM PMS (Power Management System)</t>
        </is>
      </c>
      <c r="E9" s="99" t="inlineStr">
        <is>
          <t>22/05/2026</t>
        </is>
      </c>
      <c r="F9" s="97" t="inlineStr">
        <is>
          <t>22/05/2026</t>
        </is>
      </c>
      <c r="G9" s="100" t="inlineStr">
        <is>
          <t>★</t>
        </is>
      </c>
      <c r="H9" s="99" t="inlineStr">
        <is>
          <t>Hito contractual</t>
        </is>
      </c>
      <c r="I9" s="101" t="inlineStr">
        <is>
          <t>Sin KOM PMS no comienza ingeniería PMS. Completado ✅</t>
        </is>
      </c>
    </row>
    <row r="10" ht="28" customHeight="1">
      <c r="B10" s="96" t="n">
        <v>5</v>
      </c>
      <c r="C10" s="97" t="inlineStr">
        <is>
          <t>HC-05</t>
        </is>
      </c>
      <c r="D10" s="98" t="inlineStr">
        <is>
          <t>◆ Cronograma final ABB con Hold Points</t>
        </is>
      </c>
      <c r="E10" s="99" t="inlineStr">
        <is>
          <t>01/06/2026</t>
        </is>
      </c>
      <c r="F10" s="97" t="inlineStr">
        <is>
          <t>01/06/2026</t>
        </is>
      </c>
      <c r="G10" s="100" t="inlineStr">
        <is>
          <t>★</t>
        </is>
      </c>
      <c r="H10" s="99" t="inlineStr">
        <is>
          <t>Hito contractual</t>
        </is>
      </c>
      <c r="I10" s="101" t="inlineStr">
        <is>
          <t>Sin cronograma final no hay hitos certificables ni control contractual</t>
        </is>
      </c>
    </row>
    <row r="11" ht="28" customHeight="1">
      <c r="B11" s="96" t="n">
        <v>6</v>
      </c>
      <c r="C11" s="97" t="inlineStr">
        <is>
          <t>HC-06</t>
        </is>
      </c>
      <c r="D11" s="98" t="inlineStr">
        <is>
          <t>Primer Informe de Avance ABB</t>
        </is>
      </c>
      <c r="E11" s="99" t="inlineStr">
        <is>
          <t>05/06/2026</t>
        </is>
      </c>
      <c r="F11" s="97" t="inlineStr">
        <is>
          <t>05/06/2026</t>
        </is>
      </c>
      <c r="G11" s="100" t="inlineStr">
        <is>
          <t>★</t>
        </is>
      </c>
      <c r="H11" s="99" t="inlineStr">
        <is>
          <t>Hito contractual</t>
        </is>
      </c>
      <c r="I11" s="101" t="inlineStr">
        <is>
          <t>Retraso en primer informe genera desconfianza del cliente</t>
        </is>
      </c>
    </row>
    <row r="12" ht="28" customHeight="1">
      <c r="B12" s="89" t="n">
        <v>7</v>
      </c>
      <c r="C12" s="102" t="inlineStr">
        <is>
          <t>S3-01</t>
        </is>
      </c>
      <c r="D12" s="103" t="inlineStr">
        <is>
          <t>Emisión Ingeniería Básica Sala #3</t>
        </is>
      </c>
      <c r="E12" s="104" t="inlineStr">
        <is>
          <t>22/05/2026</t>
        </is>
      </c>
      <c r="F12" s="105" t="inlineStr">
        <is>
          <t>12/06/2026</t>
        </is>
      </c>
      <c r="G12" s="106" t="inlineStr">
        <is>
          <t>21d</t>
        </is>
      </c>
      <c r="H12" s="104" t="inlineStr">
        <is>
          <t>Actividad</t>
        </is>
      </c>
      <c r="I12" s="107" t="inlineStr">
        <is>
          <t>Demora en IB → FP-S3-1 tarde → OC ductos barras tarde → FAT tarde → Entrega tarde</t>
        </is>
      </c>
    </row>
    <row r="13" ht="28" customHeight="1">
      <c r="B13" s="89" t="n">
        <v>8</v>
      </c>
      <c r="C13" s="102" t="inlineStr">
        <is>
          <t>S3-02</t>
        </is>
      </c>
      <c r="D13" s="103" t="inlineStr">
        <is>
          <t>Aprobación IB Sala #3 (AESA — 10 días hábiles)</t>
        </is>
      </c>
      <c r="E13" s="104" t="inlineStr">
        <is>
          <t>15/06/2026</t>
        </is>
      </c>
      <c r="F13" s="105" t="inlineStr">
        <is>
          <t>26/06/2026</t>
        </is>
      </c>
      <c r="G13" s="106" t="inlineStr">
        <is>
          <t>11d</t>
        </is>
      </c>
      <c r="H13" s="104" t="inlineStr">
        <is>
          <t>Actividad</t>
        </is>
      </c>
      <c r="I13" s="107" t="inlineStr">
        <is>
          <t>Demora en aprobación AESA → FP-S3-1 tarde. Dependiente de AESA (ductos barras ⚠)</t>
        </is>
      </c>
    </row>
    <row r="14" ht="28" customHeight="1">
      <c r="B14" s="89" t="n">
        <v>9</v>
      </c>
      <c r="C14" s="102" t="inlineStr">
        <is>
          <t>FP-S3-1</t>
        </is>
      </c>
      <c r="D14" s="91" t="inlineStr">
        <is>
          <t>◆ FREEZING POINT — Ing. Básica Sala #3</t>
        </is>
      </c>
      <c r="E14" s="104" t="inlineStr">
        <is>
          <t>03/07/2026</t>
        </is>
      </c>
      <c r="F14" s="102" t="inlineStr">
        <is>
          <t>03/07/2026</t>
        </is>
      </c>
      <c r="G14" s="108" t="inlineStr">
        <is>
          <t>◆</t>
        </is>
      </c>
      <c r="H14" s="104" t="inlineStr">
        <is>
          <t>Freezing Point</t>
        </is>
      </c>
      <c r="I14" s="92" t="inlineStr">
        <is>
          <t>1 día de demora → OC Turquía tarde → ductos llegan tarde → FAT S#3 tarde → PENALIDAD</t>
        </is>
      </c>
    </row>
    <row r="15" ht="28" customHeight="1">
      <c r="B15" s="89" t="n">
        <v>10</v>
      </c>
      <c r="C15" s="102" t="inlineStr">
        <is>
          <t>S3-03</t>
        </is>
      </c>
      <c r="D15" s="103" t="inlineStr">
        <is>
          <t>OC a 3ros: Ductos de Barras Turquía (post FP-IB S3)</t>
        </is>
      </c>
      <c r="E15" s="104" t="inlineStr">
        <is>
          <t>06/07/2026</t>
        </is>
      </c>
      <c r="F15" s="105" t="inlineStr">
        <is>
          <t>17/07/2026</t>
        </is>
      </c>
      <c r="G15" s="106" t="inlineStr">
        <is>
          <t>11d</t>
        </is>
      </c>
      <c r="H15" s="104" t="inlineStr">
        <is>
          <t>Actividad</t>
        </is>
      </c>
      <c r="I15" s="107" t="inlineStr">
        <is>
          <t>Lead time 6 meses. Si se retrasa la OC en julio, los ductos llegan en Feb-2027 → montaje late</t>
        </is>
      </c>
    </row>
    <row r="16" ht="28" customHeight="1">
      <c r="B16" s="89" t="n">
        <v>11</v>
      </c>
      <c r="C16" s="102" t="inlineStr">
        <is>
          <t>S3-04</t>
        </is>
      </c>
      <c r="D16" s="103" t="inlineStr">
        <is>
          <t>OC a 3ros: Variadores BT Finlandia (post FP-IB S3)</t>
        </is>
      </c>
      <c r="E16" s="104" t="inlineStr">
        <is>
          <t>06/07/2026</t>
        </is>
      </c>
      <c r="F16" s="105" t="inlineStr">
        <is>
          <t>17/07/2026</t>
        </is>
      </c>
      <c r="G16" s="106" t="inlineStr">
        <is>
          <t>11d</t>
        </is>
      </c>
      <c r="H16" s="104" t="inlineStr">
        <is>
          <t>Actividad</t>
        </is>
      </c>
      <c r="I16" s="107" t="inlineStr">
        <is>
          <t>VFDs BT lead time 4-5 meses. Retraso en OC → llegan tarde → integración en Shelter tarde</t>
        </is>
      </c>
    </row>
    <row r="17" ht="28" customHeight="1">
      <c r="B17" s="89" t="n">
        <v>12</v>
      </c>
      <c r="C17" s="102" t="inlineStr">
        <is>
          <t>S3-05</t>
        </is>
      </c>
      <c r="D17" s="103" t="inlineStr">
        <is>
          <t>Emisión Ingeniería de Detalle Sala #3</t>
        </is>
      </c>
      <c r="E17" s="104" t="inlineStr">
        <is>
          <t>29/06/2026</t>
        </is>
      </c>
      <c r="F17" s="105" t="inlineStr">
        <is>
          <t>31/07/2026</t>
        </is>
      </c>
      <c r="G17" s="106" t="inlineStr">
        <is>
          <t>32d</t>
        </is>
      </c>
      <c r="H17" s="104" t="inlineStr">
        <is>
          <t>Actividad</t>
        </is>
      </c>
      <c r="I17" s="107" t="inlineStr">
        <is>
          <t>Demora ID → FP-S3-2 tarde → fabricación 37 CCMs en Brasil tarde → montaje Shelter late</t>
        </is>
      </c>
    </row>
    <row r="18" ht="28" customHeight="1">
      <c r="B18" s="109" t="n">
        <v>13</v>
      </c>
      <c r="C18" s="110" t="inlineStr">
        <is>
          <t>S3-WARN</t>
        </is>
      </c>
      <c r="D18" s="111" t="inlineStr">
        <is>
          <t>⚠ OPEN ISSUE: Confirmar cambio CCM7 (3x22kW → 2x45kW+VFD)</t>
        </is>
      </c>
      <c r="E18" s="112" t="inlineStr">
        <is>
          <t>26/05/2026</t>
        </is>
      </c>
      <c r="F18" s="113" t="inlineStr">
        <is>
          <t>05/06/2026</t>
        </is>
      </c>
      <c r="G18" s="114" t="inlineStr">
        <is>
          <t>10d</t>
        </is>
      </c>
      <c r="H18" s="112" t="inlineStr">
        <is>
          <t>Actividad</t>
        </is>
      </c>
      <c r="I18" s="115" t="inlineStr">
        <is>
          <t>AESA no confirma CCM7 → ABB no puede cerrar diseño ID → toda la cadena se retrasa</t>
        </is>
      </c>
    </row>
    <row r="19" ht="28" customHeight="1">
      <c r="B19" s="89" t="n">
        <v>14</v>
      </c>
      <c r="C19" s="102" t="inlineStr">
        <is>
          <t>S3-06</t>
        </is>
      </c>
      <c r="D19" s="103" t="inlineStr">
        <is>
          <t>Aprobación ID Sala #3 (AESA — 10 días hábiles)</t>
        </is>
      </c>
      <c r="E19" s="104" t="inlineStr">
        <is>
          <t>03/08/2026</t>
        </is>
      </c>
      <c r="F19" s="105" t="inlineStr">
        <is>
          <t>14/08/2026</t>
        </is>
      </c>
      <c r="G19" s="106" t="inlineStr">
        <is>
          <t>11d</t>
        </is>
      </c>
      <c r="H19" s="104" t="inlineStr">
        <is>
          <t>Actividad</t>
        </is>
      </c>
      <c r="I19" s="107" t="inlineStr">
        <is>
          <t>Aprobación AESA: 10 días hábiles. Comentarios múltiples pueden demorar FP-S3-2</t>
        </is>
      </c>
    </row>
    <row r="20" ht="28" customHeight="1">
      <c r="B20" s="89" t="n">
        <v>15</v>
      </c>
      <c r="C20" s="102" t="inlineStr">
        <is>
          <t>FP-S3-2</t>
        </is>
      </c>
      <c r="D20" s="91" t="inlineStr">
        <is>
          <t>◆ FREEZING POINT — Ing. Detalle Sala #3</t>
        </is>
      </c>
      <c r="E20" s="104" t="inlineStr">
        <is>
          <t>14/08/2026</t>
        </is>
      </c>
      <c r="F20" s="102" t="inlineStr">
        <is>
          <t>14/08/2026</t>
        </is>
      </c>
      <c r="G20" s="108" t="inlineStr">
        <is>
          <t>◆</t>
        </is>
      </c>
      <c r="H20" s="104" t="inlineStr">
        <is>
          <t>Freezing Point</t>
        </is>
      </c>
      <c r="I20" s="92" t="inlineStr">
        <is>
          <t>1 día late → OC fabricación 37 CCMs en Brasil tarde → ensayos tarde → FAT S#3 tarde</t>
        </is>
      </c>
    </row>
    <row r="21" ht="28" customHeight="1">
      <c r="B21" s="89" t="n">
        <v>16</v>
      </c>
      <c r="C21" s="102" t="inlineStr">
        <is>
          <t>S3-07</t>
        </is>
      </c>
      <c r="D21" s="103" t="inlineStr">
        <is>
          <t>Emisión Ingeniería Constructiva Sala #3</t>
        </is>
      </c>
      <c r="E21" s="104" t="inlineStr">
        <is>
          <t>17/08/2026</t>
        </is>
      </c>
      <c r="F21" s="105" t="inlineStr">
        <is>
          <t>28/08/2026</t>
        </is>
      </c>
      <c r="G21" s="106" t="inlineStr">
        <is>
          <t>11d</t>
        </is>
      </c>
      <c r="H21" s="104" t="inlineStr">
        <is>
          <t>Actividad</t>
        </is>
      </c>
      <c r="I21" s="107" t="inlineStr">
        <is>
          <t>Planos constructivos definen montaje Shelter. Errores → retrabajo en Mendoza</t>
        </is>
      </c>
    </row>
    <row r="22" ht="28" customHeight="1">
      <c r="B22" s="89" t="n">
        <v>17</v>
      </c>
      <c r="C22" s="102" t="inlineStr">
        <is>
          <t>S3-08</t>
        </is>
      </c>
      <c r="D22" s="103" t="inlineStr">
        <is>
          <t>Aprobación IC Sala #3 (AESA — 10 días hábiles)</t>
        </is>
      </c>
      <c r="E22" s="104" t="inlineStr">
        <is>
          <t>01/09/2026</t>
        </is>
      </c>
      <c r="F22" s="105" t="inlineStr">
        <is>
          <t>12/09/2026</t>
        </is>
      </c>
      <c r="G22" s="106" t="inlineStr">
        <is>
          <t>11d</t>
        </is>
      </c>
      <c r="H22" s="104" t="inlineStr">
        <is>
          <t>Actividad</t>
        </is>
      </c>
      <c r="I22" s="107" t="inlineStr">
        <is>
          <t>AESA 10 días hábiles. Comentarios en IC generan ciclos adicionales</t>
        </is>
      </c>
    </row>
    <row r="23" ht="28" customHeight="1">
      <c r="B23" s="89" t="n">
        <v>18</v>
      </c>
      <c r="C23" s="102" t="inlineStr">
        <is>
          <t>FP-S3-3</t>
        </is>
      </c>
      <c r="D23" s="91" t="inlineStr">
        <is>
          <t>◆ FREEZING POINT — Ing. Constructiva Sala #3  ← ÚLTIMO FP ABB</t>
        </is>
      </c>
      <c r="E23" s="104" t="inlineStr">
        <is>
          <t>31/08/2026</t>
        </is>
      </c>
      <c r="F23" s="102" t="inlineStr">
        <is>
          <t>31/08/2026</t>
        </is>
      </c>
      <c r="G23" s="108" t="inlineStr">
        <is>
          <t>◆</t>
        </is>
      </c>
      <c r="H23" s="104" t="inlineStr">
        <is>
          <t>Freezing Point</t>
        </is>
      </c>
      <c r="I23" s="92" t="inlineStr">
        <is>
          <t>★ HITO MÁS CRÍTICO: 1 semana late → montaje Shelter S#3 late → FAT 1 semana late → despacho 1 semana late → PENALIDAD 1%/semana</t>
        </is>
      </c>
    </row>
    <row r="24" ht="28" customHeight="1">
      <c r="B24" s="89" t="n">
        <v>19</v>
      </c>
      <c r="C24" s="102" t="inlineStr">
        <is>
          <t>S3-09</t>
        </is>
      </c>
      <c r="D24" s="103" t="inlineStr">
        <is>
          <t>Fabricación Tableros S#3 (37 CCMs — Brasil M&amp;B)</t>
        </is>
      </c>
      <c r="E24" s="104" t="inlineStr">
        <is>
          <t>14/09/2026</t>
        </is>
      </c>
      <c r="F24" s="105" t="inlineStr">
        <is>
          <t>02/11/2026</t>
        </is>
      </c>
      <c r="G24" s="106" t="inlineStr">
        <is>
          <t>49d</t>
        </is>
      </c>
      <c r="H24" s="104" t="inlineStr">
        <is>
          <t>Actividad</t>
        </is>
      </c>
      <c r="I24" s="107" t="inlineStr">
        <is>
          <t>Fabricación 37 CCMs Brasil: ~7 semanas. Retraso → ensayos tardan → todo late</t>
        </is>
      </c>
    </row>
    <row r="25" ht="28" customHeight="1">
      <c r="B25" s="89" t="n">
        <v>20</v>
      </c>
      <c r="C25" s="102" t="inlineStr">
        <is>
          <t>S3-10</t>
        </is>
      </c>
      <c r="D25" s="103" t="inlineStr">
        <is>
          <t>Ensayos Celdas y Tableros BT Sala #3</t>
        </is>
      </c>
      <c r="E25" s="104" t="inlineStr">
        <is>
          <t>03/11/2026</t>
        </is>
      </c>
      <c r="F25" s="105" t="inlineStr">
        <is>
          <t>23/11/2026</t>
        </is>
      </c>
      <c r="G25" s="106" t="inlineStr">
        <is>
          <t>20d</t>
        </is>
      </c>
      <c r="H25" s="104" t="inlineStr">
        <is>
          <t>FAT</t>
        </is>
      </c>
      <c r="I25" s="107" t="inlineStr">
        <is>
          <t>Ensayos 20 días. Si falla algún tablero → retrabajo → FAT S#3 se corre</t>
        </is>
      </c>
    </row>
    <row r="26" ht="28" customHeight="1">
      <c r="B26" s="89" t="n">
        <v>21</v>
      </c>
      <c r="C26" s="102" t="inlineStr">
        <is>
          <t>S3-11</t>
        </is>
      </c>
      <c r="D26" s="103" t="inlineStr">
        <is>
          <t>Acopio materiales en Argentina (celdas + VFDs + ductos S#3)</t>
        </is>
      </c>
      <c r="E26" s="104" t="inlineStr">
        <is>
          <t>07/12/2026</t>
        </is>
      </c>
      <c r="F26" s="105" t="inlineStr">
        <is>
          <t>29/01/2027</t>
        </is>
      </c>
      <c r="G26" s="106" t="inlineStr">
        <is>
          <t>53d</t>
        </is>
      </c>
      <c r="H26" s="104" t="inlineStr">
        <is>
          <t>Actividad</t>
        </is>
      </c>
      <c r="I26" s="107" t="inlineStr">
        <is>
          <t>Acopio trigger del pago 25%. Retraso en llegada materiales → pago demorado + montaje late</t>
        </is>
      </c>
    </row>
    <row r="27" ht="28" customHeight="1">
      <c r="B27" s="89" t="n">
        <v>22</v>
      </c>
      <c r="C27" s="102" t="inlineStr">
        <is>
          <t>S3-12</t>
        </is>
      </c>
      <c r="D27" s="103" t="inlineStr">
        <is>
          <t>Montaje e integración en Shelter S#3 (Bottino — Mendoza)</t>
        </is>
      </c>
      <c r="E27" s="104" t="inlineStr">
        <is>
          <t>01/02/2027</t>
        </is>
      </c>
      <c r="F27" s="105" t="inlineStr">
        <is>
          <t>26/03/2027</t>
        </is>
      </c>
      <c r="G27" s="106" t="inlineStr">
        <is>
          <t>53d</t>
        </is>
      </c>
      <c r="H27" s="104" t="inlineStr">
        <is>
          <t>Actividad</t>
        </is>
      </c>
      <c r="I27" s="107" t="inlineStr">
        <is>
          <t>Montaje Shelter: 8 semanas. Retraso → FAT S#3 se corre → Despacho late → PENALIDAD</t>
        </is>
      </c>
    </row>
    <row r="28" ht="28" customHeight="1">
      <c r="B28" s="89" t="n">
        <v>23</v>
      </c>
      <c r="C28" s="102" t="inlineStr">
        <is>
          <t>S3-13</t>
        </is>
      </c>
      <c r="D28" s="103" t="inlineStr">
        <is>
          <t>FAT Sala Eléctrica #3  ← FAT MÁS TARDÍO DE ABB</t>
        </is>
      </c>
      <c r="E28" s="104" t="inlineStr">
        <is>
          <t>02/04/2027</t>
        </is>
      </c>
      <c r="F28" s="105" t="inlineStr">
        <is>
          <t>19/04/2027</t>
        </is>
      </c>
      <c r="G28" s="106" t="inlineStr">
        <is>
          <t>17d</t>
        </is>
      </c>
      <c r="H28" s="104" t="inlineStr">
        <is>
          <t>FAT</t>
        </is>
      </c>
      <c r="I28" s="107" t="inlineStr">
        <is>
          <t>FAT S#3 es el más tardío (19-ABR). 35d de holgura vs P6. Cada semana que se corre reduce margen</t>
        </is>
      </c>
    </row>
    <row r="29" ht="28" customHeight="1">
      <c r="B29" s="89" t="n">
        <v>24</v>
      </c>
      <c r="C29" s="102" t="inlineStr">
        <is>
          <t>S3-14</t>
        </is>
      </c>
      <c r="D29" s="103" t="inlineStr">
        <is>
          <t>▶ DESPACHO Sala #3 ← DESPACHO MÁS TARDÍO DE ABB</t>
        </is>
      </c>
      <c r="E29" s="104" t="inlineStr">
        <is>
          <t>10/05/2027</t>
        </is>
      </c>
      <c r="F29" s="105" t="inlineStr">
        <is>
          <t>14/05/2027</t>
        </is>
      </c>
      <c r="G29" s="106" t="inlineStr">
        <is>
          <t>4d</t>
        </is>
      </c>
      <c r="H29" s="104" t="inlineStr">
        <is>
          <t>Despacho</t>
        </is>
      </c>
      <c r="I29" s="107" t="inlineStr">
        <is>
          <t>★ DESPACHO MÁS TARDÍO: si sale después del 14-MAY → penalidad. 45d holgura hasta montaje campo</t>
        </is>
      </c>
    </row>
    <row r="30" ht="28" customHeight="1">
      <c r="B30" s="96" t="n">
        <v>25</v>
      </c>
      <c r="C30" s="97" t="inlineStr">
        <is>
          <t>S3-15</t>
        </is>
      </c>
      <c r="D30" s="98" t="inlineStr">
        <is>
          <t>★ ENTREGA S#3 — Cumplimiento OC 4508944971</t>
        </is>
      </c>
      <c r="E30" s="99" t="inlineStr">
        <is>
          <t>14/05/2027</t>
        </is>
      </c>
      <c r="F30" s="97" t="inlineStr">
        <is>
          <t>14/05/2027</t>
        </is>
      </c>
      <c r="G30" s="100" t="inlineStr">
        <is>
          <t>★</t>
        </is>
      </c>
      <c r="H30" s="99" t="inlineStr">
        <is>
          <t>Hito contractual</t>
        </is>
      </c>
      <c r="I30" s="101" t="inlineStr">
        <is>
          <t>FECHA LÍMITE CONTRACTUAL. Superarla activa penalidad 1%/semana, tope 10%</t>
        </is>
      </c>
    </row>
    <row r="31" ht="28" customHeight="1">
      <c r="B31" s="89" t="n">
        <v>26</v>
      </c>
      <c r="C31" s="102" t="inlineStr">
        <is>
          <t>INT-02</t>
        </is>
      </c>
      <c r="D31" s="103" t="inlineStr">
        <is>
          <t>iFAT — Integración Shelters + PMS + INAUCO + HIMA</t>
        </is>
      </c>
      <c r="E31" s="104" t="inlineStr">
        <is>
          <t>25/06/2027</t>
        </is>
      </c>
      <c r="F31" s="105" t="inlineStr">
        <is>
          <t>14/07/2027</t>
        </is>
      </c>
      <c r="G31" s="106" t="inlineStr">
        <is>
          <t>19d</t>
        </is>
      </c>
      <c r="H31" s="104" t="inlineStr">
        <is>
          <t>FAT</t>
        </is>
      </c>
      <c r="I31" s="107" t="inlineStr">
        <is>
          <t>iFAT: holgura de solo 3 días. Si ABB S#3 llega tarde al iFAT, impacta comisionado</t>
        </is>
      </c>
    </row>
    <row r="32" ht="28" customHeight="1">
      <c r="B32" s="89" t="n">
        <v>27</v>
      </c>
      <c r="C32" s="102" t="inlineStr">
        <is>
          <t>INT-04</t>
        </is>
      </c>
      <c r="D32" s="103" t="inlineStr">
        <is>
          <t>Inicio Comisionado</t>
        </is>
      </c>
      <c r="E32" s="104" t="inlineStr">
        <is>
          <t>16/07/2027</t>
        </is>
      </c>
      <c r="F32" s="105" t="inlineStr">
        <is>
          <t>31/01/2028</t>
        </is>
      </c>
      <c r="G32" s="106" t="inlineStr">
        <is>
          <t>199d</t>
        </is>
      </c>
      <c r="H32" s="104" t="inlineStr">
        <is>
          <t>Integración</t>
        </is>
      </c>
      <c r="I32" s="107" t="inlineStr">
        <is>
          <t>Comisionado: si se corre la fecha, impacta RFSU directo</t>
        </is>
      </c>
    </row>
    <row r="33" ht="28" customHeight="1">
      <c r="B33" s="96" t="n">
        <v>28</v>
      </c>
      <c r="C33" s="97" t="inlineStr">
        <is>
          <t>INT-05</t>
        </is>
      </c>
      <c r="D33" s="98" t="inlineStr">
        <is>
          <t>★ RFSU — Ready For Start Up Planta Total</t>
        </is>
      </c>
      <c r="E33" s="99" t="inlineStr">
        <is>
          <t>31/01/2028</t>
        </is>
      </c>
      <c r="F33" s="97" t="inlineStr">
        <is>
          <t>31/01/2028</t>
        </is>
      </c>
      <c r="G33" s="100" t="inlineStr">
        <is>
          <t>★</t>
        </is>
      </c>
      <c r="H33" s="99" t="inlineStr">
        <is>
          <t>Hito contractual</t>
        </is>
      </c>
      <c r="I33" s="101" t="inlineStr">
        <is>
          <t>RFSU: objetivo firme 31-ENE-2028. Alineado P6 y ABB. No tiene flotante conocido</t>
        </is>
      </c>
    </row>
    <row r="36" ht="22" customHeight="1">
      <c r="B36" s="116" t="inlineStr">
        <is>
          <t>HOLGURAS DISPONIBLES vs CRONOGRAMA P6 (COMERCIAL)</t>
        </is>
      </c>
      <c r="C36" s="72" t="n"/>
      <c r="D36" s="72" t="n"/>
      <c r="E36" s="72" t="n"/>
      <c r="F36" s="72" t="n"/>
    </row>
    <row r="37" ht="18" customHeight="1">
      <c r="B37" s="72" t="n"/>
      <c r="C37" s="117" t="inlineStr">
        <is>
          <t>Provisión ABB</t>
        </is>
      </c>
      <c r="D37" s="117" t="inlineStr">
        <is>
          <t>Referencia P6</t>
        </is>
      </c>
      <c r="E37" s="117" t="inlineStr">
        <is>
          <t>Holgura</t>
        </is>
      </c>
      <c r="F37" s="117" t="inlineStr">
        <is>
          <t>Estado</t>
        </is>
      </c>
    </row>
    <row r="38" ht="20" customHeight="1">
      <c r="B38" s="72" t="n"/>
      <c r="C38" s="118" t="inlineStr">
        <is>
          <t>PMS — FAT (23-OCT-2026)</t>
        </is>
      </c>
      <c r="D38" s="119" t="inlineStr">
        <is>
          <t>P6 necesita PMS el 02-JUN-2027</t>
        </is>
      </c>
      <c r="E38" s="120" t="inlineStr">
        <is>
          <t>+222 días</t>
        </is>
      </c>
      <c r="F38" s="120" t="inlineStr">
        <is>
          <t>✅ OK</t>
        </is>
      </c>
    </row>
    <row r="39" ht="20" customHeight="1">
      <c r="B39" s="72" t="n"/>
      <c r="C39" s="118" t="inlineStr">
        <is>
          <t>FAT Sala #3 (19-ABR-2027)</t>
        </is>
      </c>
      <c r="D39" s="119" t="inlineStr">
        <is>
          <t>P6 cierra FDE1103 el 24-MAY-2027</t>
        </is>
      </c>
      <c r="E39" s="120" t="inlineStr">
        <is>
          <t>+35 días</t>
        </is>
      </c>
      <c r="F39" s="120" t="inlineStr">
        <is>
          <t>✅ OK</t>
        </is>
      </c>
    </row>
    <row r="40" ht="20" customHeight="1">
      <c r="B40" s="72" t="n"/>
      <c r="C40" s="118" t="inlineStr">
        <is>
          <t>Despacho Sala #3 (14-MAY-2027)</t>
        </is>
      </c>
      <c r="D40" s="119" t="inlineStr">
        <is>
          <t>P6 inicio montaje campo 28-JUN-2027</t>
        </is>
      </c>
      <c r="E40" s="120" t="inlineStr">
        <is>
          <t>+45 días</t>
        </is>
      </c>
      <c r="F40" s="120" t="inlineStr">
        <is>
          <t>✅ OK</t>
        </is>
      </c>
    </row>
    <row r="41" ht="20" customHeight="1">
      <c r="B41" s="72" t="n"/>
      <c r="C41" s="118" t="inlineStr">
        <is>
          <t>Despacho Sala #4 (08-ABR-2027)</t>
        </is>
      </c>
      <c r="D41" s="119" t="inlineStr">
        <is>
          <t>P6 inicio montaje campo 28-JUN-2027</t>
        </is>
      </c>
      <c r="E41" s="120" t="inlineStr">
        <is>
          <t>+81 días</t>
        </is>
      </c>
      <c r="F41" s="120" t="inlineStr">
        <is>
          <t>✅ OK</t>
        </is>
      </c>
    </row>
    <row r="42" ht="20" customHeight="1">
      <c r="B42" s="72" t="n"/>
      <c r="C42" s="121" t="inlineStr">
        <is>
          <t>iFAT Integración (25-JUN-2027)</t>
        </is>
      </c>
      <c r="D42" s="122" t="inlineStr">
        <is>
          <t>P6 TA1124 = 28-JUN-2027</t>
        </is>
      </c>
      <c r="E42" s="123" t="inlineStr">
        <is>
          <t>+3 días</t>
        </is>
      </c>
      <c r="F42" s="123" t="inlineStr">
        <is>
          <t>🔴 SIN MARGEN</t>
        </is>
      </c>
    </row>
    <row r="43" ht="20" customHeight="1">
      <c r="B43" s="72" t="n"/>
      <c r="C43" s="121" t="inlineStr">
        <is>
          <t>FDE1104 cierre S#4 (23-JUN-2027)</t>
        </is>
      </c>
      <c r="D43" s="122" t="inlineStr">
        <is>
          <t>Inicio montaje campo 28-JUN-2027</t>
        </is>
      </c>
      <c r="E43" s="123" t="inlineStr">
        <is>
          <t>+5 días en P6</t>
        </is>
      </c>
      <c r="F43" s="123" t="inlineStr">
        <is>
          <t>🔴 SIN MARGEN</t>
        </is>
      </c>
    </row>
    <row r="44" ht="20" customHeight="1">
      <c r="B44" s="72" t="n"/>
      <c r="C44" s="124" t="inlineStr">
        <is>
          <t>RFSU (31-ENE-2028)</t>
        </is>
      </c>
      <c r="D44" s="125" t="inlineStr">
        <is>
          <t>IDÉNTICO en P6 y ABB</t>
        </is>
      </c>
      <c r="E44" s="126">
        <f> 0 días</f>
        <v/>
      </c>
      <c r="F44" s="126" t="inlineStr">
        <is>
          <t>🔴 SIN MARGEN</t>
        </is>
      </c>
    </row>
    <row r="45" ht="20" customHeight="1">
      <c r="B45" s="72" t="n"/>
      <c r="C45" s="127" t="inlineStr">
        <is>
          <t>Freezing Points (Jun-Ago 2026)</t>
        </is>
      </c>
      <c r="D45" s="128" t="inlineStr">
        <is>
          <t>SIN hito equivalente en P6</t>
        </is>
      </c>
      <c r="E45" s="80" t="inlineStr">
        <is>
          <t>SIN CONTROL P6</t>
        </is>
      </c>
      <c r="F45" s="80" t="inlineStr">
        <is>
          <t>⚠ AJUSTADO</t>
        </is>
      </c>
    </row>
    <row r="46">
      <c r="B46" s="72" t="n"/>
      <c r="C46" s="72" t="n"/>
      <c r="D46" s="72" t="n"/>
      <c r="E46" s="72" t="n"/>
      <c r="F46" s="72" t="n"/>
    </row>
  </sheetData>
  <mergeCells count="4">
    <mergeCell ref="B1:I1"/>
    <mergeCell ref="B36:I36"/>
    <mergeCell ref="B2:I2"/>
    <mergeCell ref="B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8" customWidth="1" min="3" max="3"/>
    <col width="8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28" customWidth="1" min="10" max="10"/>
    <col width="4" customWidth="1" min="11" max="11"/>
  </cols>
  <sheetData>
    <row r="1" ht="8" customHeight="1"/>
    <row r="2" ht="28" customHeight="1">
      <c r="B2" s="129" t="inlineStr">
        <is>
          <t>REGISTRO DE HITOS — PLANILLA DE SEGUIMIENTO SEMANAL</t>
        </is>
      </c>
      <c r="C2" s="72" t="n"/>
      <c r="D2" s="72" t="n"/>
      <c r="E2" s="72" t="n"/>
      <c r="F2" s="72" t="n"/>
      <c r="G2" s="72" t="n"/>
      <c r="H2" s="72" t="n"/>
      <c r="I2" s="72" t="n"/>
      <c r="J2" s="72" t="n"/>
    </row>
    <row r="3" ht="18" customHeight="1">
      <c r="B3" s="130" t="inlineStr">
        <is>
          <t>Completar las columnas en AZUL en cada reunión de seguimiento semanal</t>
        </is>
      </c>
      <c r="C3" s="72" t="n"/>
      <c r="D3" s="72" t="n"/>
      <c r="E3" s="72" t="n"/>
      <c r="F3" s="72" t="n"/>
      <c r="G3" s="72" t="n"/>
      <c r="H3" s="72" t="n"/>
      <c r="I3" s="72" t="n"/>
      <c r="J3" s="72" t="n"/>
    </row>
    <row r="4" ht="8" customHeight="1"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</row>
    <row r="5" ht="20" customHeight="1">
      <c r="B5" s="131" t="inlineStr">
        <is>
          <t>ID</t>
        </is>
      </c>
      <c r="C5" s="131" t="inlineStr">
        <is>
          <t>Hito / Entregable</t>
        </is>
      </c>
      <c r="D5" s="131" t="inlineStr">
        <is>
          <t>OC</t>
        </is>
      </c>
      <c r="E5" s="131" t="inlineStr">
        <is>
          <t>Fecha Plan</t>
        </is>
      </c>
      <c r="F5" s="131" t="inlineStr">
        <is>
          <t>Fecha Real</t>
        </is>
      </c>
      <c r="G5" s="131" t="inlineStr">
        <is>
          <t>Estado</t>
        </is>
      </c>
      <c r="H5" s="131" t="inlineStr">
        <is>
          <t>% Avance</t>
        </is>
      </c>
      <c r="I5" s="131" t="inlineStr">
        <is>
          <t>Desvío (d)</t>
        </is>
      </c>
      <c r="J5" s="131" t="inlineStr">
        <is>
          <t>Acción / Observación</t>
        </is>
      </c>
    </row>
    <row r="6" ht="22" customHeight="1">
      <c r="B6" s="102" t="inlineStr">
        <is>
          <t>HC-01</t>
        </is>
      </c>
      <c r="C6" s="132" t="inlineStr">
        <is>
          <t>◆ Aceptación OC — Inicio oficial ABB</t>
        </is>
      </c>
      <c r="D6" s="104" t="inlineStr">
        <is>
          <t>S3+S4+PMS</t>
        </is>
      </c>
      <c r="E6" s="102" t="inlineStr">
        <is>
          <t>12/05/2026</t>
        </is>
      </c>
      <c r="F6" s="133" t="inlineStr">
        <is>
          <t>12/05/2026</t>
        </is>
      </c>
      <c r="G6" s="134" t="inlineStr">
        <is>
          <t>Completado</t>
        </is>
      </c>
      <c r="H6" s="135" t="inlineStr">
        <is>
          <t>100%</t>
        </is>
      </c>
      <c r="I6" s="133" t="inlineStr">
        <is>
          <t>0</t>
        </is>
      </c>
      <c r="J6" s="93" t="inlineStr">
        <is>
          <t>Christian Bombace acepta las 3 OC. Ref: R-2631036 / E-2611027</t>
        </is>
      </c>
    </row>
    <row r="7" ht="22" customHeight="1">
      <c r="B7" s="102" t="inlineStr">
        <is>
          <t>HC-02</t>
        </is>
      </c>
      <c r="C7" s="132" t="inlineStr">
        <is>
          <t>Envío cronograma preliminar ABB</t>
        </is>
      </c>
      <c r="D7" s="104" t="inlineStr">
        <is>
          <t>S3+S4+PMS</t>
        </is>
      </c>
      <c r="E7" s="102" t="inlineStr">
        <is>
          <t>12/05/2026</t>
        </is>
      </c>
      <c r="F7" s="133" t="inlineStr">
        <is>
          <t>12/05/2026</t>
        </is>
      </c>
      <c r="G7" s="134" t="inlineStr">
        <is>
          <t>Completado</t>
        </is>
      </c>
      <c r="H7" s="135" t="inlineStr">
        <is>
          <t>100%</t>
        </is>
      </c>
      <c r="I7" s="133" t="inlineStr">
        <is>
          <t>0</t>
        </is>
      </c>
      <c r="J7" s="93" t="inlineStr">
        <is>
          <t>Enviado 12-MAY-2026. PDF R-263100X en carpeta 02_Planning</t>
        </is>
      </c>
    </row>
    <row r="8" ht="22" customHeight="1">
      <c r="B8" s="102" t="inlineStr">
        <is>
          <t>HC-03</t>
        </is>
      </c>
      <c r="C8" s="132" t="inlineStr">
        <is>
          <t>KOM Salas Eléctricas #3 y #4</t>
        </is>
      </c>
      <c r="D8" s="104" t="inlineStr">
        <is>
          <t>S3+S4</t>
        </is>
      </c>
      <c r="E8" s="102" t="inlineStr">
        <is>
          <t>18/05/2026</t>
        </is>
      </c>
      <c r="F8" s="133" t="inlineStr">
        <is>
          <t>18/05/2026</t>
        </is>
      </c>
      <c r="G8" s="134" t="inlineStr">
        <is>
          <t>Completado</t>
        </is>
      </c>
      <c r="H8" s="135" t="inlineStr">
        <is>
          <t>100%</t>
        </is>
      </c>
      <c r="I8" s="133" t="inlineStr">
        <is>
          <t>0</t>
        </is>
      </c>
      <c r="J8" s="93" t="inlineStr">
        <is>
          <t>Lanzamiento oficial. ABB Ref: R-2631036. PM: Rodrigo Mack</t>
        </is>
      </c>
    </row>
    <row r="9" ht="22" customHeight="1">
      <c r="B9" s="102" t="inlineStr">
        <is>
          <t>HC-04</t>
        </is>
      </c>
      <c r="C9" s="132" t="inlineStr">
        <is>
          <t>KOM PMS (Power Management System)</t>
        </is>
      </c>
      <c r="D9" s="104" t="inlineStr">
        <is>
          <t>PMS</t>
        </is>
      </c>
      <c r="E9" s="102" t="inlineStr">
        <is>
          <t>22/05/2026</t>
        </is>
      </c>
      <c r="F9" s="133" t="inlineStr">
        <is>
          <t>22/05/2026</t>
        </is>
      </c>
      <c r="G9" s="134" t="inlineStr">
        <is>
          <t>Completado</t>
        </is>
      </c>
      <c r="H9" s="135" t="inlineStr">
        <is>
          <t>100%</t>
        </is>
      </c>
      <c r="I9" s="133" t="inlineStr">
        <is>
          <t>0</t>
        </is>
      </c>
      <c r="J9" s="93" t="inlineStr">
        <is>
          <t>Lanzamiento PMS. ABB Ref: E-2611027. PM: Pablo Kalis</t>
        </is>
      </c>
    </row>
    <row r="10" ht="22" customHeight="1">
      <c r="B10" s="102" t="inlineStr">
        <is>
          <t>HC-05</t>
        </is>
      </c>
      <c r="C10" s="132" t="inlineStr">
        <is>
          <t>◆ Cronograma final ABB con Hold Points</t>
        </is>
      </c>
      <c r="D10" s="104" t="inlineStr">
        <is>
          <t>S3+S4+PMS</t>
        </is>
      </c>
      <c r="E10" s="102" t="inlineStr">
        <is>
          <t>01/06/2026</t>
        </is>
      </c>
      <c r="F10" s="136" t="inlineStr">
        <is>
          <t>—</t>
        </is>
      </c>
      <c r="G10" s="137" t="inlineStr">
        <is>
          <t>Pendiente</t>
        </is>
      </c>
      <c r="H10" s="138" t="inlineStr">
        <is>
          <t>0%</t>
        </is>
      </c>
      <c r="I10" s="136" t="inlineStr">
        <is>
          <t>—</t>
        </is>
      </c>
      <c r="J10" s="93" t="inlineStr">
        <is>
          <t>COMPROMETIDO EN KOM. Incluye hitos de certificación y OC a 3ros</t>
        </is>
      </c>
    </row>
    <row r="11" ht="22" customHeight="1">
      <c r="B11" s="102" t="inlineStr">
        <is>
          <t>HC-06</t>
        </is>
      </c>
      <c r="C11" s="132" t="inlineStr">
        <is>
          <t>Primer Informe de Avance ABB</t>
        </is>
      </c>
      <c r="D11" s="104" t="inlineStr">
        <is>
          <t>S3+S4+PMS</t>
        </is>
      </c>
      <c r="E11" s="102" t="inlineStr">
        <is>
          <t>05/06/2026</t>
        </is>
      </c>
      <c r="F11" s="136" t="inlineStr">
        <is>
          <t>—</t>
        </is>
      </c>
      <c r="G11" s="137" t="inlineStr">
        <is>
          <t>Pendiente</t>
        </is>
      </c>
      <c r="H11" s="138" t="inlineStr">
        <is>
          <t>0%</t>
        </is>
      </c>
      <c r="I11" s="136" t="inlineStr">
        <is>
          <t>—</t>
        </is>
      </c>
      <c r="J11" s="93" t="inlineStr">
        <is>
          <t>Formato ABB para primera presentación. Luego mensual o quincenal</t>
        </is>
      </c>
    </row>
    <row r="12" ht="22" customHeight="1">
      <c r="B12" s="139" t="inlineStr">
        <is>
          <t>FP-P1</t>
        </is>
      </c>
      <c r="C12" s="140" t="inlineStr">
        <is>
          <t>◆ FREEZING POINT — Ing. Básica PMS</t>
        </is>
      </c>
      <c r="D12" s="136" t="inlineStr">
        <is>
          <t>PMS</t>
        </is>
      </c>
      <c r="E12" s="138" t="inlineStr">
        <is>
          <t>19/06/2026</t>
        </is>
      </c>
      <c r="F12" s="136" t="inlineStr">
        <is>
          <t>—</t>
        </is>
      </c>
      <c r="G12" s="137" t="inlineStr">
        <is>
          <t>Pendiente</t>
        </is>
      </c>
      <c r="H12" s="138" t="inlineStr">
        <is>
          <t>0%</t>
        </is>
      </c>
      <c r="I12" s="136" t="inlineStr">
        <is>
          <t>—</t>
        </is>
      </c>
      <c r="J12" s="88" t="inlineStr">
        <is>
          <t>CONGELAR DISEÑO IB. Cambios posteriores → Nota de Cambio + impacto costo/plazo</t>
        </is>
      </c>
    </row>
    <row r="13" ht="22" customHeight="1">
      <c r="B13" s="139" t="inlineStr">
        <is>
          <t>FP-P2</t>
        </is>
      </c>
      <c r="C13" s="140" t="inlineStr">
        <is>
          <t>◆ FREEZING POINT — Ing. Detalle PMS</t>
        </is>
      </c>
      <c r="D13" s="136" t="inlineStr">
        <is>
          <t>PMS</t>
        </is>
      </c>
      <c r="E13" s="138" t="inlineStr">
        <is>
          <t>31/07/2026</t>
        </is>
      </c>
      <c r="F13" s="136" t="inlineStr">
        <is>
          <t>—</t>
        </is>
      </c>
      <c r="G13" s="137" t="inlineStr">
        <is>
          <t>Pendiente</t>
        </is>
      </c>
      <c r="H13" s="138" t="inlineStr">
        <is>
          <t>0%</t>
        </is>
      </c>
      <c r="I13" s="136" t="inlineStr">
        <is>
          <t>—</t>
        </is>
      </c>
      <c r="J13" s="88" t="inlineStr">
        <is>
          <t>CONGELAR DISEÑO ID. Inicio oficial de fabricación tablero de control PMS</t>
        </is>
      </c>
    </row>
    <row r="14" ht="22" customHeight="1">
      <c r="B14" s="141" t="inlineStr">
        <is>
          <t>P-06</t>
        </is>
      </c>
      <c r="C14" s="77" t="inlineStr">
        <is>
          <t>FAT Maqueta PMS — pruebas funcionales previas</t>
        </is>
      </c>
      <c r="D14" s="142" t="inlineStr">
        <is>
          <t>PMS</t>
        </is>
      </c>
      <c r="E14" s="143" t="inlineStr">
        <is>
          <t>30/09/2026</t>
        </is>
      </c>
      <c r="F14" s="136" t="inlineStr">
        <is>
          <t>—</t>
        </is>
      </c>
      <c r="G14" s="137" t="inlineStr">
        <is>
          <t>Pendiente</t>
        </is>
      </c>
      <c r="H14" s="138" t="inlineStr">
        <is>
          <t>0%</t>
        </is>
      </c>
      <c r="I14" s="136" t="inlineStr">
        <is>
          <t>—</t>
        </is>
      </c>
      <c r="J14" s="82" t="inlineStr">
        <is>
          <t>Sep-Oct 2026. Fábrica ABB Buenos Aires. Asiste AESA según acuerdo KOM</t>
        </is>
      </c>
    </row>
    <row r="15" ht="22" customHeight="1">
      <c r="B15" s="141" t="inlineStr">
        <is>
          <t>P-07</t>
        </is>
      </c>
      <c r="C15" s="77" t="inlineStr">
        <is>
          <t>Ensayos y FAT PMS (tablero control integrado)</t>
        </is>
      </c>
      <c r="D15" s="142" t="inlineStr">
        <is>
          <t>PMS</t>
        </is>
      </c>
      <c r="E15" s="143" t="inlineStr">
        <is>
          <t>23/10/2026</t>
        </is>
      </c>
      <c r="F15" s="136" t="inlineStr">
        <is>
          <t>—</t>
        </is>
      </c>
      <c r="G15" s="137" t="inlineStr">
        <is>
          <t>Pendiente</t>
        </is>
      </c>
      <c r="H15" s="138" t="inlineStr">
        <is>
          <t>0%</t>
        </is>
      </c>
      <c r="I15" s="136" t="inlineStr">
        <is>
          <t>—</t>
        </is>
      </c>
      <c r="J15" s="82" t="inlineStr">
        <is>
          <t>4 días. FAT tablero PMS integrado con señales. Holgura 222d vs demanda P6 (02/JUN/2027)</t>
        </is>
      </c>
    </row>
    <row r="16" ht="22" customHeight="1">
      <c r="B16" s="141" t="inlineStr">
        <is>
          <t>P-08</t>
        </is>
      </c>
      <c r="C16" s="77" t="inlineStr">
        <is>
          <t>FAT Tableros PMS — Enero 2027</t>
        </is>
      </c>
      <c r="D16" s="142" t="inlineStr">
        <is>
          <t>PMS</t>
        </is>
      </c>
      <c r="E16" s="143" t="inlineStr">
        <is>
          <t>29/01/2027</t>
        </is>
      </c>
      <c r="F16" s="136" t="inlineStr">
        <is>
          <t>—</t>
        </is>
      </c>
      <c r="G16" s="137" t="inlineStr">
        <is>
          <t>Pendiente</t>
        </is>
      </c>
      <c r="H16" s="138" t="inlineStr">
        <is>
          <t>0%</t>
        </is>
      </c>
      <c r="I16" s="136" t="inlineStr">
        <is>
          <t>—</t>
        </is>
      </c>
      <c r="J16" s="82" t="inlineStr">
        <is>
          <t>FAT final tableros PMS en fábrica ABB Buenos Aires antes de integración en Shelter</t>
        </is>
      </c>
    </row>
    <row r="17" ht="22" customHeight="1">
      <c r="B17" s="141" t="inlineStr">
        <is>
          <t>P-09</t>
        </is>
      </c>
      <c r="C17" s="77" t="inlineStr">
        <is>
          <t>Integración PMS en Shelter (prueba integrada solicitada por AESA)</t>
        </is>
      </c>
      <c r="D17" s="142" t="inlineStr">
        <is>
          <t>PMS</t>
        </is>
      </c>
      <c r="E17" s="143" t="inlineStr">
        <is>
          <t>09/05/2027</t>
        </is>
      </c>
      <c r="F17" s="136" t="inlineStr">
        <is>
          <t>—</t>
        </is>
      </c>
      <c r="G17" s="137" t="inlineStr">
        <is>
          <t>Pendiente</t>
        </is>
      </c>
      <c r="H17" s="138" t="inlineStr">
        <is>
          <t>0%</t>
        </is>
      </c>
      <c r="I17" s="136" t="inlineStr">
        <is>
          <t>—</t>
        </is>
      </c>
      <c r="J17" s="82" t="inlineStr">
        <is>
          <t>AESA solicita prueba integrada (PMS + gabinetes) en Shelter antes del despacho. ABB analizando factibilidad</t>
        </is>
      </c>
    </row>
    <row r="18" ht="22" customHeight="1">
      <c r="B18" s="139" t="inlineStr">
        <is>
          <t>FP-S4-1</t>
        </is>
      </c>
      <c r="C18" s="140" t="inlineStr">
        <is>
          <t>◆ FREEZING POINT — Ing. Básica Sala #4</t>
        </is>
      </c>
      <c r="D18" s="136" t="inlineStr">
        <is>
          <t>S4</t>
        </is>
      </c>
      <c r="E18" s="138" t="inlineStr">
        <is>
          <t>26/06/2026</t>
        </is>
      </c>
      <c r="F18" s="136" t="inlineStr">
        <is>
          <t>—</t>
        </is>
      </c>
      <c r="G18" s="137" t="inlineStr">
        <is>
          <t>Pendiente</t>
        </is>
      </c>
      <c r="H18" s="138" t="inlineStr">
        <is>
          <t>0%</t>
        </is>
      </c>
      <c r="I18" s="136" t="inlineStr">
        <is>
          <t>—</t>
        </is>
      </c>
      <c r="J18" s="88" t="inlineStr">
        <is>
          <t>CONGELAR. Inicio procura celdas MT (Turquía — lead time ~6 meses). CRÍTICO para timing logístico</t>
        </is>
      </c>
    </row>
    <row r="19" ht="22" customHeight="1">
      <c r="B19" s="139" t="inlineStr">
        <is>
          <t>FP-S4-2</t>
        </is>
      </c>
      <c r="C19" s="140" t="inlineStr">
        <is>
          <t>◆ FREEZING POINT — Ing. Detalle Sala #4</t>
        </is>
      </c>
      <c r="D19" s="136" t="inlineStr">
        <is>
          <t>S4</t>
        </is>
      </c>
      <c r="E19" s="138" t="inlineStr">
        <is>
          <t>14/08/2026</t>
        </is>
      </c>
      <c r="F19" s="136" t="inlineStr">
        <is>
          <t>—</t>
        </is>
      </c>
      <c r="G19" s="137" t="inlineStr">
        <is>
          <t>Pendiente</t>
        </is>
      </c>
      <c r="H19" s="138" t="inlineStr">
        <is>
          <t>0%</t>
        </is>
      </c>
      <c r="I19" s="136" t="inlineStr">
        <is>
          <t>—</t>
        </is>
      </c>
      <c r="J19" s="88" t="inlineStr">
        <is>
          <t>CONGELAR diseño detalle. Inicio fabricación tableros auxiliares BsAs</t>
        </is>
      </c>
    </row>
    <row r="20" ht="22" customHeight="1">
      <c r="B20" s="139" t="inlineStr">
        <is>
          <t>FP-S4-3</t>
        </is>
      </c>
      <c r="C20" s="140" t="inlineStr">
        <is>
          <t>◆ FREEZING POINT — Ing. Constructiva Sala #4  ← CIERRA INGENIERÍA S4</t>
        </is>
      </c>
      <c r="D20" s="136" t="inlineStr">
        <is>
          <t>S4</t>
        </is>
      </c>
      <c r="E20" s="138" t="inlineStr">
        <is>
          <t>28/08/2026</t>
        </is>
      </c>
      <c r="F20" s="136" t="inlineStr">
        <is>
          <t>—</t>
        </is>
      </c>
      <c r="G20" s="137" t="inlineStr">
        <is>
          <t>Pendiente</t>
        </is>
      </c>
      <c r="H20" s="138" t="inlineStr">
        <is>
          <t>0%</t>
        </is>
      </c>
      <c r="I20" s="136" t="inlineStr">
        <is>
          <t>—</t>
        </is>
      </c>
      <c r="J20" s="88" t="inlineStr">
        <is>
          <t>ÚLTIMO FP DE S4 (24-AGO). Cierre total ingeniería Sala #4. Sin hito equivalente en P6 ⚠</t>
        </is>
      </c>
    </row>
    <row r="21" ht="22" customHeight="1">
      <c r="B21" s="144" t="inlineStr">
        <is>
          <t>S4-10</t>
        </is>
      </c>
      <c r="C21" s="145" t="inlineStr">
        <is>
          <t>Ensayos Celdas y Tableros MT Sala #4</t>
        </is>
      </c>
      <c r="D21" s="146" t="inlineStr">
        <is>
          <t>S4</t>
        </is>
      </c>
      <c r="E21" s="147" t="inlineStr">
        <is>
          <t>23/11/2026</t>
        </is>
      </c>
      <c r="F21" s="136" t="inlineStr">
        <is>
          <t>—</t>
        </is>
      </c>
      <c r="G21" s="137" t="inlineStr">
        <is>
          <t>Pendiente</t>
        </is>
      </c>
      <c r="H21" s="138" t="inlineStr">
        <is>
          <t>0%</t>
        </is>
      </c>
      <c r="I21" s="136" t="inlineStr">
        <is>
          <t>—</t>
        </is>
      </c>
      <c r="J21" s="148" t="inlineStr">
        <is>
          <t>20 días. Pruebas en Brasil — ABB + AESA inspeccionan</t>
        </is>
      </c>
    </row>
    <row r="22" ht="22" customHeight="1">
      <c r="B22" s="144" t="inlineStr">
        <is>
          <t>S4-13</t>
        </is>
      </c>
      <c r="C22" s="145" t="inlineStr">
        <is>
          <t>FAT Sala Eléctrica #4 (Shelter completo)</t>
        </is>
      </c>
      <c r="D22" s="146" t="inlineStr">
        <is>
          <t>S4</t>
        </is>
      </c>
      <c r="E22" s="147" t="inlineStr">
        <is>
          <t>16/03/2027</t>
        </is>
      </c>
      <c r="F22" s="136" t="inlineStr">
        <is>
          <t>—</t>
        </is>
      </c>
      <c r="G22" s="137" t="inlineStr">
        <is>
          <t>Pendiente</t>
        </is>
      </c>
      <c r="H22" s="138" t="inlineStr">
        <is>
          <t>0%</t>
        </is>
      </c>
      <c r="I22" s="136" t="inlineStr">
        <is>
          <t>—</t>
        </is>
      </c>
      <c r="J22" s="148" t="inlineStr">
        <is>
          <t>8 días. FAT integrado del Shelter completo. Asiste AESA + Cliente</t>
        </is>
      </c>
    </row>
    <row r="23" ht="22" customHeight="1">
      <c r="B23" s="144" t="inlineStr">
        <is>
          <t>S4-14</t>
        </is>
      </c>
      <c r="C23" s="145" t="inlineStr">
        <is>
          <t>▶ DESPACHO Sala #4 → Vaca Muerta</t>
        </is>
      </c>
      <c r="D23" s="146" t="inlineStr">
        <is>
          <t>S4</t>
        </is>
      </c>
      <c r="E23" s="147" t="inlineStr">
        <is>
          <t>08/04/2027</t>
        </is>
      </c>
      <c r="F23" s="136" t="inlineStr">
        <is>
          <t>—</t>
        </is>
      </c>
      <c r="G23" s="137" t="inlineStr">
        <is>
          <t>Pendiente</t>
        </is>
      </c>
      <c r="H23" s="138" t="inlineStr">
        <is>
          <t>0%</t>
        </is>
      </c>
      <c r="I23" s="136" t="inlineStr">
        <is>
          <t>—</t>
        </is>
      </c>
      <c r="J23" s="148" t="inlineStr">
        <is>
          <t>OC deadline: 08-ABR-2027. P6 inicio montaje campo: 28-JUN-2027. Holgura: 81 días</t>
        </is>
      </c>
    </row>
    <row r="24" ht="22" customHeight="1">
      <c r="B24" s="144" t="inlineStr">
        <is>
          <t>S4-15</t>
        </is>
      </c>
      <c r="C24" s="145" t="inlineStr">
        <is>
          <t>★ ENTREGA S#4 — Cumplimiento OC 4508944973</t>
        </is>
      </c>
      <c r="D24" s="146" t="inlineStr">
        <is>
          <t>S4</t>
        </is>
      </c>
      <c r="E24" s="147" t="inlineStr">
        <is>
          <t>08/04/2027</t>
        </is>
      </c>
      <c r="F24" s="136" t="inlineStr">
        <is>
          <t>—</t>
        </is>
      </c>
      <c r="G24" s="137" t="inlineStr">
        <is>
          <t>Pendiente</t>
        </is>
      </c>
      <c r="H24" s="138" t="inlineStr">
        <is>
          <t>0%</t>
        </is>
      </c>
      <c r="I24" s="136" t="inlineStr">
        <is>
          <t>—</t>
        </is>
      </c>
      <c r="J24" s="148" t="inlineStr">
        <is>
          <t>FECHA CONTRACTUAL: 08-ABR-2027 (11 meses). Penalidad si excede: 1%/semana, tope 10%</t>
        </is>
      </c>
    </row>
    <row r="25" ht="22" customHeight="1">
      <c r="B25" s="102" t="inlineStr">
        <is>
          <t>FP-S3-1</t>
        </is>
      </c>
      <c r="C25" s="132" t="inlineStr">
        <is>
          <t>◆ FREEZING POINT — Ing. Básica Sala #3</t>
        </is>
      </c>
      <c r="D25" s="104" t="inlineStr">
        <is>
          <t>S3</t>
        </is>
      </c>
      <c r="E25" s="102" t="inlineStr">
        <is>
          <t>03/07/2026</t>
        </is>
      </c>
      <c r="F25" s="136" t="inlineStr">
        <is>
          <t>—</t>
        </is>
      </c>
      <c r="G25" s="137" t="inlineStr">
        <is>
          <t>Pendiente</t>
        </is>
      </c>
      <c r="H25" s="138" t="inlineStr">
        <is>
          <t>0%</t>
        </is>
      </c>
      <c r="I25" s="136" t="inlineStr">
        <is>
          <t>—</t>
        </is>
      </c>
      <c r="J25" s="93" t="inlineStr">
        <is>
          <t>1 semana después que S4 (26-JUN). CONGELAR. Inicio procura ductos barras (Turquía)</t>
        </is>
      </c>
    </row>
    <row r="26" ht="22" customHeight="1">
      <c r="B26" s="102" t="inlineStr">
        <is>
          <t>FP-S3-2</t>
        </is>
      </c>
      <c r="C26" s="132" t="inlineStr">
        <is>
          <t>◆ FREEZING POINT — Ing. Detalle Sala #3</t>
        </is>
      </c>
      <c r="D26" s="104" t="inlineStr">
        <is>
          <t>S3</t>
        </is>
      </c>
      <c r="E26" s="102" t="inlineStr">
        <is>
          <t>14/08/2026</t>
        </is>
      </c>
      <c r="F26" s="136" t="inlineStr">
        <is>
          <t>—</t>
        </is>
      </c>
      <c r="G26" s="137" t="inlineStr">
        <is>
          <t>Pendiente</t>
        </is>
      </c>
      <c r="H26" s="138" t="inlineStr">
        <is>
          <t>0%</t>
        </is>
      </c>
      <c r="I26" s="136" t="inlineStr">
        <is>
          <t>—</t>
        </is>
      </c>
      <c r="J26" s="93" t="inlineStr">
        <is>
          <t>CONGELAR diseño detalle S3. Inicio fabricación tableros BT (Brasil). Sin hito P6 ⚠</t>
        </is>
      </c>
    </row>
    <row r="27" ht="22" customHeight="1">
      <c r="B27" s="102" t="inlineStr">
        <is>
          <t>FP-S3-3</t>
        </is>
      </c>
      <c r="C27" s="132" t="inlineStr">
        <is>
          <t>◆ FREEZING POINT — Ing. Constructiva Sala #3  ← ÚLTIMO FP ABB</t>
        </is>
      </c>
      <c r="D27" s="104" t="inlineStr">
        <is>
          <t>S3</t>
        </is>
      </c>
      <c r="E27" s="102" t="inlineStr">
        <is>
          <t>31/08/2026</t>
        </is>
      </c>
      <c r="F27" s="136" t="inlineStr">
        <is>
          <t>—</t>
        </is>
      </c>
      <c r="G27" s="137" t="inlineStr">
        <is>
          <t>Pendiente</t>
        </is>
      </c>
      <c r="H27" s="138" t="inlineStr">
        <is>
          <t>0%</t>
        </is>
      </c>
      <c r="I27" s="136" t="inlineStr">
        <is>
          <t>—</t>
        </is>
      </c>
      <c r="J27" s="93" t="inlineStr">
        <is>
          <t>★ HITO CLAVE: ÚLTIMO FREEZING POINT DE TODO EL PROYECTO ABB — 31-AGO-2026. Cierra toda la ingeniería. Sin hito en P6 ⚠</t>
        </is>
      </c>
    </row>
    <row r="28" ht="22" customHeight="1">
      <c r="B28" s="102" t="inlineStr">
        <is>
          <t>S3-10</t>
        </is>
      </c>
      <c r="C28" s="132" t="inlineStr">
        <is>
          <t>Ensayos Celdas y Tableros BT Sala #3</t>
        </is>
      </c>
      <c r="D28" s="104" t="inlineStr">
        <is>
          <t>S3</t>
        </is>
      </c>
      <c r="E28" s="102" t="inlineStr">
        <is>
          <t>23/11/2026</t>
        </is>
      </c>
      <c r="F28" s="136" t="inlineStr">
        <is>
          <t>—</t>
        </is>
      </c>
      <c r="G28" s="137" t="inlineStr">
        <is>
          <t>Pendiente</t>
        </is>
      </c>
      <c r="H28" s="138" t="inlineStr">
        <is>
          <t>0%</t>
        </is>
      </c>
      <c r="I28" s="136" t="inlineStr">
        <is>
          <t>—</t>
        </is>
      </c>
      <c r="J28" s="93" t="inlineStr">
        <is>
          <t>20 días. Ensayos de rutina + tipo en Brasil. AESA inspecciona (10 días de antelación)</t>
        </is>
      </c>
    </row>
    <row r="29" ht="22" customHeight="1">
      <c r="B29" s="102" t="inlineStr">
        <is>
          <t>S3-13</t>
        </is>
      </c>
      <c r="C29" s="132" t="inlineStr">
        <is>
          <t>FAT Sala Eléctrica #3  ← FAT MÁS TARDÍO DE ABB</t>
        </is>
      </c>
      <c r="D29" s="104" t="inlineStr">
        <is>
          <t>S3</t>
        </is>
      </c>
      <c r="E29" s="102" t="inlineStr">
        <is>
          <t>19/04/2027</t>
        </is>
      </c>
      <c r="F29" s="136" t="inlineStr">
        <is>
          <t>—</t>
        </is>
      </c>
      <c r="G29" s="137" t="inlineStr">
        <is>
          <t>Pendiente</t>
        </is>
      </c>
      <c r="H29" s="138" t="inlineStr">
        <is>
          <t>0%</t>
        </is>
      </c>
      <c r="I29" s="136" t="inlineStr">
        <is>
          <t>—</t>
        </is>
      </c>
      <c r="J29" s="93" t="inlineStr">
        <is>
          <t>17 días. FAT integrado Shelter S#3 completo. P6 cierra FDE1103 el 24-MAY-2027. Holgura: 35 días</t>
        </is>
      </c>
    </row>
    <row r="30" ht="22" customHeight="1">
      <c r="B30" s="102" t="inlineStr">
        <is>
          <t>S3-14</t>
        </is>
      </c>
      <c r="C30" s="132" t="inlineStr">
        <is>
          <t>▶ DESPACHO Sala #3 ← DESPACHO MÁS TARDÍO DE ABB</t>
        </is>
      </c>
      <c r="D30" s="104" t="inlineStr">
        <is>
          <t>S3</t>
        </is>
      </c>
      <c r="E30" s="102" t="inlineStr">
        <is>
          <t>14/05/2027</t>
        </is>
      </c>
      <c r="F30" s="136" t="inlineStr">
        <is>
          <t>—</t>
        </is>
      </c>
      <c r="G30" s="137" t="inlineStr">
        <is>
          <t>Pendiente</t>
        </is>
      </c>
      <c r="H30" s="138" t="inlineStr">
        <is>
          <t>0%</t>
        </is>
      </c>
      <c r="I30" s="136" t="inlineStr">
        <is>
          <t>—</t>
        </is>
      </c>
      <c r="J30" s="93" t="inlineStr">
        <is>
          <t>ÚLTIMO DESPACHO ABB. OC deadline: 14-MAY-2027. P6 inicio montaje campo: 28-JUN-2027. Holgura: 45 días</t>
        </is>
      </c>
    </row>
    <row r="31" ht="22" customHeight="1">
      <c r="B31" s="102" t="inlineStr">
        <is>
          <t>S3-15</t>
        </is>
      </c>
      <c r="C31" s="132" t="inlineStr">
        <is>
          <t>★ ENTREGA S#3 — Cumplimiento OC 4508944971</t>
        </is>
      </c>
      <c r="D31" s="104" t="inlineStr">
        <is>
          <t>S3</t>
        </is>
      </c>
      <c r="E31" s="102" t="inlineStr">
        <is>
          <t>14/05/2027</t>
        </is>
      </c>
      <c r="F31" s="136" t="inlineStr">
        <is>
          <t>—</t>
        </is>
      </c>
      <c r="G31" s="137" t="inlineStr">
        <is>
          <t>Pendiente</t>
        </is>
      </c>
      <c r="H31" s="138" t="inlineStr">
        <is>
          <t>0%</t>
        </is>
      </c>
      <c r="I31" s="136" t="inlineStr">
        <is>
          <t>—</t>
        </is>
      </c>
      <c r="J31" s="93" t="inlineStr">
        <is>
          <t>FECHA CONTRACTUAL: 14-MAY-2027 (12 meses). CADENA CRÍTICA — determina todo el cronograma ABB</t>
        </is>
      </c>
    </row>
    <row r="32" ht="22" customHeight="1">
      <c r="B32" s="149" t="inlineStr">
        <is>
          <t>PAY-01</t>
        </is>
      </c>
      <c r="C32" s="150" t="inlineStr">
        <is>
          <t>§ 10% — Envío Ingeniería Básica (S3 + S4 + PMS)</t>
        </is>
      </c>
      <c r="D32" s="151" t="inlineStr">
        <is>
          <t>S3+S4+PMS</t>
        </is>
      </c>
      <c r="E32" s="152" t="inlineStr">
        <is>
          <t>12/06/2026</t>
        </is>
      </c>
      <c r="F32" s="136" t="inlineStr">
        <is>
          <t>—</t>
        </is>
      </c>
      <c r="G32" s="137" t="inlineStr">
        <is>
          <t>Pendiente</t>
        </is>
      </c>
      <c r="H32" s="138" t="inlineStr">
        <is>
          <t>0%</t>
        </is>
      </c>
      <c r="I32" s="136" t="inlineStr">
        <is>
          <t>—</t>
        </is>
      </c>
      <c r="J32" s="153" t="inlineStr">
        <is>
          <t>Emisión IB de los tres alcances. Póliza Caución Avance Fabricación requerida previamente</t>
        </is>
      </c>
    </row>
    <row r="33" ht="22" customHeight="1">
      <c r="B33" s="149" t="inlineStr">
        <is>
          <t>PAY-02</t>
        </is>
      </c>
      <c r="C33" s="150" t="inlineStr">
        <is>
          <t>§ 10% — Aprobación Ingeniería Básica (AESA aprueba)</t>
        </is>
      </c>
      <c r="D33" s="151" t="inlineStr">
        <is>
          <t>S3+S4+PMS</t>
        </is>
      </c>
      <c r="E33" s="152" t="inlineStr">
        <is>
          <t>03/07/2026</t>
        </is>
      </c>
      <c r="F33" s="136" t="inlineStr">
        <is>
          <t>—</t>
        </is>
      </c>
      <c r="G33" s="137" t="inlineStr">
        <is>
          <t>Pendiente</t>
        </is>
      </c>
      <c r="H33" s="138" t="inlineStr">
        <is>
          <t>0%</t>
        </is>
      </c>
      <c r="I33" s="136" t="inlineStr">
        <is>
          <t>—</t>
        </is>
      </c>
      <c r="J33" s="153" t="inlineStr">
        <is>
          <t>Aprobación final IB por AESA. Póliza Caución Avance Fabricación vigente</t>
        </is>
      </c>
    </row>
    <row r="34" ht="22" customHeight="1">
      <c r="B34" s="149" t="inlineStr">
        <is>
          <t>PAY-03</t>
        </is>
      </c>
      <c r="C34" s="150" t="inlineStr">
        <is>
          <t>§ 20% — FAT completado (S3 más tardío: 19-ABR-2027)</t>
        </is>
      </c>
      <c r="D34" s="151" t="inlineStr">
        <is>
          <t>S3</t>
        </is>
      </c>
      <c r="E34" s="152" t="inlineStr">
        <is>
          <t>19/04/2027</t>
        </is>
      </c>
      <c r="F34" s="136" t="inlineStr">
        <is>
          <t>—</t>
        </is>
      </c>
      <c r="G34" s="137" t="inlineStr">
        <is>
          <t>Pendiente</t>
        </is>
      </c>
      <c r="H34" s="138" t="inlineStr">
        <is>
          <t>0%</t>
        </is>
      </c>
      <c r="I34" s="136" t="inlineStr">
        <is>
          <t>—</t>
        </is>
      </c>
      <c r="J34" s="153" t="inlineStr">
        <is>
          <t>FAT de integración S#3. Póliza Caución Avance Fabricación requerida. PMS: ver acuerdo FAT en Shelter</t>
        </is>
      </c>
    </row>
    <row r="35" ht="22" customHeight="1">
      <c r="B35" s="149" t="inlineStr">
        <is>
          <t>PAY-04</t>
        </is>
      </c>
      <c r="C35" s="150" t="inlineStr">
        <is>
          <t>§ 25% — Acopio Materiales Principales en Argentina</t>
        </is>
      </c>
      <c r="D35" s="151" t="inlineStr">
        <is>
          <t>S3+S4+PMS</t>
        </is>
      </c>
      <c r="E35" s="152" t="inlineStr">
        <is>
          <t>29/01/2027</t>
        </is>
      </c>
      <c r="F35" s="136" t="inlineStr">
        <is>
          <t>—</t>
        </is>
      </c>
      <c r="G35" s="137" t="inlineStr">
        <is>
          <t>Pendiente</t>
        </is>
      </c>
      <c r="H35" s="138" t="inlineStr">
        <is>
          <t>0%</t>
        </is>
      </c>
      <c r="I35" s="136" t="inlineStr">
        <is>
          <t>—</t>
        </is>
      </c>
      <c r="J35" s="153" t="inlineStr">
        <is>
          <t>Celdas MT + tableros BT arco interno + ductos + VFDs MT/BT + PMS + UPS + aux. Póliza Caución Acopio</t>
        </is>
      </c>
    </row>
    <row r="36" ht="22" customHeight="1">
      <c r="B36" s="149" t="inlineStr">
        <is>
          <t>PAY-05</t>
        </is>
      </c>
      <c r="C36" s="150" t="inlineStr">
        <is>
          <t>§ 30% — Contra Entrega (Shelter listo en Mendoza)</t>
        </is>
      </c>
      <c r="D36" s="151" t="inlineStr">
        <is>
          <t>S3+S4+PMS</t>
        </is>
      </c>
      <c r="E36" s="152" t="inlineStr">
        <is>
          <t>14/05/2027</t>
        </is>
      </c>
      <c r="F36" s="136" t="inlineStr">
        <is>
          <t>—</t>
        </is>
      </c>
      <c r="G36" s="137" t="inlineStr">
        <is>
          <t>Pendiente</t>
        </is>
      </c>
      <c r="H36" s="138" t="inlineStr">
        <is>
          <t>0%</t>
        </is>
      </c>
      <c r="I36" s="136" t="inlineStr">
        <is>
          <t>—</t>
        </is>
      </c>
      <c r="J36" s="153" t="inlineStr">
        <is>
          <t>30 días desde Despacho S#3 (última entrega). Liberación por Calidad del COMPRADOR</t>
        </is>
      </c>
    </row>
    <row r="37" ht="22" customHeight="1">
      <c r="B37" s="149" t="inlineStr">
        <is>
          <t>PAY-06</t>
        </is>
      </c>
      <c r="C37" s="150" t="inlineStr">
        <is>
          <t>§ 5% — Entrega Databook aprobado</t>
        </is>
      </c>
      <c r="D37" s="151" t="inlineStr">
        <is>
          <t>S3+S4+PMS</t>
        </is>
      </c>
      <c r="E37" s="152" t="inlineStr">
        <is>
          <t>01/07/2027</t>
        </is>
      </c>
      <c r="F37" s="136" t="inlineStr">
        <is>
          <t>—</t>
        </is>
      </c>
      <c r="G37" s="137" t="inlineStr">
        <is>
          <t>Pendiente</t>
        </is>
      </c>
      <c r="H37" s="138" t="inlineStr">
        <is>
          <t>0%</t>
        </is>
      </c>
      <c r="I37" s="136" t="inlineStr">
        <is>
          <t>—</t>
        </is>
      </c>
      <c r="J37" s="153" t="inlineStr">
        <is>
          <t>Databook completo y aprobado por AESA. Fecha estimada ~6-8 semanas post entrega</t>
        </is>
      </c>
    </row>
    <row r="38" ht="22" customHeight="1">
      <c r="B38" s="102" t="inlineStr">
        <is>
          <t>INT-02</t>
        </is>
      </c>
      <c r="C38" s="132" t="inlineStr">
        <is>
          <t>iFAT — Integración Shelters + PMS + INAUCO + HIMA</t>
        </is>
      </c>
      <c r="D38" s="104" t="inlineStr">
        <is>
          <t>S3+S4+PMS</t>
        </is>
      </c>
      <c r="E38" s="102" t="inlineStr">
        <is>
          <t>14/07/2027</t>
        </is>
      </c>
      <c r="F38" s="136" t="inlineStr">
        <is>
          <t>—</t>
        </is>
      </c>
      <c r="G38" s="137" t="inlineStr">
        <is>
          <t>Pendiente</t>
        </is>
      </c>
      <c r="H38" s="138" t="inlineStr">
        <is>
          <t>0%</t>
        </is>
      </c>
      <c r="I38" s="136" t="inlineStr">
        <is>
          <t>—</t>
        </is>
      </c>
      <c r="J38" s="93" t="inlineStr">
        <is>
          <t>P6: TA1124 = 28-JUN-2027. ABB arranca 25-JUN. Todos los vendors integran. Holgura: 3 días</t>
        </is>
      </c>
    </row>
    <row r="39" ht="22" customHeight="1">
      <c r="B39" s="102" t="inlineStr">
        <is>
          <t>INT-05</t>
        </is>
      </c>
      <c r="C39" s="132" t="inlineStr">
        <is>
          <t>★ RFSU — Ready For Start Up Planta Total</t>
        </is>
      </c>
      <c r="D39" s="104" t="inlineStr">
        <is>
          <t>PROYECTO</t>
        </is>
      </c>
      <c r="E39" s="102" t="inlineStr">
        <is>
          <t>31/01/2028</t>
        </is>
      </c>
      <c r="F39" s="136" t="inlineStr">
        <is>
          <t>—</t>
        </is>
      </c>
      <c r="G39" s="137" t="inlineStr">
        <is>
          <t>Pendiente</t>
        </is>
      </c>
      <c r="H39" s="138" t="inlineStr">
        <is>
          <t>0%</t>
        </is>
      </c>
      <c r="I39" s="136" t="inlineStr">
        <is>
          <t>—</t>
        </is>
      </c>
      <c r="J39" s="93" t="inlineStr">
        <is>
          <t>A10290. FECHA IDÉNTICA P6 y ABB ✅ Objetivo firme. Fin garantía extendida: 31-ENE-2029</t>
        </is>
      </c>
    </row>
    <row r="41" ht="22" customHeight="1">
      <c r="B41" s="154" t="inlineStr">
        <is>
          <t>INSTRUCCIONES: Fecha Real = fecha real de ocurrencia | Estado: Completado / Pendiente / En proceso / En riesgo | Desvío = Fecha Real - Fecha Plan (días)</t>
        </is>
      </c>
    </row>
  </sheetData>
  <mergeCells count="4">
    <mergeCell ref="B41:J41"/>
    <mergeCell ref="B1:J1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8" customWidth="1" min="3" max="3"/>
    <col width="14" customWidth="1" min="4" max="4"/>
    <col width="18" customWidth="1" min="5" max="5"/>
    <col width="20" customWidth="1" min="6" max="6"/>
    <col width="22" customWidth="1" min="7" max="7"/>
    <col width="20" customWidth="1" min="8" max="8"/>
    <col width="4" customWidth="1" min="9" max="9"/>
  </cols>
  <sheetData>
    <row r="1" ht="8" customHeight="1"/>
    <row r="2" ht="28" customHeight="1">
      <c r="B2" s="95" t="inlineStr">
        <is>
          <t>ALERTAS Y RIESGOS ACTIVOS — CPF-2 / La Calera II — ABB</t>
        </is>
      </c>
      <c r="C2" s="72" t="n"/>
      <c r="D2" s="72" t="n"/>
      <c r="E2" s="72" t="n"/>
      <c r="F2" s="72" t="n"/>
      <c r="G2" s="72" t="n"/>
      <c r="H2" s="72" t="n"/>
    </row>
    <row r="3" ht="18" customHeight="1">
      <c r="B3" s="73" t="inlineStr">
        <is>
          <t>Estado al: 26-MAY-2026  |  Ref: R-2631036 / E-2611027</t>
        </is>
      </c>
      <c r="C3" s="72" t="n"/>
      <c r="D3" s="72" t="n"/>
      <c r="E3" s="72" t="n"/>
      <c r="F3" s="72" t="n"/>
      <c r="G3" s="72" t="n"/>
      <c r="H3" s="72" t="n"/>
    </row>
    <row r="4" ht="8" customHeight="1">
      <c r="B4" s="72" t="n"/>
      <c r="C4" s="72" t="n"/>
      <c r="D4" s="72" t="n"/>
      <c r="E4" s="72" t="n"/>
      <c r="F4" s="72" t="n"/>
      <c r="G4" s="72" t="n"/>
      <c r="H4" s="72" t="n"/>
    </row>
    <row r="5" ht="22" customHeight="1">
      <c r="B5" s="74" t="inlineStr">
        <is>
          <t>#</t>
        </is>
      </c>
      <c r="C5" s="74" t="inlineStr">
        <is>
          <t>Alerta / Riesgo</t>
        </is>
      </c>
      <c r="D5" s="74" t="inlineStr">
        <is>
          <t>Responsable</t>
        </is>
      </c>
      <c r="E5" s="74" t="inlineStr">
        <is>
          <t>Fecha límite</t>
        </is>
      </c>
      <c r="F5" s="74" t="inlineStr">
        <is>
          <t>Impacto</t>
        </is>
      </c>
      <c r="G5" s="74" t="inlineStr">
        <is>
          <t>Mitigación</t>
        </is>
      </c>
      <c r="H5" s="74" t="inlineStr">
        <is>
          <t>Estado</t>
        </is>
      </c>
    </row>
    <row r="6" ht="50" customHeight="1">
      <c r="B6" s="123" t="inlineStr">
        <is>
          <t>🔴 CRÍTICO</t>
        </is>
      </c>
      <c r="C6" s="155" t="inlineStr">
        <is>
          <t>Confirmar cambio CCM7: 3×22kW → 2×45kW+VFD en S#3</t>
        </is>
      </c>
      <c r="D6" s="156" t="inlineStr">
        <is>
          <t>AESA (Dario Stirparo)</t>
        </is>
      </c>
      <c r="E6" s="157" t="inlineStr">
        <is>
          <t>05-JUN-2026</t>
        </is>
      </c>
      <c r="F6" s="158" t="inlineStr">
        <is>
          <t>Si no se confirma antes del 05-JUN: IB de S#3 no puede cerrarse → FP-S3-1 se corre → OC Turquía tarde → despacho S#3 tarde</t>
        </is>
      </c>
      <c r="G6" s="156" t="inlineStr">
        <is>
          <t>AESA contacting client. ABB debe hacer follow-up semanal</t>
        </is>
      </c>
      <c r="H6" s="159" t="inlineStr">
        <is>
          <t>Pendiente ⚠</t>
        </is>
      </c>
    </row>
    <row r="7" ht="50" customHeight="1">
      <c r="B7" s="123" t="inlineStr">
        <is>
          <t>🔴 CRÍTICO</t>
        </is>
      </c>
      <c r="C7" s="155" t="inlineStr">
        <is>
          <t>Cronograma final con Hold Points comprometido para SEM 01-JUN</t>
        </is>
      </c>
      <c r="D7" s="156" t="inlineStr">
        <is>
          <t>ABB (Rodrigo Mack)</t>
        </is>
      </c>
      <c r="E7" s="157" t="inlineStr">
        <is>
          <t>01-JUN-2026</t>
        </is>
      </c>
      <c r="F7" s="158" t="inlineStr">
        <is>
          <t>Sin cronograma final no hay baseline contractual. No se pueden planificar hitos de pago ni Pólizas</t>
        </is>
      </c>
      <c r="G7" s="156" t="inlineStr">
        <is>
          <t>ABB debe emitir cronograma con OCs a 3ros confirmadas</t>
        </is>
      </c>
      <c r="H7" s="159" t="inlineStr">
        <is>
          <t>Pendiente ⚠</t>
        </is>
      </c>
    </row>
    <row r="8" ht="50" customHeight="1">
      <c r="B8" s="80" t="inlineStr">
        <is>
          <t>🟡 IMPORTANTE</t>
        </is>
      </c>
      <c r="C8" s="160" t="inlineStr">
        <is>
          <t>Acceso a portal ShareFile (Gustavo Pantolini / Juan Palma / Rodrigo Mack)</t>
        </is>
      </c>
      <c r="D8" s="161" t="inlineStr">
        <is>
          <t>ABB (interno)</t>
        </is>
      </c>
      <c r="E8" s="162" t="inlineStr">
        <is>
          <t>SEM 26-MAY</t>
        </is>
      </c>
      <c r="F8" s="163" t="inlineStr">
        <is>
          <t>Sin acceso al portal no se pueden emitir documentos vía transmittal oficial</t>
        </is>
      </c>
      <c r="G8" s="161" t="inlineStr">
        <is>
          <t>ABB gestionando habilitación interna de acceso</t>
        </is>
      </c>
      <c r="H8" s="137" t="inlineStr">
        <is>
          <t>En proceso</t>
        </is>
      </c>
    </row>
    <row r="9" ht="50" customHeight="1">
      <c r="B9" s="80" t="inlineStr">
        <is>
          <t>🟡 IMPORTANTE</t>
        </is>
      </c>
      <c r="C9" s="160" t="inlineStr">
        <is>
          <t>Información de ductos de barra: posición transfo respecto a Salas</t>
        </is>
      </c>
      <c r="D9" s="161" t="inlineStr">
        <is>
          <t>AESA (con cliente Pluspetrol)</t>
        </is>
      </c>
      <c r="E9" s="162" t="inlineStr">
        <is>
          <t>Antes del FP-S4-1 (26-JUN)</t>
        </is>
      </c>
      <c r="F9" s="163" t="inlineStr">
        <is>
          <t>Sin esta información ABB no puede finalizar diseño ductos de barras (Turquía, lead 6 meses)</t>
        </is>
      </c>
      <c r="G9" s="161" t="inlineStr">
        <is>
          <t>AESA en contacto con el cliente. ABB debe confirmar fecha de respuesta</t>
        </is>
      </c>
      <c r="H9" s="137" t="inlineStr">
        <is>
          <t>Pendiente ⚠</t>
        </is>
      </c>
    </row>
    <row r="10" ht="50" customHeight="1">
      <c r="B10" s="80" t="inlineStr">
        <is>
          <t>🟡 IMPORTANTE</t>
        </is>
      </c>
      <c r="C10" s="160" t="inlineStr">
        <is>
          <t>Confirmación unifilares tableros CCMs (posibles cambios de cargas)</t>
        </is>
      </c>
      <c r="D10" s="161" t="inlineStr">
        <is>
          <t>AESA (Tulio De La Torre)</t>
        </is>
      </c>
      <c r="E10" s="162" t="inlineStr">
        <is>
          <t>Antes del FP-S3-1 (03-JUL)</t>
        </is>
      </c>
      <c r="F10" s="163" t="inlineStr">
        <is>
          <t>Cambio de cargas en CCMs impacta el diseño BT. Si se confirma después del FP, genera Nota de Cambio</t>
        </is>
      </c>
      <c r="G10" s="161" t="inlineStr">
        <is>
          <t>Tema en revisión por AESA con cliente. Seguimiento en reunión técnica quincenal</t>
        </is>
      </c>
      <c r="H10" s="137" t="inlineStr">
        <is>
          <t>Pendiente ⚠</t>
        </is>
      </c>
    </row>
    <row r="11" ht="50" customHeight="1">
      <c r="B11" s="80" t="inlineStr">
        <is>
          <t>🟡 IMPORTANTE</t>
        </is>
      </c>
      <c r="C11" s="160" t="inlineStr">
        <is>
          <t>Pólizas de Caución: Avance Fabricación (requerida antes del Hito 10% IB)</t>
        </is>
      </c>
      <c r="D11" s="161" t="inlineStr">
        <is>
          <t>ABB (Dpto Legal/Seguros)</t>
        </is>
      </c>
      <c r="E11" s="162" t="inlineStr">
        <is>
          <t>Antes de PAY-01 (12-JUN)</t>
        </is>
      </c>
      <c r="F11" s="163" t="inlineStr">
        <is>
          <t>Sin Póliza aprobada por AESA: no se puede certificar el Hito 10% IB → retraso en cobro</t>
        </is>
      </c>
      <c r="G11" s="161" t="inlineStr">
        <is>
          <t>ABB debe iniciar gestión de pólizas con aseguradora. Póliza debe estar aprobada por AESA Seguros</t>
        </is>
      </c>
      <c r="H11" s="137" t="inlineStr">
        <is>
          <t>Pendiente</t>
        </is>
      </c>
    </row>
    <row r="12" ht="50" customHeight="1">
      <c r="B12" s="164" t="inlineStr">
        <is>
          <t>🟠 ATENCIÓN</t>
        </is>
      </c>
      <c r="C12" s="165" t="inlineStr">
        <is>
          <t>Freezing Points NO representados en P6 comercial del proyecto</t>
        </is>
      </c>
      <c r="D12" s="166" t="inlineStr">
        <is>
          <t>ABB + AESA (PM)</t>
        </is>
      </c>
      <c r="E12" s="167" t="inlineStr">
        <is>
          <t>SEM 01-JUN (próxima reunión)</t>
        </is>
      </c>
      <c r="F12" s="168" t="inlineStr">
        <is>
          <t>Desvíos en FPs no son visibles en el P6 hasta que impactan el despacho. Sin control temprano</t>
        </is>
      </c>
      <c r="G12" s="166" t="inlineStr">
        <is>
          <t>Solicitar a AESA incorporar FP-IC S#3 (31-AGO), FP-IC S#4 (24-AGO) y FATs como hitos P6</t>
        </is>
      </c>
      <c r="H12" s="169" t="inlineStr">
        <is>
          <t>Pendiente ⚠</t>
        </is>
      </c>
    </row>
    <row r="13" ht="50" customHeight="1">
      <c r="B13" s="164" t="inlineStr">
        <is>
          <t>🟠 ATENCIÓN</t>
        </is>
      </c>
      <c r="C13" s="165" t="inlineStr">
        <is>
          <t>FDE1104 (S#4 en P6): margen de solo 5 días entre cierre P6 e inicio montaje campo</t>
        </is>
      </c>
      <c r="D13" s="166" t="inlineStr">
        <is>
          <t>ABB (seguimiento S#4) + AESA PM</t>
        </is>
      </c>
      <c r="E13" s="167" t="inlineStr">
        <is>
          <t>Continuo</t>
        </is>
      </c>
      <c r="F13" s="168" t="inlineStr">
        <is>
          <t>Si S#4 se retrasa vs ABB plan, el montaje en campo no tiene flotante en P6</t>
        </is>
      </c>
      <c r="G13" s="166" t="inlineStr">
        <is>
          <t>Monitorear S#4 mensualmente. S#4 tiene 81 días de holgura desde despacho ABB hasta montaje P6</t>
        </is>
      </c>
      <c r="H13" s="169" t="inlineStr">
        <is>
          <t>Bajo control — monitorear</t>
        </is>
      </c>
    </row>
    <row r="14" ht="50" customHeight="1">
      <c r="B14" s="164" t="inlineStr">
        <is>
          <t>🟠 ATENCIÓN</t>
        </is>
      </c>
      <c r="C14" s="165" t="inlineStr">
        <is>
          <t>iFAT Integración: holgura de solo 3 días vs P6 (ABB 25-JUN vs P6 28-JUN-2027)</t>
        </is>
      </c>
      <c r="D14" s="166" t="inlineStr">
        <is>
          <t>ABB + EPC</t>
        </is>
      </c>
      <c r="E14" s="167" t="inlineStr">
        <is>
          <t>JUN-2027</t>
        </is>
      </c>
      <c r="F14" s="168" t="inlineStr">
        <is>
          <t>Si algún vendor llega tarde al iFAT (ABB, INAUCO, HIMA), el comisionado se corre</t>
        </is>
      </c>
      <c r="G14" s="166" t="inlineStr">
        <is>
          <t>Incluir en cronograma final los hitos de todos los vendors para el iFAT</t>
        </is>
      </c>
      <c r="H14" s="169" t="inlineStr">
        <is>
          <t>Futuro — bajo seguimiento</t>
        </is>
      </c>
    </row>
    <row r="15" ht="50" customHeight="1">
      <c r="B15" s="120" t="inlineStr">
        <is>
          <t>🟢 INFO</t>
        </is>
      </c>
      <c r="C15" s="170" t="inlineStr">
        <is>
          <t>Prueba integrada PMS en Shelter: solicitada por AESA, factibilidad pendiente</t>
        </is>
      </c>
      <c r="D15" s="171" t="inlineStr">
        <is>
          <t>ABB (Pablo Kalis)</t>
        </is>
      </c>
      <c r="E15" s="172" t="inlineStr">
        <is>
          <t>SEM 08-JUN</t>
        </is>
      </c>
      <c r="F15" s="173" t="inlineStr">
        <is>
          <t>Si se acepta prueba en Shelter: puede impactar timing despacho PMS. Si no: FAT PMS queda en BsAs</t>
        </is>
      </c>
      <c r="G15" s="171" t="inlineStr">
        <is>
          <t>ABB evalúa si la prueba integrada se realiza antes del despacho. Aclarar en cronograma final</t>
        </is>
      </c>
      <c r="H15" s="134" t="inlineStr">
        <is>
          <t>En análisis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2026-05-26T02:22:37Z</dcterms:created>
  <dcterms:modified xsi:type="dcterms:W3CDTF">2026-05-26T02:22:38Z</dcterms:modified>
</cp:coreProperties>
</file>